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" sheetId="1" r:id="rId5"/>
    <sheet state="visible" name="acft-exerc" sheetId="2" r:id="rId6"/>
    <sheet state="hidden" name="acft-exerc-SCRIPT" sheetId="3" r:id="rId7"/>
    <sheet state="hidden" name="lista procedimentos" sheetId="4" r:id="rId8"/>
    <sheet state="visible" name="trj" sheetId="5" r:id="rId9"/>
    <sheet state="visible" name="pts_traje" sheetId="6" r:id="rId10"/>
    <sheet state="visible" name="pts_traje-SCRIPT" sheetId="7" r:id="rId11"/>
    <sheet state="visible" name="sub" sheetId="8" r:id="rId12"/>
    <sheet state="visible" name="pts_sub" sheetId="9" r:id="rId13"/>
    <sheet state="hidden" name="pts_sub-SCRIPT" sheetId="10" r:id="rId14"/>
    <sheet state="visible" name="FIX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 - FIXO
D - POLAR EM RELACAO A FIXO
</t>
      </text>
    </comment>
  </commentList>
</comments>
</file>

<file path=xl/sharedStrings.xml><?xml version="1.0" encoding="utf-8"?>
<sst xmlns="http://schemas.openxmlformats.org/spreadsheetml/2006/main" count="944" uniqueCount="796">
  <si>
    <t>NUMEXERC</t>
  </si>
  <si>
    <t>DESEXERC</t>
  </si>
  <si>
    <t>HORAINICIO</t>
  </si>
  <si>
    <t>ALTITRANS</t>
  </si>
  <si>
    <t>NUMSUBMAP1</t>
  </si>
  <si>
    <t>NUMSUBMAP2</t>
  </si>
  <si>
    <t>NUMSUBMAP3</t>
  </si>
  <si>
    <t>NUMSUBMAP4</t>
  </si>
  <si>
    <t>QNH</t>
  </si>
  <si>
    <t>LIMINFQNH</t>
  </si>
  <si>
    <t>LIMSUPQNH</t>
  </si>
  <si>
    <t>PENDQNH</t>
  </si>
  <si>
    <t>NUMFORMMET</t>
  </si>
  <si>
    <t>CONSOLES</t>
  </si>
  <si>
    <t>TESTE 1</t>
  </si>
  <si>
    <t>0102</t>
  </si>
  <si>
    <t>EXERCICIO</t>
  </si>
  <si>
    <t>TRAF</t>
  </si>
  <si>
    <t>DESIG</t>
  </si>
  <si>
    <t>SSR</t>
  </si>
  <si>
    <t>INDICATIVO</t>
  </si>
  <si>
    <t>DEP</t>
  </si>
  <si>
    <t>ARR</t>
  </si>
  <si>
    <t>PROCED</t>
  </si>
  <si>
    <t>NIV</t>
  </si>
  <si>
    <t>VEL(IAS)</t>
  </si>
  <si>
    <t>PROA</t>
  </si>
  <si>
    <t>TIPO DE COORD(F/D)</t>
  </si>
  <si>
    <t>FIXO</t>
  </si>
  <si>
    <t>DIST(SE POLAR)</t>
  </si>
  <si>
    <t>RADIAL/GRAUS(SE POLAR)</t>
  </si>
  <si>
    <t>CampoD</t>
  </si>
  <si>
    <t>PIL</t>
  </si>
  <si>
    <t>ATIV</t>
  </si>
  <si>
    <t>MSG</t>
  </si>
  <si>
    <t>TEMMSG</t>
  </si>
  <si>
    <t>RVSM</t>
  </si>
  <si>
    <t>RMK</t>
  </si>
  <si>
    <t>A320</t>
  </si>
  <si>
    <t>TAM3720</t>
  </si>
  <si>
    <t>SBRJ</t>
  </si>
  <si>
    <t>SBCF</t>
  </si>
  <si>
    <t>STAR RWY 16 SP</t>
  </si>
  <si>
    <t>F</t>
  </si>
  <si>
    <t>ANSEM</t>
  </si>
  <si>
    <t>NUMERO</t>
  </si>
  <si>
    <t>NOME</t>
  </si>
  <si>
    <t>STAR?(S/N)</t>
  </si>
  <si>
    <t>PIPITCHU</t>
  </si>
  <si>
    <t>S</t>
  </si>
  <si>
    <t>TRJ</t>
  </si>
  <si>
    <t>Nro do Ponto</t>
  </si>
  <si>
    <t>Tipo Coord(F/D)</t>
  </si>
  <si>
    <t>CAMPO D</t>
  </si>
  <si>
    <t>ALTITUDE(FT)</t>
  </si>
  <si>
    <t>VELOCIDADE(IAS)</t>
  </si>
  <si>
    <t>PROCEDIMENTO QUE LIGA</t>
  </si>
  <si>
    <t>KIBAP</t>
  </si>
  <si>
    <t>5LN15</t>
  </si>
  <si>
    <t>CF119</t>
  </si>
  <si>
    <t>CF001</t>
  </si>
  <si>
    <t>CF153</t>
  </si>
  <si>
    <t>ALTITUDE</t>
  </si>
  <si>
    <t>VELOCIDADE(TAS)</t>
  </si>
  <si>
    <t>AERODROMO</t>
  </si>
  <si>
    <t>PISTA</t>
  </si>
  <si>
    <t>SID RWY 16 MIMIP</t>
  </si>
  <si>
    <t>SUB</t>
  </si>
  <si>
    <t>NRO PONTO</t>
  </si>
  <si>
    <t>TIPO COORD(F/D)</t>
  </si>
  <si>
    <t>GRAD SUB</t>
  </si>
  <si>
    <t>D</t>
  </si>
  <si>
    <t>THR16</t>
  </si>
  <si>
    <t>CF002</t>
  </si>
  <si>
    <t>5LN02</t>
  </si>
  <si>
    <t>5LN03</t>
  </si>
  <si>
    <t>CF076</t>
  </si>
  <si>
    <t>CF077</t>
  </si>
  <si>
    <t>MIMIP</t>
  </si>
  <si>
    <t>LATITUDE(DMS)</t>
  </si>
  <si>
    <t>LONGITUDE(DMS)</t>
  </si>
  <si>
    <t>NUMERO DO FIXO</t>
  </si>
  <si>
    <t>LATITUDE(DMM)</t>
  </si>
  <si>
    <t>LONGITUDE(DMM)</t>
  </si>
  <si>
    <t>5LN01</t>
  </si>
  <si>
    <t>S19 55 15.03</t>
  </si>
  <si>
    <t>W044 39 08.84</t>
  </si>
  <si>
    <t>S19 44 10.40</t>
  </si>
  <si>
    <t>W044 13 36.38</t>
  </si>
  <si>
    <t>S19 44 32.37</t>
  </si>
  <si>
    <t>W044 20 18.34</t>
  </si>
  <si>
    <t>5LN04</t>
  </si>
  <si>
    <t>S19 56 42.81</t>
  </si>
  <si>
    <t>W043 42 09.79</t>
  </si>
  <si>
    <t>5LN05</t>
  </si>
  <si>
    <t>S19 57 18.40</t>
  </si>
  <si>
    <t>W043 30 50.60</t>
  </si>
  <si>
    <t>5LN06</t>
  </si>
  <si>
    <t>S19 58 27.56</t>
  </si>
  <si>
    <t>W043 08 07.27</t>
  </si>
  <si>
    <t>5LN07</t>
  </si>
  <si>
    <t>S20 01 06.50</t>
  </si>
  <si>
    <t>W044 07 45.04</t>
  </si>
  <si>
    <t>5LN08</t>
  </si>
  <si>
    <t>S18 52 28.86</t>
  </si>
  <si>
    <t>W043 58 28.48</t>
  </si>
  <si>
    <t>5LN09</t>
  </si>
  <si>
    <t>S19 57 15.62</t>
  </si>
  <si>
    <t>W043 57 33.24</t>
  </si>
  <si>
    <t>5LN10</t>
  </si>
  <si>
    <t>S19 12 00.79</t>
  </si>
  <si>
    <t>W043 19 13.79</t>
  </si>
  <si>
    <t>5LN11</t>
  </si>
  <si>
    <t>S20 16 33.27</t>
  </si>
  <si>
    <t>W043 47 27.08</t>
  </si>
  <si>
    <t>5LN12</t>
  </si>
  <si>
    <t>S20 22 06.13</t>
  </si>
  <si>
    <t>W043 53 45.81</t>
  </si>
  <si>
    <t>5LN13</t>
  </si>
  <si>
    <t>S19 07 26.96</t>
  </si>
  <si>
    <t>W043 49 59.65</t>
  </si>
  <si>
    <t>5LN14</t>
  </si>
  <si>
    <t>S19 51 20.84</t>
  </si>
  <si>
    <t>W044 17 09.30</t>
  </si>
  <si>
    <t>S20 29 10.83</t>
  </si>
  <si>
    <t>W044 20 07.08</t>
  </si>
  <si>
    <t>5LN16</t>
  </si>
  <si>
    <t>S20 11 39.52</t>
  </si>
  <si>
    <t>W043 15 32.91</t>
  </si>
  <si>
    <t>5LN17</t>
  </si>
  <si>
    <t>S19 48 31.71</t>
  </si>
  <si>
    <t>W044 07 54.66</t>
  </si>
  <si>
    <t>5LN18</t>
  </si>
  <si>
    <t>S20 03 53.99</t>
  </si>
  <si>
    <t>W044 36 03.67</t>
  </si>
  <si>
    <t>5LN19</t>
  </si>
  <si>
    <t>S20 24 46.36</t>
  </si>
  <si>
    <t>W044 26 07.78</t>
  </si>
  <si>
    <t>5LN20</t>
  </si>
  <si>
    <t>S19 36 15.31</t>
  </si>
  <si>
    <t>W044 31 19.72</t>
  </si>
  <si>
    <t>5LN21</t>
  </si>
  <si>
    <t>S20 05 12.34</t>
  </si>
  <si>
    <t>W043 56 21.62</t>
  </si>
  <si>
    <t>5LN22</t>
  </si>
  <si>
    <t>S19 33 26.30</t>
  </si>
  <si>
    <t>W043 46 55.24</t>
  </si>
  <si>
    <t>5LN23</t>
  </si>
  <si>
    <t>S19 41 06.07</t>
  </si>
  <si>
    <t>W044 44 10.44</t>
  </si>
  <si>
    <t>5LN25</t>
  </si>
  <si>
    <t>S19 17 40.13</t>
  </si>
  <si>
    <t>W044 13 19.80</t>
  </si>
  <si>
    <t>5LN26</t>
  </si>
  <si>
    <t>S19 44 13.44</t>
  </si>
  <si>
    <t>W043 59 33.06</t>
  </si>
  <si>
    <t>5LN27</t>
  </si>
  <si>
    <t>S19 29 08.26</t>
  </si>
  <si>
    <t>W043 53 10.91</t>
  </si>
  <si>
    <t>5LN28</t>
  </si>
  <si>
    <t>S20 04 12.06</t>
  </si>
  <si>
    <t>W043 54 39.84</t>
  </si>
  <si>
    <t>5LN29</t>
  </si>
  <si>
    <t>S19 50 35.07</t>
  </si>
  <si>
    <t>W043 27 41.30</t>
  </si>
  <si>
    <t>5LN30</t>
  </si>
  <si>
    <t>S19 10 52.50</t>
  </si>
  <si>
    <t>W044 00 05.82</t>
  </si>
  <si>
    <t>5LN32</t>
  </si>
  <si>
    <t>S19 49 22.67</t>
  </si>
  <si>
    <t>W044 17 21.31</t>
  </si>
  <si>
    <t>5LN33</t>
  </si>
  <si>
    <t>S19 07 33.90</t>
  </si>
  <si>
    <t>W044 36 40.78</t>
  </si>
  <si>
    <t>5LN34</t>
  </si>
  <si>
    <t>S20 03 44.71</t>
  </si>
  <si>
    <t>W043 39 25.32</t>
  </si>
  <si>
    <t>5LN35</t>
  </si>
  <si>
    <t>S19 26 07.83</t>
  </si>
  <si>
    <t>W044 43 40.77</t>
  </si>
  <si>
    <t>5LN36</t>
  </si>
  <si>
    <t>S20 08 55.74</t>
  </si>
  <si>
    <t>W043 37 02.86</t>
  </si>
  <si>
    <t>5LN37</t>
  </si>
  <si>
    <t>S18 55 22.21</t>
  </si>
  <si>
    <t>W043 34 59.91</t>
  </si>
  <si>
    <t>5LN38</t>
  </si>
  <si>
    <t>S19 54 26.57</t>
  </si>
  <si>
    <t>W044 08 33.09</t>
  </si>
  <si>
    <t>5LN39</t>
  </si>
  <si>
    <t>S19 48 49.65</t>
  </si>
  <si>
    <t>W044 14 15.36</t>
  </si>
  <si>
    <t>5LN40</t>
  </si>
  <si>
    <t>S20 11 30.50</t>
  </si>
  <si>
    <t>W044 33 19.61</t>
  </si>
  <si>
    <t>5LN55</t>
  </si>
  <si>
    <t>S20 01 27.10</t>
  </si>
  <si>
    <t>W043 46 14.42</t>
  </si>
  <si>
    <t>5LN56</t>
  </si>
  <si>
    <t>S19 27 51.73</t>
  </si>
  <si>
    <t>W042 41 41.46</t>
  </si>
  <si>
    <t>5LN57</t>
  </si>
  <si>
    <t>S19 57 39.90</t>
  </si>
  <si>
    <t>W043 38 29.89</t>
  </si>
  <si>
    <t>5LN62</t>
  </si>
  <si>
    <t>S20 25 09.18</t>
  </si>
  <si>
    <t>W043 57 02.25</t>
  </si>
  <si>
    <t>5LN63</t>
  </si>
  <si>
    <t>S19 16 47.02</t>
  </si>
  <si>
    <t>W043 15 09.72</t>
  </si>
  <si>
    <t>5LN64</t>
  </si>
  <si>
    <t>S18 38 58.27</t>
  </si>
  <si>
    <t>W044 54 41.42</t>
  </si>
  <si>
    <t>5LNC2</t>
  </si>
  <si>
    <t>AKPUV</t>
  </si>
  <si>
    <t>S19 25 53.22</t>
  </si>
  <si>
    <t>W044 00 53.13</t>
  </si>
  <si>
    <t>S18 40 59.63</t>
  </si>
  <si>
    <t>W043 13 40.10</t>
  </si>
  <si>
    <t>AROVA</t>
  </si>
  <si>
    <t>S21 13 25.39</t>
  </si>
  <si>
    <t>W044 39 29.14</t>
  </si>
  <si>
    <t>BH012</t>
  </si>
  <si>
    <t>S19 51 55.07</t>
  </si>
  <si>
    <t>W043 54 34.68</t>
  </si>
  <si>
    <t>BH022</t>
  </si>
  <si>
    <t>S19 53 41.67</t>
  </si>
  <si>
    <t>W043 49 36.98</t>
  </si>
  <si>
    <t>BH029</t>
  </si>
  <si>
    <t>S19 55 28.14</t>
  </si>
  <si>
    <t>W043 44 39.16</t>
  </si>
  <si>
    <t>BH076</t>
  </si>
  <si>
    <t>S20 29 48.04</t>
  </si>
  <si>
    <t>W043 27 27.06</t>
  </si>
  <si>
    <t>BH077</t>
  </si>
  <si>
    <t>S20 51 33.29</t>
  </si>
  <si>
    <t>W043 17 22.92</t>
  </si>
  <si>
    <t>BH088</t>
  </si>
  <si>
    <t>S19 53 48.27</t>
  </si>
  <si>
    <t>W043 50 29.01</t>
  </si>
  <si>
    <t>BH089</t>
  </si>
  <si>
    <t>S19 57 00.70</t>
  </si>
  <si>
    <t>W043 36 30.21</t>
  </si>
  <si>
    <t>BH091</t>
  </si>
  <si>
    <t>S19 57 41.32</t>
  </si>
  <si>
    <t>W043 23 25.42</t>
  </si>
  <si>
    <t>BH092</t>
  </si>
  <si>
    <t>S20 04 01.06</t>
  </si>
  <si>
    <t>W044 22 19.54</t>
  </si>
  <si>
    <t>BH093</t>
  </si>
  <si>
    <t>S19 38 45.45</t>
  </si>
  <si>
    <t>W043 23 35.74</t>
  </si>
  <si>
    <t>BH096</t>
  </si>
  <si>
    <t>S19 23 39.49</t>
  </si>
  <si>
    <t>W043 21 07.97</t>
  </si>
  <si>
    <t>BH097</t>
  </si>
  <si>
    <t>S19 43 24.75</t>
  </si>
  <si>
    <t>W043 33 35.34</t>
  </si>
  <si>
    <t>BH098</t>
  </si>
  <si>
    <t>S19 34 18.95</t>
  </si>
  <si>
    <t>W043 22 52.30</t>
  </si>
  <si>
    <t>BH103</t>
  </si>
  <si>
    <t>S18 52 16.55</t>
  </si>
  <si>
    <t>W044 07 18.18</t>
  </si>
  <si>
    <t>BH106</t>
  </si>
  <si>
    <t>S20 07 48.63</t>
  </si>
  <si>
    <t>W043 54 29.04</t>
  </si>
  <si>
    <t>BH107</t>
  </si>
  <si>
    <t>S20 04 08.30</t>
  </si>
  <si>
    <t>W044 05 24.31</t>
  </si>
  <si>
    <t>BH108</t>
  </si>
  <si>
    <t>S19 36 15.75</t>
  </si>
  <si>
    <t>W043 39 26.74</t>
  </si>
  <si>
    <t>BH109</t>
  </si>
  <si>
    <t>S19 49 23.57</t>
  </si>
  <si>
    <t>W044 01 35.09</t>
  </si>
  <si>
    <t>BH111</t>
  </si>
  <si>
    <t>S19 50 01.61</t>
  </si>
  <si>
    <t>W044 06 50.40</t>
  </si>
  <si>
    <t>BH112</t>
  </si>
  <si>
    <t>S19 50 45.05</t>
  </si>
  <si>
    <t>W044 12 29.21</t>
  </si>
  <si>
    <t>BH113</t>
  </si>
  <si>
    <t>S19 31 09.04</t>
  </si>
  <si>
    <t>W044 27 19.38</t>
  </si>
  <si>
    <t>BH114</t>
  </si>
  <si>
    <t>S19 20 33.67</t>
  </si>
  <si>
    <t>W044 30 39.61</t>
  </si>
  <si>
    <t>BH116</t>
  </si>
  <si>
    <t>S19 09 27.17</t>
  </si>
  <si>
    <t>W044 23 52.85</t>
  </si>
  <si>
    <t>BH118</t>
  </si>
  <si>
    <t>S19 52 17.03</t>
  </si>
  <si>
    <t>W044 24 30.84</t>
  </si>
  <si>
    <t>BH119</t>
  </si>
  <si>
    <t>S19 47 11.36</t>
  </si>
  <si>
    <t>W044 33 29.32</t>
  </si>
  <si>
    <t>BH121</t>
  </si>
  <si>
    <t>S19 52 22.51</t>
  </si>
  <si>
    <t>W044 10 15.53</t>
  </si>
  <si>
    <t>BH124</t>
  </si>
  <si>
    <t>S20 08 58.21</t>
  </si>
  <si>
    <t>W044 06 42.09</t>
  </si>
  <si>
    <t>BH126</t>
  </si>
  <si>
    <t>S20 15 03.55</t>
  </si>
  <si>
    <t>W043 28 44.18</t>
  </si>
  <si>
    <t>BH127</t>
  </si>
  <si>
    <t>S20 13 09.52</t>
  </si>
  <si>
    <t>W043 21 21.56</t>
  </si>
  <si>
    <t>BH128</t>
  </si>
  <si>
    <t>S19 57 16.17</t>
  </si>
  <si>
    <t>W043 15 57.22</t>
  </si>
  <si>
    <t>BH129</t>
  </si>
  <si>
    <t>S19 34 36.52</t>
  </si>
  <si>
    <t>W043 17 36.63</t>
  </si>
  <si>
    <t>BH136</t>
  </si>
  <si>
    <t>S20 02 14.43</t>
  </si>
  <si>
    <t>W044 13 03.92</t>
  </si>
  <si>
    <t>BH137</t>
  </si>
  <si>
    <t>S20 09 18.68</t>
  </si>
  <si>
    <t>W044 17 09.70</t>
  </si>
  <si>
    <t>BH138</t>
  </si>
  <si>
    <t>S20 00 46.21</t>
  </si>
  <si>
    <t>W043 47 45.33</t>
  </si>
  <si>
    <t>BH139</t>
  </si>
  <si>
    <t>S20 05 27.96</t>
  </si>
  <si>
    <t>W044 16 25.37</t>
  </si>
  <si>
    <t>BH141</t>
  </si>
  <si>
    <t>S19 40 01.96</t>
  </si>
  <si>
    <t>W044 31 45.77</t>
  </si>
  <si>
    <t>BH142</t>
  </si>
  <si>
    <t>S19 54 37.95</t>
  </si>
  <si>
    <t>W043 27 16.46</t>
  </si>
  <si>
    <t>BH144</t>
  </si>
  <si>
    <t>S20 10 37.53</t>
  </si>
  <si>
    <t>W044 02 05.70</t>
  </si>
  <si>
    <t>BH147</t>
  </si>
  <si>
    <t>S19 47 04.82</t>
  </si>
  <si>
    <t>W044 27 35.81</t>
  </si>
  <si>
    <t>BH149</t>
  </si>
  <si>
    <t>S20 10 30.74</t>
  </si>
  <si>
    <t>W043 45 50.46</t>
  </si>
  <si>
    <t>BH151</t>
  </si>
  <si>
    <t>S20 21 07.45</t>
  </si>
  <si>
    <t>W043 57 23.65</t>
  </si>
  <si>
    <t>BH152</t>
  </si>
  <si>
    <t>S20 16 37.88</t>
  </si>
  <si>
    <t>W044 12 29.55</t>
  </si>
  <si>
    <t>BH153</t>
  </si>
  <si>
    <t>S19 49 20.91</t>
  </si>
  <si>
    <t>W044 23 44.19</t>
  </si>
  <si>
    <t>BH154</t>
  </si>
  <si>
    <t>S19 41 32.64</t>
  </si>
  <si>
    <t>W044 30 27.77</t>
  </si>
  <si>
    <t>BH156</t>
  </si>
  <si>
    <t>S19 35 07.40</t>
  </si>
  <si>
    <t>W044 35 58.83</t>
  </si>
  <si>
    <t>BH159</t>
  </si>
  <si>
    <t>S19 57 19.19</t>
  </si>
  <si>
    <t>W044 09 56.14</t>
  </si>
  <si>
    <t>BH161</t>
  </si>
  <si>
    <t>S19 49 12.33</t>
  </si>
  <si>
    <t>W043 20 02.26</t>
  </si>
  <si>
    <t>BH163</t>
  </si>
  <si>
    <t>S20 13 01.42</t>
  </si>
  <si>
    <t>W043 35 10.29</t>
  </si>
  <si>
    <t>BH164</t>
  </si>
  <si>
    <t>S20 11 56.40</t>
  </si>
  <si>
    <t>W043 28 34.61</t>
  </si>
  <si>
    <t>BH166</t>
  </si>
  <si>
    <t>S20 10 22.07</t>
  </si>
  <si>
    <t>W043 22 28.27</t>
  </si>
  <si>
    <t>BH167</t>
  </si>
  <si>
    <t>S20 13 20.20</t>
  </si>
  <si>
    <t>W044 26 34.83</t>
  </si>
  <si>
    <t>BH168</t>
  </si>
  <si>
    <t>S20 04 04.87</t>
  </si>
  <si>
    <t>W044 14 21.02</t>
  </si>
  <si>
    <t>S19 43 22.19</t>
  </si>
  <si>
    <t>W044 01 50.06</t>
  </si>
  <si>
    <t>S19 43 51.72</t>
  </si>
  <si>
    <t>W044 08 10.37</t>
  </si>
  <si>
    <t>CF003</t>
  </si>
  <si>
    <t>S19 50 34.95</t>
  </si>
  <si>
    <t>W044 28 21.62</t>
  </si>
  <si>
    <t>CF036</t>
  </si>
  <si>
    <t>S20 17 32.38</t>
  </si>
  <si>
    <t>W043 25 01.65</t>
  </si>
  <si>
    <t>CF037</t>
  </si>
  <si>
    <t>S19 48 29.00</t>
  </si>
  <si>
    <t>W043 30 45.89</t>
  </si>
  <si>
    <t>CF047</t>
  </si>
  <si>
    <t>S19 49 36.02</t>
  </si>
  <si>
    <t>W043 43 52.09</t>
  </si>
  <si>
    <t>CF073</t>
  </si>
  <si>
    <t>S19 57 06.05</t>
  </si>
  <si>
    <t>W044 22 55.35</t>
  </si>
  <si>
    <t>S19 44 54.14</t>
  </si>
  <si>
    <t>W044 27 00.93</t>
  </si>
  <si>
    <t>S19 35 15.29</t>
  </si>
  <si>
    <t>W044 46 14.58</t>
  </si>
  <si>
    <t>CF078</t>
  </si>
  <si>
    <t>S19 22 55.80</t>
  </si>
  <si>
    <t>W044 18 45.78</t>
  </si>
  <si>
    <t>CF079</t>
  </si>
  <si>
    <t>S19 51 04.30</t>
  </si>
  <si>
    <t>W043 46 28.37</t>
  </si>
  <si>
    <t>CF081</t>
  </si>
  <si>
    <t>S20 02 22.83</t>
  </si>
  <si>
    <t>W043 43 40.42</t>
  </si>
  <si>
    <t>CF088</t>
  </si>
  <si>
    <t>S19 20 26.56</t>
  </si>
  <si>
    <t>W043 48 27.11</t>
  </si>
  <si>
    <t>CF089</t>
  </si>
  <si>
    <t>S19 22 57.64</t>
  </si>
  <si>
    <t>W043 26 55.26</t>
  </si>
  <si>
    <t>CF092</t>
  </si>
  <si>
    <t>S19 12 35.38</t>
  </si>
  <si>
    <t>W043 26 36.06</t>
  </si>
  <si>
    <t>CF093</t>
  </si>
  <si>
    <t>S19 08 16.79</t>
  </si>
  <si>
    <t>W043 22 24.46</t>
  </si>
  <si>
    <t>CF094</t>
  </si>
  <si>
    <t>S19 02 30.22</t>
  </si>
  <si>
    <t>W043 27 18.90</t>
  </si>
  <si>
    <t>CF098</t>
  </si>
  <si>
    <t>S19 33 51.79</t>
  </si>
  <si>
    <t>W044 02 07.83</t>
  </si>
  <si>
    <t>CF099</t>
  </si>
  <si>
    <t>S18 53 35.06</t>
  </si>
  <si>
    <t>W043 49 33.29</t>
  </si>
  <si>
    <t>CF101</t>
  </si>
  <si>
    <t>S19 20 48.47</t>
  </si>
  <si>
    <t>W044 00 59.00</t>
  </si>
  <si>
    <t>CF102</t>
  </si>
  <si>
    <t>S19 38 41.85</t>
  </si>
  <si>
    <t>W044 05 05.21</t>
  </si>
  <si>
    <t>CF103</t>
  </si>
  <si>
    <t>S18 56 20.58</t>
  </si>
  <si>
    <t>W044 17 01.15</t>
  </si>
  <si>
    <t>CF104</t>
  </si>
  <si>
    <t>S19 40 42.95</t>
  </si>
  <si>
    <t>W044 09 48.58</t>
  </si>
  <si>
    <t>CF106</t>
  </si>
  <si>
    <t>S19 46 49.20</t>
  </si>
  <si>
    <t>W044 19 41.52</t>
  </si>
  <si>
    <t>CF107</t>
  </si>
  <si>
    <t>S19 42 25.42</t>
  </si>
  <si>
    <t>W044 20 02.97</t>
  </si>
  <si>
    <t>CF109</t>
  </si>
  <si>
    <t>S19 28 55.90</t>
  </si>
  <si>
    <t>W043 40 02.72</t>
  </si>
  <si>
    <t>CF111</t>
  </si>
  <si>
    <t>S19 28 25.09</t>
  </si>
  <si>
    <t>W043 10 48.61</t>
  </si>
  <si>
    <t>CF112</t>
  </si>
  <si>
    <t>S19 50 36.11</t>
  </si>
  <si>
    <t>W043 53 08.74</t>
  </si>
  <si>
    <t>CF113</t>
  </si>
  <si>
    <t>S19 56 26.20</t>
  </si>
  <si>
    <t>W043 47 21.99</t>
  </si>
  <si>
    <t>CF114</t>
  </si>
  <si>
    <t>S19 05 45.39</t>
  </si>
  <si>
    <t>W043 24 33.17</t>
  </si>
  <si>
    <t>S20 00 23.57</t>
  </si>
  <si>
    <t>W044 08 37.12</t>
  </si>
  <si>
    <t>CF123</t>
  </si>
  <si>
    <t>S19 10 00.17</t>
  </si>
  <si>
    <t>W043 53 28.72</t>
  </si>
  <si>
    <t>CF124</t>
  </si>
  <si>
    <t>S19 39 10.02</t>
  </si>
  <si>
    <t>W044 16 48.19</t>
  </si>
  <si>
    <t>CF126</t>
  </si>
  <si>
    <t>S19 41 23.56</t>
  </si>
  <si>
    <t>W044 02 03.52</t>
  </si>
  <si>
    <t>CF127</t>
  </si>
  <si>
    <t>S19 40 16.13</t>
  </si>
  <si>
    <t>W044 11 16.47</t>
  </si>
  <si>
    <t>CF129</t>
  </si>
  <si>
    <t>S19 34 06.35</t>
  </si>
  <si>
    <t>W044 41 58.36</t>
  </si>
  <si>
    <t>CF131</t>
  </si>
  <si>
    <t>S19 39 48.00</t>
  </si>
  <si>
    <t>W044 37 26.02</t>
  </si>
  <si>
    <t>CF132</t>
  </si>
  <si>
    <t>S19 47 15.26</t>
  </si>
  <si>
    <t>W043 41 04.79</t>
  </si>
  <si>
    <t>CF134</t>
  </si>
  <si>
    <t>S19 35 07.84</t>
  </si>
  <si>
    <t>W043 52 20.89</t>
  </si>
  <si>
    <t>CF136</t>
  </si>
  <si>
    <t>S19 24 40.39</t>
  </si>
  <si>
    <t>W044 04 37.88</t>
  </si>
  <si>
    <t>CF137</t>
  </si>
  <si>
    <t>S19 21 53.63</t>
  </si>
  <si>
    <t>W044 13 06.88</t>
  </si>
  <si>
    <t>CF138</t>
  </si>
  <si>
    <t>S19 19 41.70</t>
  </si>
  <si>
    <t>W043 55 38.38</t>
  </si>
  <si>
    <t>CF141</t>
  </si>
  <si>
    <t>S19 11 04.91</t>
  </si>
  <si>
    <t>W043 48 19.42</t>
  </si>
  <si>
    <t>CF142</t>
  </si>
  <si>
    <t>S19 43 12.41</t>
  </si>
  <si>
    <t>W043 16 59.23</t>
  </si>
  <si>
    <t>CF143</t>
  </si>
  <si>
    <t>S19 29 07.83</t>
  </si>
  <si>
    <t>W043 15 53.28</t>
  </si>
  <si>
    <t>CF144</t>
  </si>
  <si>
    <t>S19 54 52.55</t>
  </si>
  <si>
    <t>W043 35 45.64</t>
  </si>
  <si>
    <t>CF146</t>
  </si>
  <si>
    <t>S20 01 37.98</t>
  </si>
  <si>
    <t>W043 32 34.71</t>
  </si>
  <si>
    <t>CF147</t>
  </si>
  <si>
    <t>S20 08 08.89</t>
  </si>
  <si>
    <t>W043 29 29.47</t>
  </si>
  <si>
    <t>CF148</t>
  </si>
  <si>
    <t>S20 07 25.81</t>
  </si>
  <si>
    <t>W043 42 34.67</t>
  </si>
  <si>
    <t>CF149</t>
  </si>
  <si>
    <t>S20 13 14.00</t>
  </si>
  <si>
    <t>W043 52 32.91</t>
  </si>
  <si>
    <t>CF151</t>
  </si>
  <si>
    <t>S20 20 22.55</t>
  </si>
  <si>
    <t>W044 04 52.77</t>
  </si>
  <si>
    <t>S19 39 56.32</t>
  </si>
  <si>
    <t>W044 04 56.24</t>
  </si>
  <si>
    <t>CF156</t>
  </si>
  <si>
    <t>S19 34 11.20</t>
  </si>
  <si>
    <t>W043 53 13.44</t>
  </si>
  <si>
    <t>CF158</t>
  </si>
  <si>
    <t>S19 16 14.57</t>
  </si>
  <si>
    <t>W043 52 42.39</t>
  </si>
  <si>
    <t>CF159</t>
  </si>
  <si>
    <t>S19 13 37.71</t>
  </si>
  <si>
    <t>W044 26 43.72</t>
  </si>
  <si>
    <t>CF161</t>
  </si>
  <si>
    <t>S19 16 41.25</t>
  </si>
  <si>
    <t>W044 21 41.90</t>
  </si>
  <si>
    <t>CF162</t>
  </si>
  <si>
    <t>S19 41 49.52</t>
  </si>
  <si>
    <t>W043 40 29.13</t>
  </si>
  <si>
    <t>CF163</t>
  </si>
  <si>
    <t>S19 00 06.12</t>
  </si>
  <si>
    <t>W043 29 21.26</t>
  </si>
  <si>
    <t>CF164</t>
  </si>
  <si>
    <t>S19 50 28.19</t>
  </si>
  <si>
    <t>W043 58 36.31</t>
  </si>
  <si>
    <t>CF167</t>
  </si>
  <si>
    <t>S19 08 29.70</t>
  </si>
  <si>
    <t>W043 46 07.68</t>
  </si>
  <si>
    <t>CF168</t>
  </si>
  <si>
    <t>S19 38 47.18</t>
  </si>
  <si>
    <t>W044 14 03.36</t>
  </si>
  <si>
    <t>CFNL1</t>
  </si>
  <si>
    <t>S19 36 21.46</t>
  </si>
  <si>
    <t>W044 08 14.63</t>
  </si>
  <si>
    <t>CFNL3</t>
  </si>
  <si>
    <t>S19 31 28.84</t>
  </si>
  <si>
    <t>W044 04 40.75</t>
  </si>
  <si>
    <t>CFNL5</t>
  </si>
  <si>
    <t>S19 32 19.76</t>
  </si>
  <si>
    <t>W044 03 23.20</t>
  </si>
  <si>
    <t>CFNL6</t>
  </si>
  <si>
    <t>S19 34 23.46</t>
  </si>
  <si>
    <t>W044 01 28.94</t>
  </si>
  <si>
    <t>DAKDA</t>
  </si>
  <si>
    <t>S21 16 49.27</t>
  </si>
  <si>
    <t>W043 05 38.03</t>
  </si>
  <si>
    <t>DEUCA</t>
  </si>
  <si>
    <t>S20 29 22.74</t>
  </si>
  <si>
    <t>W044 46 15.12</t>
  </si>
  <si>
    <t>EGBIG</t>
  </si>
  <si>
    <t>S18 47 17.026</t>
  </si>
  <si>
    <t>W043 01 58.58</t>
  </si>
  <si>
    <t>ESLUM</t>
  </si>
  <si>
    <t>S20 55 47.93</t>
  </si>
  <si>
    <t>W043 59 01.46</t>
  </si>
  <si>
    <t>GAZAR</t>
  </si>
  <si>
    <t>S20 33 34.25</t>
  </si>
  <si>
    <t>W043 51 59.20</t>
  </si>
  <si>
    <t>GEVMI</t>
  </si>
  <si>
    <t>S16 51 10.80</t>
  </si>
  <si>
    <t>W044 44 16.80</t>
  </si>
  <si>
    <t>GIMPO</t>
  </si>
  <si>
    <t>S18 59 54.09</t>
  </si>
  <si>
    <t>W044 25 33.35</t>
  </si>
  <si>
    <t>ISNEM</t>
  </si>
  <si>
    <t>S18 14 28.77</t>
  </si>
  <si>
    <t>W043 24 43.20</t>
  </si>
  <si>
    <t>KADOR</t>
  </si>
  <si>
    <t>S18 55 36.69</t>
  </si>
  <si>
    <t>W042 46 52.09</t>
  </si>
  <si>
    <t>S20 47 37.45</t>
  </si>
  <si>
    <t>W044 34 16.25</t>
  </si>
  <si>
    <t>KIMUS</t>
  </si>
  <si>
    <t>S19 51 04.60</t>
  </si>
  <si>
    <t>W043 37 33.48</t>
  </si>
  <si>
    <t>KUGUT</t>
  </si>
  <si>
    <t>S19 42 12.57</t>
  </si>
  <si>
    <t>W043 45 47.39</t>
  </si>
  <si>
    <t>MAVGU</t>
  </si>
  <si>
    <t>S21 27 27.08</t>
  </si>
  <si>
    <t>W044 09 10.54</t>
  </si>
  <si>
    <t>S19 31 52.92</t>
  </si>
  <si>
    <t>W044 52 55.00</t>
  </si>
  <si>
    <t>NIPDA</t>
  </si>
  <si>
    <t>S19 39 22.80</t>
  </si>
  <si>
    <t>W043 07 01.20</t>
  </si>
  <si>
    <t>NITGI</t>
  </si>
  <si>
    <t>S17 24 08.40</t>
  </si>
  <si>
    <t>W045 01 27.00</t>
  </si>
  <si>
    <t>OLEAR</t>
  </si>
  <si>
    <t>S20 18 36.18</t>
  </si>
  <si>
    <t>W045 33 27.36</t>
  </si>
  <si>
    <t>OPTEB</t>
  </si>
  <si>
    <t>S18 23 15.33</t>
  </si>
  <si>
    <t>W043 07 50.22</t>
  </si>
  <si>
    <t>OSOMI</t>
  </si>
  <si>
    <t>S19 26 04.45</t>
  </si>
  <si>
    <t>W044 09 08.98</t>
  </si>
  <si>
    <t>PABES</t>
  </si>
  <si>
    <t>S18 06 21.20</t>
  </si>
  <si>
    <t>W043 40 12.27</t>
  </si>
  <si>
    <t>PANAS</t>
  </si>
  <si>
    <t>S19 33 32.28</t>
  </si>
  <si>
    <t>W042 29 18.09</t>
  </si>
  <si>
    <t>PULKU</t>
  </si>
  <si>
    <t>S19 06 18.00</t>
  </si>
  <si>
    <t>W042 26 26.27</t>
  </si>
  <si>
    <t>REINA</t>
  </si>
  <si>
    <t>S18 26 16.80</t>
  </si>
  <si>
    <t>W045 34 16.80</t>
  </si>
  <si>
    <t>RORIP</t>
  </si>
  <si>
    <t>S18 03 16.80</t>
  </si>
  <si>
    <t>W044 26 01.80</t>
  </si>
  <si>
    <t>RWY16</t>
  </si>
  <si>
    <t>S19 37 24.68</t>
  </si>
  <si>
    <t>W043 58 41.44</t>
  </si>
  <si>
    <t>RWY13</t>
  </si>
  <si>
    <t>S19 50 49.43</t>
  </si>
  <si>
    <t>W043 57 37.72</t>
  </si>
  <si>
    <t>RWY31</t>
  </si>
  <si>
    <t>S19 51 16.62</t>
  </si>
  <si>
    <t>W043 56 21.84</t>
  </si>
  <si>
    <t>SET01</t>
  </si>
  <si>
    <t>S19 12 55.55</t>
  </si>
  <si>
    <t>W044 38 41.97</t>
  </si>
  <si>
    <t>SET02</t>
  </si>
  <si>
    <t>S20 20 45.09</t>
  </si>
  <si>
    <t>W044 28 18.92</t>
  </si>
  <si>
    <t>SET03</t>
  </si>
  <si>
    <t>S19 48 37.52</t>
  </si>
  <si>
    <t>W044 09 52.29</t>
  </si>
  <si>
    <t>SET04</t>
  </si>
  <si>
    <t>S19 43 38.14</t>
  </si>
  <si>
    <t>W043 55 13.19</t>
  </si>
  <si>
    <t>SET05</t>
  </si>
  <si>
    <t>S19 32 23.78</t>
  </si>
  <si>
    <t>W044 04 29.94</t>
  </si>
  <si>
    <t>SET06</t>
  </si>
  <si>
    <t>S19 35 38.74</t>
  </si>
  <si>
    <t>W044 01 49.24</t>
  </si>
  <si>
    <t>SET07</t>
  </si>
  <si>
    <t>S18 57 44.20</t>
  </si>
  <si>
    <t>W043 32 10.63</t>
  </si>
  <si>
    <t>SET17</t>
  </si>
  <si>
    <t>S20 00 50.17</t>
  </si>
  <si>
    <t>W043 09 25.97</t>
  </si>
  <si>
    <t>SET18</t>
  </si>
  <si>
    <t>S19 59 09.30</t>
  </si>
  <si>
    <t>W043 42 20.23</t>
  </si>
  <si>
    <t>SET24</t>
  </si>
  <si>
    <t>S19 31 49.36</t>
  </si>
  <si>
    <t>W043 50 15.31</t>
  </si>
  <si>
    <t>SET25</t>
  </si>
  <si>
    <t>S19 15 23.42</t>
  </si>
  <si>
    <t>W044 05 05.02</t>
  </si>
  <si>
    <t>SET26</t>
  </si>
  <si>
    <t>S19 28 03.37</t>
  </si>
  <si>
    <t>W044 20 44.01</t>
  </si>
  <si>
    <t>SET27</t>
  </si>
  <si>
    <t>S19 44 30.78</t>
  </si>
  <si>
    <t>W044 05 54.10</t>
  </si>
  <si>
    <t>SET28</t>
  </si>
  <si>
    <t>S19 38 39.42</t>
  </si>
  <si>
    <t>W043 44 03.48</t>
  </si>
  <si>
    <t>SET29</t>
  </si>
  <si>
    <t>S19 42 57.04</t>
  </si>
  <si>
    <t>W043 32 01.89</t>
  </si>
  <si>
    <t>SET30</t>
  </si>
  <si>
    <t>S19 57 29.58</t>
  </si>
  <si>
    <t>W043 34 50.06</t>
  </si>
  <si>
    <t>SET31</t>
  </si>
  <si>
    <t>S19 47 17.36</t>
  </si>
  <si>
    <t>W044 03 23.37</t>
  </si>
  <si>
    <t>SET32</t>
  </si>
  <si>
    <t>S19 49 48.22</t>
  </si>
  <si>
    <t>W043 56 23.13</t>
  </si>
  <si>
    <t>SET33</t>
  </si>
  <si>
    <t>S20 02 19.67</t>
  </si>
  <si>
    <t>W044 01 22.15</t>
  </si>
  <si>
    <t>SET34</t>
  </si>
  <si>
    <t>S20 01 06.87</t>
  </si>
  <si>
    <t>W044 04 45.38</t>
  </si>
  <si>
    <t>SET35</t>
  </si>
  <si>
    <t>S20 01 52.85</t>
  </si>
  <si>
    <t>W044 17 26.49</t>
  </si>
  <si>
    <t>SET36</t>
  </si>
  <si>
    <t>S19 47 14.07</t>
  </si>
  <si>
    <t>W044 22 53.73</t>
  </si>
  <si>
    <t>SET37</t>
  </si>
  <si>
    <t>S19 46 12.85</t>
  </si>
  <si>
    <t>W044 04 21.76</t>
  </si>
  <si>
    <t>SET38</t>
  </si>
  <si>
    <t>S20 10 51.64</t>
  </si>
  <si>
    <t>W043 37 24.47</t>
  </si>
  <si>
    <t>THR31</t>
  </si>
  <si>
    <t>THR13</t>
  </si>
  <si>
    <t>THR34</t>
  </si>
  <si>
    <t>S19 38 52.72</t>
  </si>
  <si>
    <t>W043 57 20.06</t>
  </si>
  <si>
    <t>TMA1</t>
  </si>
  <si>
    <t>TMA10</t>
  </si>
  <si>
    <t>TMA11</t>
  </si>
  <si>
    <t>S20 10 15.64</t>
  </si>
  <si>
    <t>W043 14 37.92</t>
  </si>
  <si>
    <t>TMA12</t>
  </si>
  <si>
    <t>S20 29 47.87</t>
  </si>
  <si>
    <t>W043 27 27.27</t>
  </si>
  <si>
    <t>TMA13</t>
  </si>
  <si>
    <t>TMA14</t>
  </si>
  <si>
    <t>TMA15</t>
  </si>
  <si>
    <t>TMA16</t>
  </si>
  <si>
    <t>TMA17</t>
  </si>
  <si>
    <t>TMA2</t>
  </si>
  <si>
    <t>S19 07 33.71</t>
  </si>
  <si>
    <t>W044 36 40.65</t>
  </si>
  <si>
    <t>TMA20</t>
  </si>
  <si>
    <t>S19 58 37.89</t>
  </si>
  <si>
    <t>W044 18 13.72</t>
  </si>
  <si>
    <t>TMA21</t>
  </si>
  <si>
    <t>S19 55 45.47</t>
  </si>
  <si>
    <t>W043 58 50.24</t>
  </si>
  <si>
    <t>TMA22</t>
  </si>
  <si>
    <t>S20 02 55.78</t>
  </si>
  <si>
    <t>W043 56 47.98</t>
  </si>
  <si>
    <t>TMA23</t>
  </si>
  <si>
    <t>S20 06 12.82</t>
  </si>
  <si>
    <t>W043 47 36.94</t>
  </si>
  <si>
    <t>TMA24</t>
  </si>
  <si>
    <t>S19 54 07.72</t>
  </si>
  <si>
    <t>W043 31 22.28</t>
  </si>
  <si>
    <t>TMA25</t>
  </si>
  <si>
    <t>S19 30 06.51</t>
  </si>
  <si>
    <t>W043 29 12.37</t>
  </si>
  <si>
    <t>TMA26</t>
  </si>
  <si>
    <t>S19 09 57.62</t>
  </si>
  <si>
    <t>W043 56 35.38</t>
  </si>
  <si>
    <t>TMA27</t>
  </si>
  <si>
    <t>S19 13 29.84</t>
  </si>
  <si>
    <t>W044 14 22.47</t>
  </si>
  <si>
    <t>TMA28</t>
  </si>
  <si>
    <t>S19 17 40.07</t>
  </si>
  <si>
    <t>W044 22 45.59</t>
  </si>
  <si>
    <t>TMA29</t>
  </si>
  <si>
    <t>S19 31 25.02</t>
  </si>
  <si>
    <t>W044 25 39.37</t>
  </si>
  <si>
    <t>TMA3</t>
  </si>
  <si>
    <t>S18 59 54.56</t>
  </si>
  <si>
    <t>W044 25 33.26</t>
  </si>
  <si>
    <t>TMA4</t>
  </si>
  <si>
    <t>TMA5</t>
  </si>
  <si>
    <t>TMA6</t>
  </si>
  <si>
    <t>TMA7</t>
  </si>
  <si>
    <t>TMA8</t>
  </si>
  <si>
    <t>TMA9</t>
  </si>
  <si>
    <t>TOKUR</t>
  </si>
  <si>
    <t>S20 48 35.91</t>
  </si>
  <si>
    <t>W043 10 12.78</t>
  </si>
  <si>
    <t>UGULO</t>
  </si>
  <si>
    <t>S20 00 12.00</t>
  </si>
  <si>
    <t>W042 31 37.00</t>
  </si>
  <si>
    <t>USVOL</t>
  </si>
  <si>
    <t>S17 32 37.13</t>
  </si>
  <si>
    <t>W043 11 57.87</t>
  </si>
  <si>
    <t>UTBEL</t>
  </si>
  <si>
    <t>S19 49 01.50</t>
  </si>
  <si>
    <t>W044 02 38.09</t>
  </si>
  <si>
    <t>VADON</t>
  </si>
  <si>
    <t>S19 48 26.40</t>
  </si>
  <si>
    <t>W043 48 28.80</t>
  </si>
  <si>
    <t>VULAD</t>
  </si>
  <si>
    <t>S19 09 43.29</t>
  </si>
  <si>
    <t>W045 58 53.33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</si>
</sst>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00:00"/>
    <numFmt numFmtId="166" formatCode="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1" t="s">
        <v>14</v>
      </c>
      <c r="C2" s="3">
        <v>0.375</v>
      </c>
      <c r="D2" s="1">
        <v>8000.0</v>
      </c>
      <c r="E2" s="4">
        <v>1.0</v>
      </c>
      <c r="F2" s="4">
        <v>2.0</v>
      </c>
      <c r="G2" s="4">
        <v>3.0</v>
      </c>
      <c r="H2" s="4">
        <v>4.0</v>
      </c>
      <c r="I2" s="1">
        <v>1013.0</v>
      </c>
      <c r="J2" s="1">
        <v>955.0</v>
      </c>
      <c r="K2" s="1">
        <v>1055.0</v>
      </c>
      <c r="L2" s="1">
        <v>0.1</v>
      </c>
      <c r="N2" s="5" t="s">
        <v>15</v>
      </c>
    </row>
    <row r="3">
      <c r="A3" s="6"/>
      <c r="C3" s="7"/>
      <c r="E3" s="8"/>
      <c r="F3" s="8"/>
      <c r="G3" s="8"/>
      <c r="H3" s="8"/>
      <c r="N3" s="9"/>
    </row>
    <row r="4">
      <c r="A4" s="6"/>
      <c r="C4" s="7"/>
      <c r="E4" s="8"/>
      <c r="F4" s="8"/>
      <c r="G4" s="8"/>
      <c r="H4" s="8"/>
      <c r="N4" s="9"/>
    </row>
    <row r="5">
      <c r="A5" s="6"/>
      <c r="C5" s="7"/>
      <c r="E5" s="8"/>
      <c r="F5" s="8"/>
      <c r="G5" s="8"/>
      <c r="H5" s="8"/>
      <c r="N5" s="9"/>
    </row>
    <row r="6">
      <c r="A6" s="6"/>
      <c r="C6" s="7"/>
      <c r="E6" s="8"/>
      <c r="F6" s="8"/>
      <c r="G6" s="8"/>
      <c r="H6" s="8"/>
      <c r="N6" s="9"/>
    </row>
    <row r="7">
      <c r="A7" s="6"/>
      <c r="C7" s="7"/>
      <c r="E7" s="8"/>
      <c r="F7" s="8"/>
      <c r="G7" s="8"/>
      <c r="H7" s="8"/>
      <c r="N7" s="9"/>
    </row>
    <row r="8">
      <c r="A8" s="6"/>
      <c r="C8" s="7"/>
      <c r="E8" s="8"/>
      <c r="F8" s="8"/>
      <c r="G8" s="8"/>
      <c r="H8" s="8"/>
      <c r="N8" s="9"/>
    </row>
    <row r="9">
      <c r="A9" s="6"/>
      <c r="C9" s="7"/>
      <c r="E9" s="8"/>
      <c r="F9" s="8"/>
      <c r="G9" s="8"/>
      <c r="H9" s="8"/>
      <c r="N9" s="9"/>
    </row>
    <row r="10">
      <c r="A10" s="6"/>
      <c r="C10" s="7"/>
      <c r="E10" s="8"/>
      <c r="F10" s="8"/>
      <c r="G10" s="8"/>
      <c r="H10" s="8"/>
      <c r="N10" s="9"/>
    </row>
    <row r="11">
      <c r="A11" s="6"/>
      <c r="C11" s="7"/>
      <c r="E11" s="8"/>
      <c r="F11" s="8"/>
      <c r="G11" s="8"/>
      <c r="H11" s="8"/>
      <c r="N11" s="9"/>
    </row>
    <row r="12">
      <c r="A12" s="6"/>
      <c r="C12" s="7"/>
      <c r="E12" s="8"/>
      <c r="F12" s="8"/>
      <c r="G12" s="8"/>
      <c r="H12" s="8"/>
      <c r="N12" s="9"/>
    </row>
    <row r="13">
      <c r="A13" s="6"/>
      <c r="C13" s="7"/>
      <c r="E13" s="8"/>
      <c r="F13" s="8"/>
      <c r="G13" s="8"/>
      <c r="H13" s="8"/>
      <c r="N13" s="9"/>
    </row>
    <row r="14">
      <c r="A14" s="6"/>
      <c r="C14" s="7"/>
      <c r="E14" s="8"/>
      <c r="F14" s="8"/>
      <c r="G14" s="8"/>
      <c r="H14" s="8"/>
      <c r="N14" s="9"/>
    </row>
    <row r="15">
      <c r="A15" s="6"/>
      <c r="C15" s="7"/>
      <c r="E15" s="8"/>
      <c r="F15" s="8"/>
      <c r="G15" s="8"/>
      <c r="H15" s="8"/>
      <c r="N15" s="9"/>
    </row>
    <row r="16">
      <c r="A16" s="6"/>
      <c r="C16" s="7"/>
      <c r="E16" s="8"/>
      <c r="F16" s="8"/>
      <c r="G16" s="8"/>
      <c r="H16" s="8"/>
      <c r="N16" s="9"/>
    </row>
    <row r="17">
      <c r="A17" s="6"/>
      <c r="C17" s="7"/>
      <c r="E17" s="8"/>
      <c r="F17" s="8"/>
      <c r="G17" s="8"/>
      <c r="H17" s="8"/>
      <c r="N17" s="9"/>
    </row>
    <row r="18">
      <c r="A18" s="6"/>
      <c r="C18" s="7"/>
      <c r="E18" s="8"/>
      <c r="F18" s="8"/>
      <c r="G18" s="8"/>
      <c r="H18" s="8"/>
      <c r="N18" s="9"/>
    </row>
    <row r="19">
      <c r="A19" s="6"/>
      <c r="C19" s="7"/>
      <c r="E19" s="8"/>
      <c r="F19" s="8"/>
      <c r="G19" s="8"/>
      <c r="H19" s="8"/>
      <c r="N19" s="9"/>
    </row>
    <row r="20">
      <c r="A20" s="6"/>
      <c r="C20" s="7"/>
      <c r="E20" s="8"/>
      <c r="F20" s="8"/>
      <c r="G20" s="8"/>
      <c r="H20" s="8"/>
      <c r="N20" s="9"/>
    </row>
    <row r="21">
      <c r="A21" s="6"/>
      <c r="C21" s="7"/>
      <c r="E21" s="8"/>
      <c r="F21" s="8"/>
      <c r="G21" s="8"/>
      <c r="H21" s="8"/>
      <c r="N21" s="9"/>
    </row>
    <row r="22">
      <c r="A22" s="6"/>
      <c r="C22" s="7"/>
      <c r="E22" s="8"/>
      <c r="F22" s="8"/>
      <c r="G22" s="8"/>
      <c r="H22" s="8"/>
      <c r="N22" s="9"/>
    </row>
    <row r="23">
      <c r="A23" s="6"/>
      <c r="C23" s="7"/>
      <c r="E23" s="8"/>
      <c r="F23" s="8"/>
      <c r="G23" s="8"/>
      <c r="H23" s="8"/>
      <c r="N23" s="9"/>
    </row>
    <row r="24">
      <c r="A24" s="6"/>
      <c r="C24" s="7"/>
      <c r="E24" s="8"/>
      <c r="F24" s="8"/>
      <c r="G24" s="8"/>
      <c r="H24" s="8"/>
      <c r="N24" s="9"/>
    </row>
    <row r="25">
      <c r="A25" s="6"/>
      <c r="C25" s="7"/>
      <c r="E25" s="8"/>
      <c r="F25" s="8"/>
      <c r="G25" s="8"/>
      <c r="H25" s="8"/>
      <c r="N25" s="9"/>
    </row>
    <row r="26">
      <c r="A26" s="6"/>
      <c r="C26" s="7"/>
      <c r="E26" s="8"/>
      <c r="F26" s="8"/>
      <c r="G26" s="8"/>
      <c r="H26" s="8"/>
      <c r="N26" s="9"/>
    </row>
    <row r="27">
      <c r="A27" s="6"/>
      <c r="C27" s="7"/>
      <c r="E27" s="8"/>
      <c r="F27" s="8"/>
      <c r="G27" s="8"/>
      <c r="H27" s="8"/>
      <c r="N27" s="9"/>
    </row>
    <row r="28">
      <c r="A28" s="6"/>
      <c r="C28" s="7"/>
      <c r="E28" s="8"/>
      <c r="F28" s="8"/>
      <c r="G28" s="8"/>
      <c r="H28" s="8"/>
      <c r="N28" s="9"/>
    </row>
    <row r="29">
      <c r="A29" s="6"/>
      <c r="C29" s="7"/>
      <c r="E29" s="8"/>
      <c r="F29" s="8"/>
      <c r="G29" s="8"/>
      <c r="H29" s="8"/>
      <c r="N29" s="9"/>
    </row>
    <row r="30">
      <c r="A30" s="6"/>
      <c r="C30" s="7"/>
      <c r="E30" s="8"/>
      <c r="F30" s="8"/>
      <c r="G30" s="8"/>
      <c r="H30" s="8"/>
      <c r="N30" s="9"/>
    </row>
    <row r="31">
      <c r="A31" s="6"/>
      <c r="C31" s="7"/>
      <c r="E31" s="8"/>
      <c r="F31" s="8"/>
      <c r="G31" s="8"/>
      <c r="H31" s="8"/>
      <c r="N31" s="9"/>
    </row>
    <row r="32">
      <c r="A32" s="6"/>
      <c r="C32" s="7"/>
      <c r="E32" s="8"/>
      <c r="F32" s="8"/>
      <c r="G32" s="8"/>
      <c r="H32" s="8"/>
      <c r="N32" s="9"/>
    </row>
    <row r="33">
      <c r="A33" s="6"/>
      <c r="C33" s="7"/>
      <c r="E33" s="8"/>
      <c r="F33" s="8"/>
      <c r="G33" s="8"/>
      <c r="H33" s="8"/>
      <c r="N33" s="9"/>
    </row>
    <row r="34">
      <c r="A34" s="6"/>
      <c r="C34" s="7"/>
      <c r="E34" s="8"/>
      <c r="F34" s="8"/>
      <c r="G34" s="8"/>
      <c r="H34" s="8"/>
      <c r="N34" s="9"/>
    </row>
    <row r="35">
      <c r="A35" s="6"/>
      <c r="C35" s="7"/>
      <c r="E35" s="8"/>
      <c r="F35" s="8"/>
      <c r="G35" s="8"/>
      <c r="H35" s="8"/>
      <c r="N35" s="9"/>
    </row>
    <row r="36">
      <c r="A36" s="6"/>
      <c r="C36" s="7"/>
      <c r="E36" s="8"/>
      <c r="F36" s="8"/>
      <c r="G36" s="8"/>
      <c r="H36" s="8"/>
      <c r="N36" s="9"/>
    </row>
    <row r="37">
      <c r="A37" s="6"/>
      <c r="C37" s="7"/>
      <c r="E37" s="8"/>
      <c r="F37" s="8"/>
      <c r="G37" s="8"/>
      <c r="H37" s="8"/>
      <c r="N37" s="9"/>
    </row>
    <row r="38">
      <c r="A38" s="6"/>
      <c r="C38" s="7"/>
      <c r="E38" s="8"/>
      <c r="F38" s="8"/>
      <c r="G38" s="8"/>
      <c r="H38" s="8"/>
      <c r="N38" s="9"/>
    </row>
    <row r="39">
      <c r="A39" s="6"/>
      <c r="C39" s="7"/>
      <c r="E39" s="8"/>
      <c r="F39" s="8"/>
      <c r="G39" s="8"/>
      <c r="H39" s="8"/>
      <c r="N39" s="9"/>
    </row>
    <row r="40">
      <c r="A40" s="6"/>
      <c r="C40" s="7"/>
      <c r="E40" s="8"/>
      <c r="F40" s="8"/>
      <c r="G40" s="8"/>
      <c r="H40" s="8"/>
      <c r="N40" s="9"/>
    </row>
    <row r="41">
      <c r="A41" s="6"/>
      <c r="C41" s="7"/>
      <c r="E41" s="8"/>
      <c r="F41" s="8"/>
      <c r="G41" s="8"/>
      <c r="H41" s="8"/>
      <c r="N41" s="9"/>
    </row>
    <row r="42">
      <c r="A42" s="6"/>
      <c r="C42" s="7"/>
      <c r="E42" s="8"/>
      <c r="F42" s="8"/>
      <c r="G42" s="8"/>
      <c r="H42" s="8"/>
      <c r="N42" s="9"/>
    </row>
    <row r="43">
      <c r="A43" s="6"/>
      <c r="C43" s="7"/>
      <c r="E43" s="8"/>
      <c r="F43" s="8"/>
      <c r="G43" s="8"/>
      <c r="H43" s="8"/>
      <c r="N43" s="9"/>
    </row>
    <row r="44">
      <c r="A44" s="6"/>
      <c r="C44" s="7"/>
      <c r="E44" s="8"/>
      <c r="F44" s="8"/>
      <c r="G44" s="8"/>
      <c r="H44" s="8"/>
      <c r="N44" s="9"/>
    </row>
    <row r="45">
      <c r="A45" s="6"/>
      <c r="C45" s="7"/>
      <c r="E45" s="8"/>
      <c r="F45" s="8"/>
      <c r="G45" s="8"/>
      <c r="H45" s="8"/>
      <c r="N45" s="9"/>
    </row>
    <row r="46">
      <c r="A46" s="6"/>
      <c r="C46" s="7"/>
      <c r="E46" s="8"/>
      <c r="F46" s="8"/>
      <c r="G46" s="8"/>
      <c r="H46" s="8"/>
      <c r="N46" s="9"/>
    </row>
    <row r="47">
      <c r="A47" s="6"/>
      <c r="C47" s="7"/>
      <c r="E47" s="8"/>
      <c r="F47" s="8"/>
      <c r="G47" s="8"/>
      <c r="H47" s="8"/>
      <c r="N47" s="9"/>
    </row>
    <row r="48">
      <c r="A48" s="6"/>
      <c r="C48" s="7"/>
      <c r="E48" s="8"/>
      <c r="F48" s="8"/>
      <c r="G48" s="8"/>
      <c r="H48" s="8"/>
      <c r="N48" s="9"/>
    </row>
    <row r="49">
      <c r="A49" s="6"/>
      <c r="C49" s="7"/>
      <c r="E49" s="8"/>
      <c r="F49" s="8"/>
      <c r="G49" s="8"/>
      <c r="H49" s="8"/>
      <c r="N49" s="9"/>
    </row>
    <row r="50">
      <c r="A50" s="6"/>
      <c r="C50" s="7"/>
      <c r="E50" s="8"/>
      <c r="F50" s="8"/>
      <c r="G50" s="8"/>
      <c r="H50" s="8"/>
      <c r="N50" s="9"/>
    </row>
    <row r="51">
      <c r="A51" s="6"/>
      <c r="C51" s="7"/>
      <c r="E51" s="8"/>
      <c r="F51" s="8"/>
      <c r="G51" s="8"/>
      <c r="H51" s="8"/>
      <c r="N51" s="9"/>
    </row>
    <row r="52">
      <c r="A52" s="6"/>
      <c r="C52" s="7"/>
      <c r="E52" s="8"/>
      <c r="F52" s="8"/>
      <c r="G52" s="8"/>
      <c r="H52" s="8"/>
      <c r="N52" s="9"/>
    </row>
    <row r="53">
      <c r="A53" s="6"/>
      <c r="C53" s="7"/>
      <c r="E53" s="8"/>
      <c r="F53" s="8"/>
      <c r="G53" s="8"/>
      <c r="H53" s="8"/>
      <c r="N53" s="9"/>
    </row>
    <row r="54">
      <c r="A54" s="6"/>
      <c r="C54" s="7"/>
      <c r="E54" s="8"/>
      <c r="F54" s="8"/>
      <c r="G54" s="8"/>
      <c r="H54" s="8"/>
      <c r="N54" s="9"/>
    </row>
    <row r="55">
      <c r="A55" s="6"/>
      <c r="C55" s="7"/>
      <c r="E55" s="8"/>
      <c r="F55" s="8"/>
      <c r="G55" s="8"/>
      <c r="H55" s="8"/>
      <c r="N55" s="9"/>
    </row>
    <row r="56">
      <c r="A56" s="6"/>
      <c r="C56" s="7"/>
      <c r="E56" s="8"/>
      <c r="F56" s="8"/>
      <c r="G56" s="8"/>
      <c r="H56" s="8"/>
      <c r="N56" s="9"/>
    </row>
    <row r="57">
      <c r="A57" s="6"/>
      <c r="C57" s="7"/>
      <c r="E57" s="8"/>
      <c r="F57" s="8"/>
      <c r="G57" s="8"/>
      <c r="H57" s="8"/>
      <c r="N57" s="9"/>
    </row>
    <row r="58">
      <c r="A58" s="6"/>
      <c r="C58" s="7"/>
      <c r="E58" s="8"/>
      <c r="F58" s="8"/>
      <c r="G58" s="8"/>
      <c r="H58" s="8"/>
      <c r="N58" s="9"/>
    </row>
    <row r="59">
      <c r="A59" s="6"/>
      <c r="C59" s="7"/>
      <c r="E59" s="8"/>
      <c r="F59" s="8"/>
      <c r="G59" s="8"/>
      <c r="H59" s="8"/>
      <c r="N59" s="9"/>
    </row>
    <row r="60">
      <c r="A60" s="6"/>
      <c r="C60" s="7"/>
      <c r="E60" s="8"/>
      <c r="F60" s="8"/>
      <c r="G60" s="8"/>
      <c r="H60" s="8"/>
      <c r="N60" s="9"/>
    </row>
    <row r="61">
      <c r="A61" s="6"/>
      <c r="C61" s="7"/>
      <c r="E61" s="8"/>
      <c r="F61" s="8"/>
      <c r="G61" s="8"/>
      <c r="H61" s="8"/>
      <c r="N61" s="9"/>
    </row>
    <row r="62">
      <c r="A62" s="6"/>
      <c r="C62" s="7"/>
      <c r="E62" s="8"/>
      <c r="F62" s="8"/>
      <c r="G62" s="8"/>
      <c r="H62" s="8"/>
      <c r="N62" s="9"/>
    </row>
    <row r="63">
      <c r="A63" s="6"/>
      <c r="C63" s="7"/>
      <c r="E63" s="8"/>
      <c r="F63" s="8"/>
      <c r="G63" s="8"/>
      <c r="H63" s="8"/>
      <c r="N63" s="9"/>
    </row>
    <row r="64">
      <c r="A64" s="6"/>
      <c r="C64" s="7"/>
      <c r="E64" s="8"/>
      <c r="F64" s="8"/>
      <c r="G64" s="8"/>
      <c r="H64" s="8"/>
      <c r="N64" s="9"/>
    </row>
    <row r="65">
      <c r="A65" s="6"/>
      <c r="C65" s="7"/>
      <c r="E65" s="8"/>
      <c r="F65" s="8"/>
      <c r="G65" s="8"/>
      <c r="H65" s="8"/>
      <c r="N65" s="9"/>
    </row>
    <row r="66">
      <c r="A66" s="6"/>
      <c r="C66" s="7"/>
      <c r="E66" s="8"/>
      <c r="F66" s="8"/>
      <c r="G66" s="8"/>
      <c r="H66" s="8"/>
      <c r="N66" s="9"/>
    </row>
    <row r="67">
      <c r="A67" s="6"/>
      <c r="C67" s="7"/>
      <c r="E67" s="8"/>
      <c r="F67" s="8"/>
      <c r="G67" s="8"/>
      <c r="H67" s="8"/>
      <c r="N67" s="9"/>
    </row>
    <row r="68">
      <c r="A68" s="6"/>
      <c r="C68" s="7"/>
      <c r="E68" s="8"/>
      <c r="F68" s="8"/>
      <c r="G68" s="8"/>
      <c r="H68" s="8"/>
      <c r="N68" s="9"/>
    </row>
    <row r="69">
      <c r="A69" s="6"/>
      <c r="C69" s="7"/>
      <c r="E69" s="8"/>
      <c r="F69" s="8"/>
      <c r="G69" s="8"/>
      <c r="H69" s="8"/>
      <c r="N69" s="9"/>
    </row>
    <row r="70">
      <c r="A70" s="6"/>
      <c r="C70" s="7"/>
      <c r="E70" s="8"/>
      <c r="F70" s="8"/>
      <c r="G70" s="8"/>
      <c r="H70" s="8"/>
      <c r="N70" s="9"/>
    </row>
    <row r="71">
      <c r="A71" s="6"/>
      <c r="C71" s="7"/>
      <c r="E71" s="8"/>
      <c r="F71" s="8"/>
      <c r="G71" s="8"/>
      <c r="H71" s="8"/>
      <c r="N71" s="9"/>
    </row>
    <row r="72">
      <c r="A72" s="6"/>
      <c r="C72" s="7"/>
      <c r="E72" s="8"/>
      <c r="F72" s="8"/>
      <c r="G72" s="8"/>
      <c r="H72" s="8"/>
      <c r="N72" s="9"/>
    </row>
    <row r="73">
      <c r="A73" s="6"/>
      <c r="C73" s="7"/>
      <c r="E73" s="8"/>
      <c r="F73" s="8"/>
      <c r="G73" s="8"/>
      <c r="H73" s="8"/>
      <c r="N73" s="9"/>
    </row>
    <row r="74">
      <c r="A74" s="6"/>
      <c r="C74" s="7"/>
      <c r="E74" s="8"/>
      <c r="F74" s="8"/>
      <c r="G74" s="8"/>
      <c r="H74" s="8"/>
      <c r="N74" s="9"/>
    </row>
    <row r="75">
      <c r="A75" s="6"/>
      <c r="C75" s="7"/>
      <c r="E75" s="8"/>
      <c r="F75" s="8"/>
      <c r="G75" s="8"/>
      <c r="H75" s="8"/>
      <c r="N75" s="9"/>
    </row>
    <row r="76">
      <c r="A76" s="6"/>
      <c r="C76" s="7"/>
      <c r="E76" s="8"/>
      <c r="F76" s="8"/>
      <c r="G76" s="8"/>
      <c r="H76" s="8"/>
      <c r="N76" s="9"/>
    </row>
    <row r="77">
      <c r="A77" s="6"/>
      <c r="C77" s="7"/>
      <c r="E77" s="8"/>
      <c r="F77" s="8"/>
      <c r="G77" s="8"/>
      <c r="H77" s="8"/>
      <c r="N77" s="9"/>
    </row>
    <row r="78">
      <c r="A78" s="6"/>
      <c r="C78" s="7"/>
      <c r="E78" s="8"/>
      <c r="F78" s="8"/>
      <c r="G78" s="8"/>
      <c r="H78" s="8"/>
      <c r="N78" s="9"/>
    </row>
    <row r="79">
      <c r="A79" s="6"/>
      <c r="C79" s="7"/>
      <c r="E79" s="8"/>
      <c r="F79" s="8"/>
      <c r="G79" s="8"/>
      <c r="H79" s="8"/>
      <c r="N79" s="9"/>
    </row>
    <row r="80">
      <c r="A80" s="6"/>
      <c r="C80" s="7"/>
      <c r="E80" s="8"/>
      <c r="F80" s="8"/>
      <c r="G80" s="8"/>
      <c r="H80" s="8"/>
      <c r="N80" s="9"/>
    </row>
    <row r="81">
      <c r="A81" s="6"/>
      <c r="C81" s="7"/>
      <c r="E81" s="8"/>
      <c r="F81" s="8"/>
      <c r="G81" s="8"/>
      <c r="H81" s="8"/>
      <c r="N81" s="9"/>
    </row>
    <row r="82">
      <c r="A82" s="6"/>
      <c r="C82" s="7"/>
      <c r="E82" s="8"/>
      <c r="F82" s="8"/>
      <c r="G82" s="8"/>
      <c r="H82" s="8"/>
      <c r="N82" s="9"/>
    </row>
    <row r="83">
      <c r="A83" s="6"/>
      <c r="C83" s="7"/>
      <c r="E83" s="8"/>
      <c r="F83" s="8"/>
      <c r="G83" s="8"/>
      <c r="H83" s="8"/>
      <c r="N83" s="9"/>
    </row>
    <row r="84">
      <c r="A84" s="6"/>
      <c r="C84" s="7"/>
      <c r="E84" s="8"/>
      <c r="F84" s="8"/>
      <c r="G84" s="8"/>
      <c r="H84" s="8"/>
      <c r="N84" s="9"/>
    </row>
    <row r="85">
      <c r="A85" s="6"/>
      <c r="C85" s="7"/>
      <c r="E85" s="8"/>
      <c r="F85" s="8"/>
      <c r="G85" s="8"/>
      <c r="H85" s="8"/>
      <c r="N85" s="9"/>
    </row>
    <row r="86">
      <c r="A86" s="6"/>
      <c r="C86" s="7"/>
      <c r="E86" s="8"/>
      <c r="F86" s="8"/>
      <c r="G86" s="8"/>
      <c r="H86" s="8"/>
      <c r="N86" s="9"/>
    </row>
    <row r="87">
      <c r="A87" s="6"/>
      <c r="C87" s="7"/>
      <c r="E87" s="8"/>
      <c r="F87" s="8"/>
      <c r="G87" s="8"/>
      <c r="H87" s="8"/>
      <c r="N87" s="9"/>
    </row>
    <row r="88">
      <c r="A88" s="6"/>
      <c r="C88" s="7"/>
      <c r="E88" s="8"/>
      <c r="F88" s="8"/>
      <c r="G88" s="8"/>
      <c r="H88" s="8"/>
      <c r="N88" s="9"/>
    </row>
    <row r="89">
      <c r="A89" s="6"/>
      <c r="C89" s="7"/>
      <c r="E89" s="8"/>
      <c r="F89" s="8"/>
      <c r="G89" s="8"/>
      <c r="H89" s="8"/>
      <c r="N89" s="9"/>
    </row>
    <row r="90">
      <c r="A90" s="6"/>
      <c r="C90" s="7"/>
      <c r="E90" s="8"/>
      <c r="F90" s="8"/>
      <c r="G90" s="8"/>
      <c r="H90" s="8"/>
      <c r="N90" s="9"/>
    </row>
    <row r="91">
      <c r="A91" s="6"/>
      <c r="C91" s="7"/>
      <c r="E91" s="8"/>
      <c r="F91" s="8"/>
      <c r="G91" s="8"/>
      <c r="H91" s="8"/>
      <c r="N91" s="9"/>
    </row>
    <row r="92">
      <c r="A92" s="6"/>
      <c r="C92" s="7"/>
      <c r="E92" s="8"/>
      <c r="F92" s="8"/>
      <c r="G92" s="8"/>
      <c r="H92" s="8"/>
      <c r="N92" s="9"/>
    </row>
    <row r="93">
      <c r="A93" s="6"/>
      <c r="C93" s="7"/>
      <c r="E93" s="8"/>
      <c r="F93" s="8"/>
      <c r="G93" s="8"/>
      <c r="H93" s="8"/>
      <c r="N93" s="9"/>
    </row>
    <row r="94">
      <c r="A94" s="6"/>
      <c r="C94" s="7"/>
      <c r="E94" s="8"/>
      <c r="F94" s="8"/>
      <c r="G94" s="8"/>
      <c r="H94" s="8"/>
      <c r="N94" s="9"/>
    </row>
    <row r="95">
      <c r="A95" s="6"/>
      <c r="C95" s="7"/>
      <c r="E95" s="8"/>
      <c r="F95" s="8"/>
      <c r="G95" s="8"/>
      <c r="H95" s="8"/>
      <c r="N95" s="9"/>
    </row>
    <row r="96">
      <c r="A96" s="6"/>
      <c r="C96" s="7"/>
      <c r="E96" s="8"/>
      <c r="F96" s="8"/>
      <c r="G96" s="8"/>
      <c r="H96" s="8"/>
      <c r="N96" s="9"/>
    </row>
    <row r="97">
      <c r="A97" s="6"/>
      <c r="C97" s="7"/>
      <c r="E97" s="8"/>
      <c r="F97" s="8"/>
      <c r="G97" s="8"/>
      <c r="H97" s="8"/>
      <c r="N97" s="9"/>
    </row>
    <row r="98">
      <c r="A98" s="6"/>
      <c r="C98" s="7"/>
      <c r="E98" s="8"/>
      <c r="F98" s="8"/>
      <c r="G98" s="8"/>
      <c r="H98" s="8"/>
      <c r="N98" s="9"/>
    </row>
    <row r="99">
      <c r="A99" s="6"/>
      <c r="C99" s="7"/>
      <c r="E99" s="8"/>
      <c r="F99" s="8"/>
      <c r="G99" s="8"/>
      <c r="H99" s="8"/>
      <c r="N99" s="9"/>
    </row>
    <row r="100">
      <c r="A100" s="6"/>
      <c r="C100" s="7"/>
      <c r="E100" s="8"/>
      <c r="F100" s="8"/>
      <c r="G100" s="8"/>
      <c r="H100" s="8"/>
      <c r="N100" s="9"/>
    </row>
    <row r="101">
      <c r="A101" s="6"/>
      <c r="C101" s="7"/>
      <c r="E101" s="8"/>
      <c r="F101" s="8"/>
      <c r="G101" s="8"/>
      <c r="H101" s="8"/>
      <c r="N101" s="9"/>
    </row>
    <row r="102">
      <c r="A102" s="6"/>
      <c r="C102" s="7"/>
      <c r="E102" s="8"/>
      <c r="F102" s="8"/>
      <c r="G102" s="8"/>
      <c r="H102" s="8"/>
      <c r="N102" s="9"/>
    </row>
    <row r="103">
      <c r="A103" s="6"/>
      <c r="C103" s="7"/>
      <c r="E103" s="8"/>
      <c r="F103" s="8"/>
      <c r="G103" s="8"/>
      <c r="H103" s="8"/>
      <c r="N103" s="9"/>
    </row>
    <row r="104">
      <c r="A104" s="6"/>
      <c r="C104" s="7"/>
      <c r="E104" s="8"/>
      <c r="F104" s="8"/>
      <c r="G104" s="8"/>
      <c r="H104" s="8"/>
      <c r="N104" s="9"/>
    </row>
    <row r="105">
      <c r="A105" s="6"/>
      <c r="C105" s="7"/>
      <c r="E105" s="8"/>
      <c r="F105" s="8"/>
      <c r="G105" s="8"/>
      <c r="H105" s="8"/>
      <c r="N105" s="9"/>
    </row>
    <row r="106">
      <c r="A106" s="6"/>
      <c r="C106" s="7"/>
      <c r="E106" s="8"/>
      <c r="F106" s="8"/>
      <c r="G106" s="8"/>
      <c r="H106" s="8"/>
      <c r="N106" s="9"/>
    </row>
    <row r="107">
      <c r="A107" s="6"/>
      <c r="C107" s="7"/>
      <c r="E107" s="8"/>
      <c r="F107" s="8"/>
      <c r="G107" s="8"/>
      <c r="H107" s="8"/>
      <c r="N107" s="9"/>
    </row>
    <row r="108">
      <c r="A108" s="6"/>
      <c r="C108" s="7"/>
      <c r="E108" s="8"/>
      <c r="F108" s="8"/>
      <c r="G108" s="8"/>
      <c r="H108" s="8"/>
      <c r="N108" s="9"/>
    </row>
    <row r="109">
      <c r="A109" s="6"/>
      <c r="C109" s="7"/>
      <c r="E109" s="8"/>
      <c r="F109" s="8"/>
      <c r="G109" s="8"/>
      <c r="H109" s="8"/>
      <c r="N109" s="9"/>
    </row>
    <row r="110">
      <c r="A110" s="6"/>
      <c r="C110" s="7"/>
      <c r="E110" s="8"/>
      <c r="F110" s="8"/>
      <c r="G110" s="8"/>
      <c r="H110" s="8"/>
      <c r="N110" s="9"/>
    </row>
    <row r="111">
      <c r="A111" s="6"/>
      <c r="C111" s="7"/>
      <c r="E111" s="8"/>
      <c r="F111" s="8"/>
      <c r="G111" s="8"/>
      <c r="H111" s="8"/>
      <c r="N111" s="9"/>
    </row>
    <row r="112">
      <c r="A112" s="6"/>
      <c r="C112" s="7"/>
      <c r="E112" s="8"/>
      <c r="F112" s="8"/>
      <c r="G112" s="8"/>
      <c r="H112" s="8"/>
      <c r="N112" s="9"/>
    </row>
    <row r="113">
      <c r="A113" s="6"/>
      <c r="C113" s="7"/>
      <c r="E113" s="8"/>
      <c r="F113" s="8"/>
      <c r="G113" s="8"/>
      <c r="H113" s="8"/>
      <c r="N113" s="9"/>
    </row>
    <row r="114">
      <c r="A114" s="6"/>
      <c r="C114" s="7"/>
      <c r="E114" s="8"/>
      <c r="F114" s="8"/>
      <c r="G114" s="8"/>
      <c r="H114" s="8"/>
      <c r="N114" s="9"/>
    </row>
    <row r="115">
      <c r="A115" s="6"/>
      <c r="C115" s="7"/>
      <c r="E115" s="8"/>
      <c r="F115" s="8"/>
      <c r="G115" s="8"/>
      <c r="H115" s="8"/>
      <c r="N115" s="9"/>
    </row>
    <row r="116">
      <c r="A116" s="6"/>
      <c r="C116" s="7"/>
      <c r="E116" s="8"/>
      <c r="F116" s="8"/>
      <c r="G116" s="8"/>
      <c r="H116" s="8"/>
      <c r="N116" s="9"/>
    </row>
    <row r="117">
      <c r="A117" s="6"/>
      <c r="C117" s="7"/>
      <c r="E117" s="8"/>
      <c r="F117" s="8"/>
      <c r="G117" s="8"/>
      <c r="H117" s="8"/>
      <c r="N117" s="9"/>
    </row>
    <row r="118">
      <c r="A118" s="6"/>
      <c r="C118" s="7"/>
      <c r="E118" s="8"/>
      <c r="F118" s="8"/>
      <c r="G118" s="8"/>
      <c r="H118" s="8"/>
      <c r="N118" s="9"/>
    </row>
    <row r="119">
      <c r="A119" s="6"/>
      <c r="C119" s="7"/>
      <c r="E119" s="8"/>
      <c r="F119" s="8"/>
      <c r="G119" s="8"/>
      <c r="H119" s="8"/>
      <c r="N119" s="9"/>
    </row>
    <row r="120">
      <c r="A120" s="6"/>
      <c r="C120" s="7"/>
      <c r="E120" s="8"/>
      <c r="F120" s="8"/>
      <c r="G120" s="8"/>
      <c r="H120" s="8"/>
      <c r="N120" s="9"/>
    </row>
    <row r="121">
      <c r="A121" s="6"/>
      <c r="C121" s="7"/>
      <c r="E121" s="8"/>
      <c r="F121" s="8"/>
      <c r="G121" s="8"/>
      <c r="H121" s="8"/>
      <c r="N121" s="9"/>
    </row>
    <row r="122">
      <c r="A122" s="6"/>
      <c r="C122" s="7"/>
      <c r="E122" s="8"/>
      <c r="F122" s="8"/>
      <c r="G122" s="8"/>
      <c r="H122" s="8"/>
      <c r="N122" s="9"/>
    </row>
    <row r="123">
      <c r="A123" s="6"/>
      <c r="C123" s="7"/>
      <c r="E123" s="8"/>
      <c r="F123" s="8"/>
      <c r="G123" s="8"/>
      <c r="H123" s="8"/>
      <c r="N123" s="9"/>
    </row>
    <row r="124">
      <c r="A124" s="6"/>
      <c r="C124" s="7"/>
      <c r="E124" s="8"/>
      <c r="F124" s="8"/>
      <c r="G124" s="8"/>
      <c r="H124" s="8"/>
      <c r="N124" s="9"/>
    </row>
    <row r="125">
      <c r="A125" s="6"/>
      <c r="C125" s="7"/>
      <c r="E125" s="8"/>
      <c r="F125" s="8"/>
      <c r="G125" s="8"/>
      <c r="H125" s="8"/>
      <c r="N125" s="9"/>
    </row>
    <row r="126">
      <c r="A126" s="6"/>
      <c r="C126" s="7"/>
      <c r="E126" s="8"/>
      <c r="F126" s="8"/>
      <c r="G126" s="8"/>
      <c r="H126" s="8"/>
      <c r="N126" s="9"/>
    </row>
    <row r="127">
      <c r="A127" s="6"/>
      <c r="C127" s="7"/>
      <c r="E127" s="8"/>
      <c r="F127" s="8"/>
      <c r="G127" s="8"/>
      <c r="H127" s="8"/>
      <c r="N127" s="9"/>
    </row>
    <row r="128">
      <c r="A128" s="6"/>
      <c r="C128" s="7"/>
      <c r="E128" s="8"/>
      <c r="F128" s="8"/>
      <c r="G128" s="8"/>
      <c r="H128" s="8"/>
      <c r="N128" s="9"/>
    </row>
    <row r="129">
      <c r="A129" s="6"/>
      <c r="C129" s="7"/>
      <c r="E129" s="8"/>
      <c r="F129" s="8"/>
      <c r="G129" s="8"/>
      <c r="H129" s="8"/>
      <c r="N129" s="9"/>
    </row>
    <row r="130">
      <c r="A130" s="6"/>
      <c r="C130" s="7"/>
      <c r="E130" s="8"/>
      <c r="F130" s="8"/>
      <c r="G130" s="8"/>
      <c r="H130" s="8"/>
      <c r="N130" s="9"/>
    </row>
    <row r="131">
      <c r="A131" s="6"/>
      <c r="C131" s="7"/>
      <c r="E131" s="8"/>
      <c r="F131" s="8"/>
      <c r="G131" s="8"/>
      <c r="H131" s="8"/>
      <c r="N131" s="9"/>
    </row>
    <row r="132">
      <c r="A132" s="6"/>
      <c r="C132" s="7"/>
      <c r="E132" s="8"/>
      <c r="F132" s="8"/>
      <c r="G132" s="8"/>
      <c r="H132" s="8"/>
      <c r="N132" s="9"/>
    </row>
    <row r="133">
      <c r="A133" s="6"/>
      <c r="C133" s="7"/>
      <c r="E133" s="8"/>
      <c r="F133" s="8"/>
      <c r="G133" s="8"/>
      <c r="H133" s="8"/>
      <c r="N133" s="9"/>
    </row>
    <row r="134">
      <c r="A134" s="6"/>
      <c r="C134" s="7"/>
      <c r="E134" s="8"/>
      <c r="F134" s="8"/>
      <c r="G134" s="8"/>
      <c r="H134" s="8"/>
      <c r="N134" s="9"/>
    </row>
    <row r="135">
      <c r="A135" s="6"/>
      <c r="C135" s="7"/>
      <c r="E135" s="8"/>
      <c r="F135" s="8"/>
      <c r="G135" s="8"/>
      <c r="H135" s="8"/>
      <c r="N135" s="9"/>
    </row>
    <row r="136">
      <c r="A136" s="6"/>
      <c r="C136" s="7"/>
      <c r="E136" s="8"/>
      <c r="F136" s="8"/>
      <c r="G136" s="8"/>
      <c r="H136" s="8"/>
      <c r="N136" s="9"/>
    </row>
    <row r="137">
      <c r="A137" s="6"/>
      <c r="C137" s="7"/>
      <c r="E137" s="8"/>
      <c r="F137" s="8"/>
      <c r="G137" s="8"/>
      <c r="H137" s="8"/>
      <c r="N137" s="9"/>
    </row>
    <row r="138">
      <c r="A138" s="6"/>
      <c r="C138" s="7"/>
      <c r="E138" s="8"/>
      <c r="F138" s="8"/>
      <c r="G138" s="8"/>
      <c r="H138" s="8"/>
      <c r="N138" s="9"/>
    </row>
    <row r="139">
      <c r="A139" s="6"/>
      <c r="C139" s="7"/>
      <c r="E139" s="8"/>
      <c r="F139" s="8"/>
      <c r="G139" s="8"/>
      <c r="H139" s="8"/>
      <c r="N139" s="9"/>
    </row>
    <row r="140">
      <c r="A140" s="6"/>
      <c r="C140" s="7"/>
      <c r="E140" s="8"/>
      <c r="F140" s="8"/>
      <c r="G140" s="8"/>
      <c r="H140" s="8"/>
      <c r="N140" s="9"/>
    </row>
    <row r="141">
      <c r="A141" s="6"/>
      <c r="C141" s="7"/>
      <c r="E141" s="8"/>
      <c r="F141" s="8"/>
      <c r="G141" s="8"/>
      <c r="H141" s="8"/>
      <c r="N141" s="9"/>
    </row>
    <row r="142">
      <c r="A142" s="6"/>
      <c r="C142" s="7"/>
      <c r="E142" s="8"/>
      <c r="F142" s="8"/>
      <c r="G142" s="8"/>
      <c r="H142" s="8"/>
      <c r="N142" s="9"/>
    </row>
    <row r="143">
      <c r="A143" s="6"/>
      <c r="C143" s="7"/>
      <c r="E143" s="8"/>
      <c r="F143" s="8"/>
      <c r="G143" s="8"/>
      <c r="H143" s="8"/>
      <c r="N143" s="9"/>
    </row>
    <row r="144">
      <c r="A144" s="6"/>
      <c r="C144" s="7"/>
      <c r="E144" s="8"/>
      <c r="F144" s="8"/>
      <c r="G144" s="8"/>
      <c r="H144" s="8"/>
      <c r="N144" s="9"/>
    </row>
    <row r="145">
      <c r="A145" s="6"/>
      <c r="C145" s="7"/>
      <c r="E145" s="8"/>
      <c r="F145" s="8"/>
      <c r="G145" s="8"/>
      <c r="H145" s="8"/>
      <c r="N145" s="9"/>
    </row>
    <row r="146">
      <c r="A146" s="6"/>
      <c r="C146" s="7"/>
      <c r="E146" s="8"/>
      <c r="F146" s="8"/>
      <c r="G146" s="8"/>
      <c r="H146" s="8"/>
      <c r="N146" s="9"/>
    </row>
    <row r="147">
      <c r="A147" s="6"/>
      <c r="C147" s="7"/>
      <c r="E147" s="8"/>
      <c r="F147" s="8"/>
      <c r="G147" s="8"/>
      <c r="H147" s="8"/>
      <c r="N147" s="9"/>
    </row>
    <row r="148">
      <c r="A148" s="6"/>
      <c r="C148" s="7"/>
      <c r="E148" s="8"/>
      <c r="F148" s="8"/>
      <c r="G148" s="8"/>
      <c r="H148" s="8"/>
      <c r="N148" s="9"/>
    </row>
    <row r="149">
      <c r="A149" s="6"/>
      <c r="C149" s="7"/>
      <c r="E149" s="8"/>
      <c r="F149" s="8"/>
      <c r="G149" s="8"/>
      <c r="H149" s="8"/>
      <c r="N149" s="9"/>
    </row>
    <row r="150">
      <c r="A150" s="6"/>
      <c r="C150" s="7"/>
      <c r="E150" s="8"/>
      <c r="F150" s="8"/>
      <c r="G150" s="8"/>
      <c r="H150" s="8"/>
      <c r="N150" s="9"/>
    </row>
    <row r="151">
      <c r="A151" s="6"/>
      <c r="C151" s="7"/>
      <c r="E151" s="8"/>
      <c r="F151" s="8"/>
      <c r="G151" s="8"/>
      <c r="H151" s="8"/>
      <c r="N151" s="9"/>
    </row>
    <row r="152">
      <c r="A152" s="6"/>
      <c r="C152" s="7"/>
      <c r="E152" s="8"/>
      <c r="F152" s="8"/>
      <c r="G152" s="8"/>
      <c r="H152" s="8"/>
      <c r="N152" s="9"/>
    </row>
    <row r="153">
      <c r="A153" s="6"/>
      <c r="C153" s="7"/>
      <c r="E153" s="8"/>
      <c r="F153" s="8"/>
      <c r="G153" s="8"/>
      <c r="H153" s="8"/>
      <c r="N153" s="9"/>
    </row>
    <row r="154">
      <c r="A154" s="6"/>
      <c r="C154" s="7"/>
      <c r="E154" s="8"/>
      <c r="F154" s="8"/>
      <c r="G154" s="8"/>
      <c r="H154" s="8"/>
      <c r="N154" s="9"/>
    </row>
    <row r="155">
      <c r="A155" s="6"/>
      <c r="C155" s="7"/>
      <c r="E155" s="8"/>
      <c r="F155" s="8"/>
      <c r="G155" s="8"/>
      <c r="H155" s="8"/>
      <c r="N155" s="9"/>
    </row>
    <row r="156">
      <c r="A156" s="6"/>
      <c r="C156" s="7"/>
      <c r="E156" s="8"/>
      <c r="F156" s="8"/>
      <c r="G156" s="8"/>
      <c r="H156" s="8"/>
      <c r="N156" s="9"/>
    </row>
    <row r="157">
      <c r="A157" s="6"/>
      <c r="C157" s="7"/>
      <c r="E157" s="8"/>
      <c r="F157" s="8"/>
      <c r="G157" s="8"/>
      <c r="H157" s="8"/>
      <c r="N157" s="9"/>
    </row>
    <row r="158">
      <c r="A158" s="6"/>
      <c r="C158" s="7"/>
      <c r="E158" s="8"/>
      <c r="F158" s="8"/>
      <c r="G158" s="8"/>
      <c r="H158" s="8"/>
      <c r="N158" s="9"/>
    </row>
    <row r="159">
      <c r="A159" s="6"/>
      <c r="C159" s="7"/>
      <c r="E159" s="8"/>
      <c r="F159" s="8"/>
      <c r="G159" s="8"/>
      <c r="H159" s="8"/>
      <c r="N159" s="9"/>
    </row>
    <row r="160">
      <c r="A160" s="6"/>
      <c r="C160" s="7"/>
      <c r="E160" s="8"/>
      <c r="F160" s="8"/>
      <c r="G160" s="8"/>
      <c r="H160" s="8"/>
      <c r="N160" s="9"/>
    </row>
    <row r="161">
      <c r="A161" s="6"/>
      <c r="C161" s="7"/>
      <c r="E161" s="8"/>
      <c r="F161" s="8"/>
      <c r="G161" s="8"/>
      <c r="H161" s="8"/>
      <c r="N161" s="9"/>
    </row>
    <row r="162">
      <c r="A162" s="6"/>
      <c r="C162" s="7"/>
      <c r="E162" s="8"/>
      <c r="F162" s="8"/>
      <c r="G162" s="8"/>
      <c r="H162" s="8"/>
      <c r="N162" s="9"/>
    </row>
    <row r="163">
      <c r="A163" s="6"/>
      <c r="C163" s="7"/>
      <c r="E163" s="8"/>
      <c r="F163" s="8"/>
      <c r="G163" s="8"/>
      <c r="H163" s="8"/>
      <c r="N163" s="9"/>
    </row>
    <row r="164">
      <c r="A164" s="6"/>
      <c r="C164" s="7"/>
      <c r="E164" s="8"/>
      <c r="F164" s="8"/>
      <c r="G164" s="8"/>
      <c r="H164" s="8"/>
      <c r="N164" s="9"/>
    </row>
    <row r="165">
      <c r="A165" s="6"/>
      <c r="C165" s="7"/>
      <c r="E165" s="8"/>
      <c r="F165" s="8"/>
      <c r="G165" s="8"/>
      <c r="H165" s="8"/>
      <c r="N165" s="9"/>
    </row>
    <row r="166">
      <c r="A166" s="6"/>
      <c r="C166" s="7"/>
      <c r="E166" s="8"/>
      <c r="F166" s="8"/>
      <c r="G166" s="8"/>
      <c r="H166" s="8"/>
      <c r="N166" s="9"/>
    </row>
    <row r="167">
      <c r="A167" s="6"/>
      <c r="C167" s="7"/>
      <c r="E167" s="8"/>
      <c r="F167" s="8"/>
      <c r="G167" s="8"/>
      <c r="H167" s="8"/>
      <c r="N167" s="9"/>
    </row>
    <row r="168">
      <c r="A168" s="6"/>
      <c r="C168" s="7"/>
      <c r="E168" s="8"/>
      <c r="F168" s="8"/>
      <c r="G168" s="8"/>
      <c r="H168" s="8"/>
      <c r="N168" s="9"/>
    </row>
    <row r="169">
      <c r="A169" s="6"/>
      <c r="C169" s="7"/>
      <c r="E169" s="8"/>
      <c r="F169" s="8"/>
      <c r="G169" s="8"/>
      <c r="H169" s="8"/>
      <c r="N169" s="9"/>
    </row>
    <row r="170">
      <c r="A170" s="6"/>
      <c r="C170" s="7"/>
      <c r="E170" s="8"/>
      <c r="F170" s="8"/>
      <c r="G170" s="8"/>
      <c r="H170" s="8"/>
      <c r="N170" s="9"/>
    </row>
    <row r="171">
      <c r="A171" s="6"/>
      <c r="C171" s="7"/>
      <c r="E171" s="8"/>
      <c r="F171" s="8"/>
      <c r="G171" s="8"/>
      <c r="H171" s="8"/>
      <c r="N171" s="9"/>
    </row>
    <row r="172">
      <c r="A172" s="6"/>
      <c r="C172" s="7"/>
      <c r="E172" s="8"/>
      <c r="F172" s="8"/>
      <c r="G172" s="8"/>
      <c r="H172" s="8"/>
      <c r="N172" s="9"/>
    </row>
    <row r="173">
      <c r="A173" s="6"/>
      <c r="C173" s="7"/>
      <c r="E173" s="8"/>
      <c r="F173" s="8"/>
      <c r="G173" s="8"/>
      <c r="H173" s="8"/>
      <c r="N173" s="9"/>
    </row>
    <row r="174">
      <c r="A174" s="6"/>
      <c r="C174" s="7"/>
      <c r="E174" s="8"/>
      <c r="F174" s="8"/>
      <c r="G174" s="8"/>
      <c r="H174" s="8"/>
      <c r="N174" s="9"/>
    </row>
    <row r="175">
      <c r="A175" s="6"/>
      <c r="C175" s="7"/>
      <c r="E175" s="8"/>
      <c r="F175" s="8"/>
      <c r="G175" s="8"/>
      <c r="H175" s="8"/>
      <c r="N175" s="9"/>
    </row>
    <row r="176">
      <c r="A176" s="6"/>
      <c r="C176" s="7"/>
      <c r="E176" s="8"/>
      <c r="F176" s="8"/>
      <c r="G176" s="8"/>
      <c r="H176" s="8"/>
      <c r="N176" s="9"/>
    </row>
    <row r="177">
      <c r="A177" s="6"/>
      <c r="C177" s="7"/>
      <c r="E177" s="8"/>
      <c r="F177" s="8"/>
      <c r="G177" s="8"/>
      <c r="H177" s="8"/>
      <c r="N177" s="9"/>
    </row>
    <row r="178">
      <c r="A178" s="6"/>
      <c r="C178" s="7"/>
      <c r="E178" s="8"/>
      <c r="F178" s="8"/>
      <c r="G178" s="8"/>
      <c r="H178" s="8"/>
      <c r="N178" s="9"/>
    </row>
    <row r="179">
      <c r="A179" s="6"/>
      <c r="C179" s="7"/>
      <c r="E179" s="8"/>
      <c r="F179" s="8"/>
      <c r="G179" s="8"/>
      <c r="H179" s="8"/>
      <c r="N179" s="9"/>
    </row>
    <row r="180">
      <c r="A180" s="6"/>
      <c r="C180" s="7"/>
      <c r="E180" s="8"/>
      <c r="F180" s="8"/>
      <c r="G180" s="8"/>
      <c r="H180" s="8"/>
      <c r="N180" s="9"/>
    </row>
    <row r="181">
      <c r="A181" s="6"/>
      <c r="C181" s="7"/>
      <c r="E181" s="8"/>
      <c r="F181" s="8"/>
      <c r="G181" s="8"/>
      <c r="H181" s="8"/>
      <c r="N181" s="9"/>
    </row>
    <row r="182">
      <c r="A182" s="6"/>
      <c r="C182" s="7"/>
      <c r="E182" s="8"/>
      <c r="F182" s="8"/>
      <c r="G182" s="8"/>
      <c r="H182" s="8"/>
      <c r="N182" s="9"/>
    </row>
    <row r="183">
      <c r="A183" s="6"/>
      <c r="C183" s="7"/>
      <c r="E183" s="8"/>
      <c r="F183" s="8"/>
      <c r="G183" s="8"/>
      <c r="H183" s="8"/>
      <c r="N183" s="9"/>
    </row>
    <row r="184">
      <c r="A184" s="6"/>
      <c r="C184" s="7"/>
      <c r="E184" s="8"/>
      <c r="F184" s="8"/>
      <c r="G184" s="8"/>
      <c r="H184" s="8"/>
      <c r="N184" s="9"/>
    </row>
    <row r="185">
      <c r="A185" s="6"/>
      <c r="C185" s="7"/>
      <c r="E185" s="8"/>
      <c r="F185" s="8"/>
      <c r="G185" s="8"/>
      <c r="H185" s="8"/>
      <c r="N185" s="9"/>
    </row>
    <row r="186">
      <c r="A186" s="6"/>
      <c r="C186" s="7"/>
      <c r="E186" s="8"/>
      <c r="F186" s="8"/>
      <c r="G186" s="8"/>
      <c r="H186" s="8"/>
      <c r="N186" s="9"/>
    </row>
    <row r="187">
      <c r="A187" s="6"/>
      <c r="C187" s="7"/>
      <c r="E187" s="8"/>
      <c r="F187" s="8"/>
      <c r="G187" s="8"/>
      <c r="H187" s="8"/>
      <c r="N187" s="9"/>
    </row>
    <row r="188">
      <c r="A188" s="6"/>
      <c r="C188" s="7"/>
      <c r="E188" s="8"/>
      <c r="F188" s="8"/>
      <c r="G188" s="8"/>
      <c r="H188" s="8"/>
      <c r="N188" s="9"/>
    </row>
    <row r="189">
      <c r="A189" s="6"/>
      <c r="C189" s="7"/>
      <c r="E189" s="8"/>
      <c r="F189" s="8"/>
      <c r="G189" s="8"/>
      <c r="H189" s="8"/>
      <c r="N189" s="9"/>
    </row>
    <row r="190">
      <c r="A190" s="6"/>
      <c r="C190" s="7"/>
      <c r="E190" s="8"/>
      <c r="F190" s="8"/>
      <c r="G190" s="8"/>
      <c r="H190" s="8"/>
      <c r="N190" s="9"/>
    </row>
    <row r="191">
      <c r="A191" s="6"/>
      <c r="C191" s="7"/>
      <c r="E191" s="8"/>
      <c r="F191" s="8"/>
      <c r="G191" s="8"/>
      <c r="H191" s="8"/>
      <c r="N191" s="9"/>
    </row>
    <row r="192">
      <c r="A192" s="6"/>
      <c r="C192" s="7"/>
      <c r="E192" s="8"/>
      <c r="F192" s="8"/>
      <c r="G192" s="8"/>
      <c r="H192" s="8"/>
      <c r="N192" s="9"/>
    </row>
    <row r="193">
      <c r="A193" s="6"/>
      <c r="C193" s="7"/>
      <c r="E193" s="8"/>
      <c r="F193" s="8"/>
      <c r="G193" s="8"/>
      <c r="H193" s="8"/>
      <c r="N193" s="9"/>
    </row>
    <row r="194">
      <c r="A194" s="6"/>
      <c r="C194" s="7"/>
      <c r="E194" s="8"/>
      <c r="F194" s="8"/>
      <c r="G194" s="8"/>
      <c r="H194" s="8"/>
      <c r="N194" s="9"/>
    </row>
    <row r="195">
      <c r="A195" s="6"/>
      <c r="C195" s="7"/>
      <c r="E195" s="8"/>
      <c r="F195" s="8"/>
      <c r="G195" s="8"/>
      <c r="H195" s="8"/>
      <c r="N195" s="9"/>
    </row>
    <row r="196">
      <c r="A196" s="6"/>
      <c r="C196" s="7"/>
      <c r="E196" s="8"/>
      <c r="F196" s="8"/>
      <c r="G196" s="8"/>
      <c r="H196" s="8"/>
      <c r="N196" s="9"/>
    </row>
    <row r="197">
      <c r="A197" s="6"/>
      <c r="C197" s="7"/>
      <c r="E197" s="8"/>
      <c r="F197" s="8"/>
      <c r="G197" s="8"/>
      <c r="H197" s="8"/>
      <c r="N197" s="9"/>
    </row>
    <row r="198">
      <c r="A198" s="6"/>
      <c r="C198" s="7"/>
      <c r="E198" s="8"/>
      <c r="F198" s="8"/>
      <c r="G198" s="8"/>
      <c r="H198" s="8"/>
      <c r="N198" s="9"/>
    </row>
    <row r="199">
      <c r="A199" s="6"/>
      <c r="C199" s="7"/>
      <c r="E199" s="8"/>
      <c r="F199" s="8"/>
      <c r="G199" s="8"/>
      <c r="H199" s="8"/>
      <c r="N199" s="9"/>
    </row>
    <row r="200">
      <c r="A200" s="6"/>
      <c r="C200" s="7"/>
      <c r="E200" s="8"/>
      <c r="F200" s="8"/>
      <c r="G200" s="8"/>
      <c r="H200" s="8"/>
      <c r="N200" s="9"/>
    </row>
    <row r="201">
      <c r="A201" s="6"/>
      <c r="C201" s="7"/>
      <c r="E201" s="8"/>
      <c r="F201" s="8"/>
      <c r="G201" s="8"/>
      <c r="H201" s="8"/>
      <c r="N201" s="9"/>
    </row>
    <row r="202">
      <c r="A202" s="6"/>
      <c r="C202" s="7"/>
      <c r="E202" s="8"/>
      <c r="F202" s="8"/>
      <c r="G202" s="8"/>
      <c r="H202" s="8"/>
      <c r="N202" s="9"/>
    </row>
    <row r="203">
      <c r="A203" s="6"/>
      <c r="C203" s="7"/>
      <c r="E203" s="8"/>
      <c r="F203" s="8"/>
      <c r="G203" s="8"/>
      <c r="H203" s="8"/>
      <c r="N203" s="9"/>
    </row>
    <row r="204">
      <c r="A204" s="6"/>
      <c r="C204" s="7"/>
      <c r="E204" s="8"/>
      <c r="F204" s="8"/>
      <c r="G204" s="8"/>
      <c r="H204" s="8"/>
      <c r="N204" s="9"/>
    </row>
    <row r="205">
      <c r="A205" s="6"/>
      <c r="C205" s="7"/>
      <c r="E205" s="8"/>
      <c r="F205" s="8"/>
      <c r="G205" s="8"/>
      <c r="H205" s="8"/>
      <c r="N205" s="9"/>
    </row>
    <row r="206">
      <c r="A206" s="6"/>
      <c r="C206" s="7"/>
      <c r="E206" s="8"/>
      <c r="F206" s="8"/>
      <c r="G206" s="8"/>
      <c r="H206" s="8"/>
      <c r="N206" s="9"/>
    </row>
    <row r="207">
      <c r="A207" s="6"/>
      <c r="C207" s="7"/>
      <c r="E207" s="8"/>
      <c r="F207" s="8"/>
      <c r="G207" s="8"/>
      <c r="H207" s="8"/>
      <c r="N207" s="9"/>
    </row>
    <row r="208">
      <c r="A208" s="6"/>
      <c r="C208" s="7"/>
      <c r="E208" s="8"/>
      <c r="F208" s="8"/>
      <c r="G208" s="8"/>
      <c r="H208" s="8"/>
      <c r="N208" s="9"/>
    </row>
    <row r="209">
      <c r="A209" s="6"/>
      <c r="C209" s="7"/>
      <c r="E209" s="8"/>
      <c r="F209" s="8"/>
      <c r="G209" s="8"/>
      <c r="H209" s="8"/>
      <c r="N209" s="9"/>
    </row>
    <row r="210">
      <c r="A210" s="6"/>
      <c r="C210" s="7"/>
      <c r="E210" s="8"/>
      <c r="F210" s="8"/>
      <c r="G210" s="8"/>
      <c r="H210" s="8"/>
      <c r="N210" s="9"/>
    </row>
    <row r="211">
      <c r="A211" s="6"/>
      <c r="C211" s="7"/>
      <c r="E211" s="8"/>
      <c r="F211" s="8"/>
      <c r="G211" s="8"/>
      <c r="H211" s="8"/>
      <c r="N211" s="9"/>
    </row>
    <row r="212">
      <c r="A212" s="6"/>
      <c r="C212" s="7"/>
      <c r="E212" s="8"/>
      <c r="F212" s="8"/>
      <c r="G212" s="8"/>
      <c r="H212" s="8"/>
      <c r="N212" s="9"/>
    </row>
    <row r="213">
      <c r="A213" s="6"/>
      <c r="C213" s="7"/>
      <c r="E213" s="8"/>
      <c r="F213" s="8"/>
      <c r="G213" s="8"/>
      <c r="H213" s="8"/>
      <c r="N213" s="9"/>
    </row>
    <row r="214">
      <c r="A214" s="6"/>
      <c r="C214" s="7"/>
      <c r="E214" s="8"/>
      <c r="F214" s="8"/>
      <c r="G214" s="8"/>
      <c r="H214" s="8"/>
      <c r="N214" s="9"/>
    </row>
    <row r="215">
      <c r="A215" s="6"/>
      <c r="C215" s="7"/>
      <c r="E215" s="8"/>
      <c r="F215" s="8"/>
      <c r="G215" s="8"/>
      <c r="H215" s="8"/>
      <c r="N215" s="9"/>
    </row>
    <row r="216">
      <c r="A216" s="6"/>
      <c r="C216" s="7"/>
      <c r="E216" s="8"/>
      <c r="F216" s="8"/>
      <c r="G216" s="8"/>
      <c r="H216" s="8"/>
      <c r="N216" s="9"/>
    </row>
    <row r="217">
      <c r="A217" s="6"/>
      <c r="C217" s="7"/>
      <c r="E217" s="8"/>
      <c r="F217" s="8"/>
      <c r="G217" s="8"/>
      <c r="H217" s="8"/>
      <c r="N217" s="9"/>
    </row>
    <row r="218">
      <c r="A218" s="6"/>
      <c r="C218" s="7"/>
      <c r="E218" s="8"/>
      <c r="F218" s="8"/>
      <c r="G218" s="8"/>
      <c r="H218" s="8"/>
      <c r="N218" s="9"/>
    </row>
    <row r="219">
      <c r="A219" s="6"/>
      <c r="C219" s="7"/>
      <c r="E219" s="8"/>
      <c r="F219" s="8"/>
      <c r="G219" s="8"/>
      <c r="H219" s="8"/>
      <c r="N219" s="9"/>
    </row>
    <row r="220">
      <c r="A220" s="6"/>
      <c r="C220" s="7"/>
      <c r="E220" s="8"/>
      <c r="F220" s="8"/>
      <c r="G220" s="8"/>
      <c r="H220" s="8"/>
      <c r="N220" s="9"/>
    </row>
    <row r="221">
      <c r="A221" s="6"/>
      <c r="C221" s="7"/>
      <c r="E221" s="8"/>
      <c r="F221" s="8"/>
      <c r="G221" s="8"/>
      <c r="H221" s="8"/>
      <c r="N221" s="9"/>
    </row>
    <row r="222">
      <c r="A222" s="6"/>
      <c r="C222" s="7"/>
      <c r="E222" s="8"/>
      <c r="F222" s="8"/>
      <c r="G222" s="8"/>
      <c r="H222" s="8"/>
      <c r="N222" s="9"/>
    </row>
    <row r="223">
      <c r="A223" s="6"/>
      <c r="C223" s="7"/>
      <c r="E223" s="8"/>
      <c r="F223" s="8"/>
      <c r="G223" s="8"/>
      <c r="H223" s="8"/>
      <c r="N223" s="9"/>
    </row>
    <row r="224">
      <c r="A224" s="6"/>
      <c r="C224" s="7"/>
      <c r="E224" s="8"/>
      <c r="F224" s="8"/>
      <c r="G224" s="8"/>
      <c r="H224" s="8"/>
      <c r="N224" s="9"/>
    </row>
    <row r="225">
      <c r="A225" s="6"/>
      <c r="C225" s="7"/>
      <c r="E225" s="8"/>
      <c r="F225" s="8"/>
      <c r="G225" s="8"/>
      <c r="H225" s="8"/>
      <c r="N225" s="9"/>
    </row>
    <row r="226">
      <c r="A226" s="6"/>
      <c r="C226" s="7"/>
      <c r="E226" s="8"/>
      <c r="F226" s="8"/>
      <c r="G226" s="8"/>
      <c r="H226" s="8"/>
      <c r="N226" s="9"/>
    </row>
    <row r="227">
      <c r="A227" s="6"/>
      <c r="C227" s="7"/>
      <c r="E227" s="8"/>
      <c r="F227" s="8"/>
      <c r="G227" s="8"/>
      <c r="H227" s="8"/>
      <c r="N227" s="9"/>
    </row>
    <row r="228">
      <c r="A228" s="6"/>
      <c r="C228" s="7"/>
      <c r="E228" s="8"/>
      <c r="F228" s="8"/>
      <c r="G228" s="8"/>
      <c r="H228" s="8"/>
      <c r="N228" s="9"/>
    </row>
    <row r="229">
      <c r="A229" s="6"/>
      <c r="C229" s="7"/>
      <c r="E229" s="8"/>
      <c r="F229" s="8"/>
      <c r="G229" s="8"/>
      <c r="H229" s="8"/>
      <c r="N229" s="9"/>
    </row>
    <row r="230">
      <c r="A230" s="6"/>
      <c r="C230" s="7"/>
      <c r="E230" s="8"/>
      <c r="F230" s="8"/>
      <c r="G230" s="8"/>
      <c r="H230" s="8"/>
      <c r="N230" s="9"/>
    </row>
    <row r="231">
      <c r="A231" s="6"/>
      <c r="C231" s="7"/>
      <c r="E231" s="8"/>
      <c r="F231" s="8"/>
      <c r="G231" s="8"/>
      <c r="H231" s="8"/>
      <c r="N231" s="9"/>
    </row>
    <row r="232">
      <c r="A232" s="6"/>
      <c r="C232" s="7"/>
      <c r="E232" s="8"/>
      <c r="F232" s="8"/>
      <c r="G232" s="8"/>
      <c r="H232" s="8"/>
      <c r="N232" s="9"/>
    </row>
    <row r="233">
      <c r="A233" s="6"/>
      <c r="C233" s="7"/>
      <c r="E233" s="8"/>
      <c r="F233" s="8"/>
      <c r="G233" s="8"/>
      <c r="H233" s="8"/>
      <c r="N233" s="9"/>
    </row>
    <row r="234">
      <c r="A234" s="6"/>
      <c r="C234" s="7"/>
      <c r="E234" s="8"/>
      <c r="F234" s="8"/>
      <c r="G234" s="8"/>
      <c r="H234" s="8"/>
      <c r="N234" s="9"/>
    </row>
    <row r="235">
      <c r="A235" s="6"/>
      <c r="C235" s="7"/>
      <c r="E235" s="8"/>
      <c r="F235" s="8"/>
      <c r="G235" s="8"/>
      <c r="H235" s="8"/>
      <c r="N235" s="9"/>
    </row>
    <row r="236">
      <c r="A236" s="6"/>
      <c r="C236" s="7"/>
      <c r="E236" s="8"/>
      <c r="F236" s="8"/>
      <c r="G236" s="8"/>
      <c r="H236" s="8"/>
      <c r="N236" s="9"/>
    </row>
    <row r="237">
      <c r="A237" s="6"/>
      <c r="C237" s="7"/>
      <c r="E237" s="8"/>
      <c r="F237" s="8"/>
      <c r="G237" s="8"/>
      <c r="H237" s="8"/>
      <c r="N237" s="9"/>
    </row>
    <row r="238">
      <c r="A238" s="6"/>
      <c r="C238" s="7"/>
      <c r="E238" s="8"/>
      <c r="F238" s="8"/>
      <c r="G238" s="8"/>
      <c r="H238" s="8"/>
      <c r="N238" s="9"/>
    </row>
    <row r="239">
      <c r="A239" s="6"/>
      <c r="C239" s="7"/>
      <c r="E239" s="8"/>
      <c r="F239" s="8"/>
      <c r="G239" s="8"/>
      <c r="H239" s="8"/>
      <c r="N239" s="9"/>
    </row>
    <row r="240">
      <c r="A240" s="6"/>
      <c r="C240" s="7"/>
      <c r="E240" s="8"/>
      <c r="F240" s="8"/>
      <c r="G240" s="8"/>
      <c r="H240" s="8"/>
      <c r="N240" s="9"/>
    </row>
    <row r="241">
      <c r="A241" s="6"/>
      <c r="C241" s="7"/>
      <c r="E241" s="8"/>
      <c r="F241" s="8"/>
      <c r="G241" s="8"/>
      <c r="H241" s="8"/>
      <c r="N241" s="9"/>
    </row>
    <row r="242">
      <c r="A242" s="6"/>
      <c r="C242" s="7"/>
      <c r="E242" s="8"/>
      <c r="F242" s="8"/>
      <c r="G242" s="8"/>
      <c r="H242" s="8"/>
      <c r="N242" s="9"/>
    </row>
    <row r="243">
      <c r="A243" s="6"/>
      <c r="C243" s="7"/>
      <c r="E243" s="8"/>
      <c r="F243" s="8"/>
      <c r="G243" s="8"/>
      <c r="H243" s="8"/>
      <c r="N243" s="9"/>
    </row>
    <row r="244">
      <c r="A244" s="6"/>
      <c r="C244" s="7"/>
      <c r="E244" s="8"/>
      <c r="F244" s="8"/>
      <c r="G244" s="8"/>
      <c r="H244" s="8"/>
      <c r="N244" s="9"/>
    </row>
    <row r="245">
      <c r="A245" s="6"/>
      <c r="C245" s="7"/>
      <c r="E245" s="8"/>
      <c r="F245" s="8"/>
      <c r="G245" s="8"/>
      <c r="H245" s="8"/>
      <c r="N245" s="9"/>
    </row>
    <row r="246">
      <c r="A246" s="6"/>
      <c r="C246" s="7"/>
      <c r="E246" s="8"/>
      <c r="F246" s="8"/>
      <c r="G246" s="8"/>
      <c r="H246" s="8"/>
      <c r="N246" s="9"/>
    </row>
    <row r="247">
      <c r="A247" s="6"/>
      <c r="C247" s="7"/>
      <c r="E247" s="8"/>
      <c r="F247" s="8"/>
      <c r="G247" s="8"/>
      <c r="H247" s="8"/>
      <c r="N247" s="9"/>
    </row>
    <row r="248">
      <c r="A248" s="6"/>
      <c r="C248" s="7"/>
      <c r="E248" s="8"/>
      <c r="F248" s="8"/>
      <c r="G248" s="8"/>
      <c r="H248" s="8"/>
      <c r="N248" s="9"/>
    </row>
    <row r="249">
      <c r="A249" s="6"/>
      <c r="C249" s="7"/>
      <c r="E249" s="8"/>
      <c r="F249" s="8"/>
      <c r="G249" s="8"/>
      <c r="H249" s="8"/>
      <c r="N249" s="9"/>
    </row>
    <row r="250">
      <c r="A250" s="6"/>
      <c r="C250" s="7"/>
      <c r="E250" s="8"/>
      <c r="F250" s="8"/>
      <c r="G250" s="8"/>
      <c r="H250" s="8"/>
      <c r="N250" s="9"/>
    </row>
    <row r="251">
      <c r="A251" s="6"/>
      <c r="C251" s="7"/>
      <c r="E251" s="8"/>
      <c r="F251" s="8"/>
      <c r="G251" s="8"/>
      <c r="H251" s="8"/>
      <c r="N251" s="9"/>
    </row>
    <row r="252">
      <c r="A252" s="6"/>
      <c r="C252" s="7"/>
      <c r="E252" s="8"/>
      <c r="F252" s="8"/>
      <c r="G252" s="8"/>
      <c r="H252" s="8"/>
      <c r="N252" s="9"/>
    </row>
    <row r="253">
      <c r="A253" s="6"/>
      <c r="C253" s="7"/>
      <c r="E253" s="8"/>
      <c r="F253" s="8"/>
      <c r="G253" s="8"/>
      <c r="H253" s="8"/>
      <c r="N253" s="9"/>
    </row>
    <row r="254">
      <c r="A254" s="6"/>
      <c r="C254" s="7"/>
      <c r="E254" s="8"/>
      <c r="F254" s="8"/>
      <c r="G254" s="8"/>
      <c r="H254" s="8"/>
      <c r="N254" s="9"/>
    </row>
    <row r="255">
      <c r="A255" s="6"/>
      <c r="C255" s="7"/>
      <c r="E255" s="8"/>
      <c r="F255" s="8"/>
      <c r="G255" s="8"/>
      <c r="H255" s="8"/>
      <c r="N255" s="9"/>
    </row>
    <row r="256">
      <c r="A256" s="6"/>
      <c r="C256" s="7"/>
      <c r="E256" s="8"/>
      <c r="F256" s="8"/>
      <c r="G256" s="8"/>
      <c r="H256" s="8"/>
      <c r="N256" s="9"/>
    </row>
    <row r="257">
      <c r="A257" s="6"/>
      <c r="C257" s="7"/>
      <c r="E257" s="8"/>
      <c r="F257" s="8"/>
      <c r="G257" s="8"/>
      <c r="H257" s="8"/>
      <c r="N257" s="9"/>
    </row>
    <row r="258">
      <c r="A258" s="6"/>
      <c r="C258" s="7"/>
      <c r="E258" s="8"/>
      <c r="F258" s="8"/>
      <c r="G258" s="8"/>
      <c r="H258" s="8"/>
      <c r="N258" s="9"/>
    </row>
    <row r="259">
      <c r="A259" s="6"/>
      <c r="C259" s="7"/>
      <c r="E259" s="8"/>
      <c r="F259" s="8"/>
      <c r="G259" s="8"/>
      <c r="H259" s="8"/>
      <c r="N259" s="9"/>
    </row>
    <row r="260">
      <c r="A260" s="6"/>
      <c r="C260" s="7"/>
      <c r="E260" s="8"/>
      <c r="F260" s="8"/>
      <c r="G260" s="8"/>
      <c r="H260" s="8"/>
      <c r="N260" s="9"/>
    </row>
    <row r="261">
      <c r="A261" s="6"/>
      <c r="C261" s="7"/>
      <c r="E261" s="8"/>
      <c r="F261" s="8"/>
      <c r="G261" s="8"/>
      <c r="H261" s="8"/>
      <c r="N261" s="9"/>
    </row>
    <row r="262">
      <c r="A262" s="6"/>
      <c r="C262" s="7"/>
      <c r="E262" s="8"/>
      <c r="F262" s="8"/>
      <c r="G262" s="8"/>
      <c r="H262" s="8"/>
      <c r="N262" s="9"/>
    </row>
    <row r="263">
      <c r="A263" s="6"/>
      <c r="C263" s="7"/>
      <c r="E263" s="8"/>
      <c r="F263" s="8"/>
      <c r="G263" s="8"/>
      <c r="H263" s="8"/>
      <c r="N263" s="9"/>
    </row>
    <row r="264">
      <c r="A264" s="6"/>
      <c r="C264" s="7"/>
      <c r="E264" s="8"/>
      <c r="F264" s="8"/>
      <c r="G264" s="8"/>
      <c r="H264" s="8"/>
      <c r="N264" s="9"/>
    </row>
    <row r="265">
      <c r="A265" s="6"/>
      <c r="C265" s="7"/>
      <c r="E265" s="8"/>
      <c r="F265" s="8"/>
      <c r="G265" s="8"/>
      <c r="H265" s="8"/>
      <c r="N265" s="9"/>
    </row>
    <row r="266">
      <c r="A266" s="6"/>
      <c r="C266" s="7"/>
      <c r="E266" s="8"/>
      <c r="F266" s="8"/>
      <c r="G266" s="8"/>
      <c r="H266" s="8"/>
      <c r="N266" s="9"/>
    </row>
    <row r="267">
      <c r="A267" s="6"/>
      <c r="C267" s="7"/>
      <c r="E267" s="8"/>
      <c r="F267" s="8"/>
      <c r="G267" s="8"/>
      <c r="H267" s="8"/>
      <c r="N267" s="9"/>
    </row>
    <row r="268">
      <c r="A268" s="6"/>
      <c r="C268" s="7"/>
      <c r="E268" s="8"/>
      <c r="F268" s="8"/>
      <c r="G268" s="8"/>
      <c r="H268" s="8"/>
      <c r="N268" s="9"/>
    </row>
    <row r="269">
      <c r="A269" s="6"/>
      <c r="C269" s="7"/>
      <c r="E269" s="8"/>
      <c r="F269" s="8"/>
      <c r="G269" s="8"/>
      <c r="H269" s="8"/>
      <c r="N269" s="9"/>
    </row>
    <row r="270">
      <c r="A270" s="6"/>
      <c r="C270" s="7"/>
      <c r="E270" s="8"/>
      <c r="F270" s="8"/>
      <c r="G270" s="8"/>
      <c r="H270" s="8"/>
      <c r="N270" s="9"/>
    </row>
    <row r="271">
      <c r="A271" s="6"/>
      <c r="C271" s="7"/>
      <c r="E271" s="8"/>
      <c r="F271" s="8"/>
      <c r="G271" s="8"/>
      <c r="H271" s="8"/>
      <c r="N271" s="9"/>
    </row>
    <row r="272">
      <c r="A272" s="6"/>
      <c r="C272" s="7"/>
      <c r="E272" s="8"/>
      <c r="F272" s="8"/>
      <c r="G272" s="8"/>
      <c r="H272" s="8"/>
      <c r="N272" s="9"/>
    </row>
    <row r="273">
      <c r="A273" s="6"/>
      <c r="C273" s="7"/>
      <c r="E273" s="8"/>
      <c r="F273" s="8"/>
      <c r="G273" s="8"/>
      <c r="H273" s="8"/>
      <c r="N273" s="9"/>
    </row>
    <row r="274">
      <c r="A274" s="6"/>
      <c r="C274" s="7"/>
      <c r="E274" s="8"/>
      <c r="F274" s="8"/>
      <c r="G274" s="8"/>
      <c r="H274" s="8"/>
      <c r="N274" s="9"/>
    </row>
    <row r="275">
      <c r="A275" s="6"/>
      <c r="C275" s="7"/>
      <c r="E275" s="8"/>
      <c r="F275" s="8"/>
      <c r="G275" s="8"/>
      <c r="H275" s="8"/>
      <c r="N275" s="9"/>
    </row>
    <row r="276">
      <c r="A276" s="6"/>
      <c r="C276" s="7"/>
      <c r="E276" s="8"/>
      <c r="F276" s="8"/>
      <c r="G276" s="8"/>
      <c r="H276" s="8"/>
      <c r="N276" s="9"/>
    </row>
    <row r="277">
      <c r="A277" s="6"/>
      <c r="C277" s="7"/>
      <c r="E277" s="8"/>
      <c r="F277" s="8"/>
      <c r="G277" s="8"/>
      <c r="H277" s="8"/>
      <c r="N277" s="9"/>
    </row>
    <row r="278">
      <c r="A278" s="6"/>
      <c r="C278" s="7"/>
      <c r="E278" s="8"/>
      <c r="F278" s="8"/>
      <c r="G278" s="8"/>
      <c r="H278" s="8"/>
      <c r="N278" s="9"/>
    </row>
    <row r="279">
      <c r="A279" s="6"/>
      <c r="C279" s="7"/>
      <c r="E279" s="8"/>
      <c r="F279" s="8"/>
      <c r="G279" s="8"/>
      <c r="H279" s="8"/>
      <c r="N279" s="9"/>
    </row>
    <row r="280">
      <c r="A280" s="6"/>
      <c r="C280" s="7"/>
      <c r="E280" s="8"/>
      <c r="F280" s="8"/>
      <c r="G280" s="8"/>
      <c r="H280" s="8"/>
      <c r="N280" s="9"/>
    </row>
    <row r="281">
      <c r="A281" s="6"/>
      <c r="C281" s="7"/>
      <c r="E281" s="8"/>
      <c r="F281" s="8"/>
      <c r="G281" s="8"/>
      <c r="H281" s="8"/>
      <c r="N281" s="9"/>
    </row>
    <row r="282">
      <c r="A282" s="6"/>
      <c r="C282" s="7"/>
      <c r="E282" s="8"/>
      <c r="F282" s="8"/>
      <c r="G282" s="8"/>
      <c r="H282" s="8"/>
      <c r="N282" s="9"/>
    </row>
    <row r="283">
      <c r="A283" s="6"/>
      <c r="C283" s="7"/>
      <c r="E283" s="8"/>
      <c r="F283" s="8"/>
      <c r="G283" s="8"/>
      <c r="H283" s="8"/>
      <c r="N283" s="9"/>
    </row>
    <row r="284">
      <c r="A284" s="6"/>
      <c r="C284" s="7"/>
      <c r="E284" s="8"/>
      <c r="F284" s="8"/>
      <c r="G284" s="8"/>
      <c r="H284" s="8"/>
      <c r="N284" s="9"/>
    </row>
    <row r="285">
      <c r="A285" s="6"/>
      <c r="C285" s="7"/>
      <c r="E285" s="8"/>
      <c r="F285" s="8"/>
      <c r="G285" s="8"/>
      <c r="H285" s="8"/>
      <c r="N285" s="9"/>
    </row>
    <row r="286">
      <c r="A286" s="6"/>
      <c r="C286" s="7"/>
      <c r="E286" s="8"/>
      <c r="F286" s="8"/>
      <c r="G286" s="8"/>
      <c r="H286" s="8"/>
      <c r="N286" s="9"/>
    </row>
    <row r="287">
      <c r="A287" s="6"/>
      <c r="C287" s="7"/>
      <c r="E287" s="8"/>
      <c r="F287" s="8"/>
      <c r="G287" s="8"/>
      <c r="H287" s="8"/>
      <c r="N287" s="9"/>
    </row>
    <row r="288">
      <c r="A288" s="6"/>
      <c r="C288" s="7"/>
      <c r="E288" s="8"/>
      <c r="F288" s="8"/>
      <c r="G288" s="8"/>
      <c r="H288" s="8"/>
      <c r="N288" s="9"/>
    </row>
    <row r="289">
      <c r="A289" s="6"/>
      <c r="C289" s="7"/>
      <c r="E289" s="8"/>
      <c r="F289" s="8"/>
      <c r="G289" s="8"/>
      <c r="H289" s="8"/>
      <c r="N289" s="9"/>
    </row>
    <row r="290">
      <c r="A290" s="6"/>
      <c r="C290" s="7"/>
      <c r="E290" s="8"/>
      <c r="F290" s="8"/>
      <c r="G290" s="8"/>
      <c r="H290" s="8"/>
      <c r="N290" s="9"/>
    </row>
    <row r="291">
      <c r="A291" s="6"/>
      <c r="C291" s="7"/>
      <c r="E291" s="8"/>
      <c r="F291" s="8"/>
      <c r="G291" s="8"/>
      <c r="H291" s="8"/>
      <c r="N291" s="9"/>
    </row>
    <row r="292">
      <c r="A292" s="6"/>
      <c r="C292" s="7"/>
      <c r="E292" s="8"/>
      <c r="F292" s="8"/>
      <c r="G292" s="8"/>
      <c r="H292" s="8"/>
      <c r="N292" s="9"/>
    </row>
    <row r="293">
      <c r="A293" s="6"/>
      <c r="C293" s="7"/>
      <c r="E293" s="8"/>
      <c r="F293" s="8"/>
      <c r="G293" s="8"/>
      <c r="H293" s="8"/>
      <c r="N293" s="9"/>
    </row>
    <row r="294">
      <c r="A294" s="6"/>
      <c r="C294" s="7"/>
      <c r="E294" s="8"/>
      <c r="F294" s="8"/>
      <c r="G294" s="8"/>
      <c r="H294" s="8"/>
      <c r="N294" s="9"/>
    </row>
    <row r="295">
      <c r="A295" s="6"/>
      <c r="C295" s="7"/>
      <c r="E295" s="8"/>
      <c r="F295" s="8"/>
      <c r="G295" s="8"/>
      <c r="H295" s="8"/>
      <c r="N295" s="9"/>
    </row>
    <row r="296">
      <c r="A296" s="6"/>
      <c r="C296" s="7"/>
      <c r="E296" s="8"/>
      <c r="F296" s="8"/>
      <c r="G296" s="8"/>
      <c r="H296" s="8"/>
      <c r="N296" s="9"/>
    </row>
    <row r="297">
      <c r="A297" s="6"/>
      <c r="C297" s="7"/>
      <c r="E297" s="8"/>
      <c r="F297" s="8"/>
      <c r="G297" s="8"/>
      <c r="H297" s="8"/>
      <c r="N297" s="9"/>
    </row>
    <row r="298">
      <c r="A298" s="6"/>
      <c r="C298" s="7"/>
      <c r="E298" s="8"/>
      <c r="F298" s="8"/>
      <c r="G298" s="8"/>
      <c r="H298" s="8"/>
      <c r="N298" s="9"/>
    </row>
    <row r="299">
      <c r="A299" s="6"/>
      <c r="C299" s="7"/>
      <c r="E299" s="8"/>
      <c r="F299" s="8"/>
      <c r="G299" s="8"/>
      <c r="H299" s="8"/>
      <c r="N299" s="9"/>
    </row>
    <row r="300">
      <c r="A300" s="6"/>
      <c r="C300" s="7"/>
      <c r="E300" s="8"/>
      <c r="F300" s="8"/>
      <c r="G300" s="8"/>
      <c r="H300" s="8"/>
      <c r="N300" s="9"/>
    </row>
    <row r="301">
      <c r="A301" s="6"/>
      <c r="C301" s="7"/>
      <c r="E301" s="8"/>
      <c r="F301" s="8"/>
      <c r="G301" s="8"/>
      <c r="H301" s="8"/>
      <c r="N301" s="9"/>
    </row>
    <row r="302">
      <c r="A302" s="6"/>
      <c r="C302" s="7"/>
      <c r="E302" s="8"/>
      <c r="F302" s="8"/>
      <c r="G302" s="8"/>
      <c r="H302" s="8"/>
      <c r="N302" s="9"/>
    </row>
    <row r="303">
      <c r="A303" s="6"/>
      <c r="C303" s="7"/>
      <c r="E303" s="8"/>
      <c r="F303" s="8"/>
      <c r="G303" s="8"/>
      <c r="H303" s="8"/>
      <c r="N303" s="9"/>
    </row>
    <row r="304">
      <c r="A304" s="6"/>
      <c r="C304" s="7"/>
      <c r="E304" s="8"/>
      <c r="F304" s="8"/>
      <c r="G304" s="8"/>
      <c r="H304" s="8"/>
      <c r="N304" s="9"/>
    </row>
    <row r="305">
      <c r="A305" s="6"/>
      <c r="C305" s="7"/>
      <c r="E305" s="8"/>
      <c r="F305" s="8"/>
      <c r="G305" s="8"/>
      <c r="H305" s="8"/>
      <c r="N305" s="9"/>
    </row>
    <row r="306">
      <c r="A306" s="6"/>
      <c r="C306" s="7"/>
      <c r="E306" s="8"/>
      <c r="F306" s="8"/>
      <c r="G306" s="8"/>
      <c r="H306" s="8"/>
      <c r="N306" s="9"/>
    </row>
    <row r="307">
      <c r="A307" s="6"/>
      <c r="C307" s="7"/>
      <c r="E307" s="8"/>
      <c r="F307" s="8"/>
      <c r="G307" s="8"/>
      <c r="H307" s="8"/>
      <c r="N307" s="9"/>
    </row>
    <row r="308">
      <c r="A308" s="6"/>
      <c r="C308" s="7"/>
      <c r="E308" s="8"/>
      <c r="F308" s="8"/>
      <c r="G308" s="8"/>
      <c r="H308" s="8"/>
      <c r="N308" s="9"/>
    </row>
    <row r="309">
      <c r="A309" s="6"/>
      <c r="C309" s="7"/>
      <c r="E309" s="8"/>
      <c r="F309" s="8"/>
      <c r="G309" s="8"/>
      <c r="H309" s="8"/>
      <c r="N309" s="9"/>
    </row>
    <row r="310">
      <c r="A310" s="6"/>
      <c r="C310" s="7"/>
      <c r="E310" s="8"/>
      <c r="F310" s="8"/>
      <c r="G310" s="8"/>
      <c r="H310" s="8"/>
      <c r="N310" s="9"/>
    </row>
    <row r="311">
      <c r="A311" s="6"/>
      <c r="C311" s="7"/>
      <c r="E311" s="8"/>
      <c r="F311" s="8"/>
      <c r="G311" s="8"/>
      <c r="H311" s="8"/>
      <c r="N311" s="9"/>
    </row>
    <row r="312">
      <c r="A312" s="6"/>
      <c r="C312" s="7"/>
      <c r="E312" s="8"/>
      <c r="F312" s="8"/>
      <c r="G312" s="8"/>
      <c r="H312" s="8"/>
      <c r="N312" s="9"/>
    </row>
    <row r="313">
      <c r="A313" s="6"/>
      <c r="C313" s="7"/>
      <c r="E313" s="8"/>
      <c r="F313" s="8"/>
      <c r="G313" s="8"/>
      <c r="H313" s="8"/>
      <c r="N313" s="9"/>
    </row>
    <row r="314">
      <c r="A314" s="6"/>
      <c r="C314" s="7"/>
      <c r="E314" s="8"/>
      <c r="F314" s="8"/>
      <c r="G314" s="8"/>
      <c r="H314" s="8"/>
      <c r="N314" s="9"/>
    </row>
    <row r="315">
      <c r="A315" s="6"/>
      <c r="C315" s="7"/>
      <c r="E315" s="8"/>
      <c r="F315" s="8"/>
      <c r="G315" s="8"/>
      <c r="H315" s="8"/>
      <c r="N315" s="9"/>
    </row>
    <row r="316">
      <c r="A316" s="6"/>
      <c r="C316" s="7"/>
      <c r="E316" s="8"/>
      <c r="F316" s="8"/>
      <c r="G316" s="8"/>
      <c r="H316" s="8"/>
      <c r="N316" s="9"/>
    </row>
    <row r="317">
      <c r="A317" s="6"/>
      <c r="C317" s="7"/>
      <c r="E317" s="8"/>
      <c r="F317" s="8"/>
      <c r="G317" s="8"/>
      <c r="H317" s="8"/>
      <c r="N317" s="9"/>
    </row>
    <row r="318">
      <c r="A318" s="6"/>
      <c r="C318" s="7"/>
      <c r="E318" s="8"/>
      <c r="F318" s="8"/>
      <c r="G318" s="8"/>
      <c r="H318" s="8"/>
      <c r="N318" s="9"/>
    </row>
    <row r="319">
      <c r="A319" s="6"/>
      <c r="C319" s="7"/>
      <c r="E319" s="8"/>
      <c r="F319" s="8"/>
      <c r="G319" s="8"/>
      <c r="H319" s="8"/>
      <c r="N319" s="9"/>
    </row>
    <row r="320">
      <c r="A320" s="6"/>
      <c r="C320" s="7"/>
      <c r="E320" s="8"/>
      <c r="F320" s="8"/>
      <c r="G320" s="8"/>
      <c r="H320" s="8"/>
      <c r="N320" s="9"/>
    </row>
    <row r="321">
      <c r="A321" s="6"/>
      <c r="C321" s="7"/>
      <c r="E321" s="8"/>
      <c r="F321" s="8"/>
      <c r="G321" s="8"/>
      <c r="H321" s="8"/>
      <c r="N321" s="9"/>
    </row>
    <row r="322">
      <c r="A322" s="6"/>
      <c r="C322" s="7"/>
      <c r="E322" s="8"/>
      <c r="F322" s="8"/>
      <c r="G322" s="8"/>
      <c r="H322" s="8"/>
      <c r="N322" s="9"/>
    </row>
    <row r="323">
      <c r="A323" s="6"/>
      <c r="C323" s="7"/>
      <c r="E323" s="8"/>
      <c r="F323" s="8"/>
      <c r="G323" s="8"/>
      <c r="H323" s="8"/>
      <c r="N323" s="9"/>
    </row>
    <row r="324">
      <c r="A324" s="6"/>
      <c r="C324" s="7"/>
      <c r="E324" s="8"/>
      <c r="F324" s="8"/>
      <c r="G324" s="8"/>
      <c r="H324" s="8"/>
      <c r="N324" s="9"/>
    </row>
    <row r="325">
      <c r="A325" s="6"/>
      <c r="C325" s="7"/>
      <c r="E325" s="8"/>
      <c r="F325" s="8"/>
      <c r="G325" s="8"/>
      <c r="H325" s="8"/>
      <c r="N325" s="9"/>
    </row>
    <row r="326">
      <c r="A326" s="6"/>
      <c r="C326" s="7"/>
      <c r="E326" s="8"/>
      <c r="F326" s="8"/>
      <c r="G326" s="8"/>
      <c r="H326" s="8"/>
      <c r="N326" s="9"/>
    </row>
    <row r="327">
      <c r="A327" s="6"/>
      <c r="C327" s="7"/>
      <c r="E327" s="8"/>
      <c r="F327" s="8"/>
      <c r="G327" s="8"/>
      <c r="H327" s="8"/>
      <c r="N327" s="9"/>
    </row>
    <row r="328">
      <c r="A328" s="6"/>
      <c r="C328" s="7"/>
      <c r="E328" s="8"/>
      <c r="F328" s="8"/>
      <c r="G328" s="8"/>
      <c r="H328" s="8"/>
      <c r="N328" s="9"/>
    </row>
    <row r="329">
      <c r="A329" s="6"/>
      <c r="C329" s="7"/>
      <c r="E329" s="8"/>
      <c r="F329" s="8"/>
      <c r="G329" s="8"/>
      <c r="H329" s="8"/>
      <c r="N329" s="9"/>
    </row>
    <row r="330">
      <c r="A330" s="6"/>
      <c r="C330" s="7"/>
      <c r="E330" s="8"/>
      <c r="F330" s="8"/>
      <c r="G330" s="8"/>
      <c r="H330" s="8"/>
      <c r="N330" s="9"/>
    </row>
    <row r="331">
      <c r="A331" s="6"/>
      <c r="C331" s="7"/>
      <c r="E331" s="8"/>
      <c r="F331" s="8"/>
      <c r="G331" s="8"/>
      <c r="H331" s="8"/>
      <c r="N331" s="9"/>
    </row>
    <row r="332">
      <c r="A332" s="6"/>
      <c r="C332" s="7"/>
      <c r="E332" s="8"/>
      <c r="F332" s="8"/>
      <c r="G332" s="8"/>
      <c r="H332" s="8"/>
      <c r="N332" s="9"/>
    </row>
    <row r="333">
      <c r="A333" s="6"/>
      <c r="C333" s="7"/>
      <c r="E333" s="8"/>
      <c r="F333" s="8"/>
      <c r="G333" s="8"/>
      <c r="H333" s="8"/>
      <c r="N333" s="9"/>
    </row>
    <row r="334">
      <c r="A334" s="6"/>
      <c r="C334" s="7"/>
      <c r="E334" s="8"/>
      <c r="F334" s="8"/>
      <c r="G334" s="8"/>
      <c r="H334" s="8"/>
      <c r="N334" s="9"/>
    </row>
    <row r="335">
      <c r="A335" s="6"/>
      <c r="C335" s="7"/>
      <c r="E335" s="8"/>
      <c r="F335" s="8"/>
      <c r="G335" s="8"/>
      <c r="H335" s="8"/>
      <c r="N335" s="9"/>
    </row>
    <row r="336">
      <c r="A336" s="6"/>
      <c r="C336" s="7"/>
      <c r="E336" s="8"/>
      <c r="F336" s="8"/>
      <c r="G336" s="8"/>
      <c r="H336" s="8"/>
      <c r="N336" s="9"/>
    </row>
    <row r="337">
      <c r="A337" s="6"/>
      <c r="C337" s="7"/>
      <c r="E337" s="8"/>
      <c r="F337" s="8"/>
      <c r="G337" s="8"/>
      <c r="H337" s="8"/>
      <c r="N337" s="9"/>
    </row>
    <row r="338">
      <c r="A338" s="6"/>
      <c r="C338" s="7"/>
      <c r="E338" s="8"/>
      <c r="F338" s="8"/>
      <c r="G338" s="8"/>
      <c r="H338" s="8"/>
      <c r="N338" s="9"/>
    </row>
    <row r="339">
      <c r="A339" s="6"/>
      <c r="C339" s="7"/>
      <c r="E339" s="8"/>
      <c r="F339" s="8"/>
      <c r="G339" s="8"/>
      <c r="H339" s="8"/>
      <c r="N339" s="9"/>
    </row>
    <row r="340">
      <c r="A340" s="6"/>
      <c r="C340" s="7"/>
      <c r="E340" s="8"/>
      <c r="F340" s="8"/>
      <c r="G340" s="8"/>
      <c r="H340" s="8"/>
      <c r="N340" s="9"/>
    </row>
    <row r="341">
      <c r="A341" s="6"/>
      <c r="C341" s="7"/>
      <c r="E341" s="8"/>
      <c r="F341" s="8"/>
      <c r="G341" s="8"/>
      <c r="H341" s="8"/>
      <c r="N341" s="9"/>
    </row>
    <row r="342">
      <c r="A342" s="6"/>
      <c r="C342" s="7"/>
      <c r="E342" s="8"/>
      <c r="F342" s="8"/>
      <c r="G342" s="8"/>
      <c r="H342" s="8"/>
      <c r="N342" s="9"/>
    </row>
    <row r="343">
      <c r="A343" s="6"/>
      <c r="C343" s="7"/>
      <c r="E343" s="8"/>
      <c r="F343" s="8"/>
      <c r="G343" s="8"/>
      <c r="H343" s="8"/>
      <c r="N343" s="9"/>
    </row>
    <row r="344">
      <c r="A344" s="6"/>
      <c r="C344" s="7"/>
      <c r="E344" s="8"/>
      <c r="F344" s="8"/>
      <c r="G344" s="8"/>
      <c r="H344" s="8"/>
      <c r="N344" s="9"/>
    </row>
    <row r="345">
      <c r="A345" s="6"/>
      <c r="C345" s="7"/>
      <c r="E345" s="8"/>
      <c r="F345" s="8"/>
      <c r="G345" s="8"/>
      <c r="H345" s="8"/>
      <c r="N345" s="9"/>
    </row>
    <row r="346">
      <c r="A346" s="6"/>
      <c r="C346" s="7"/>
      <c r="E346" s="8"/>
      <c r="F346" s="8"/>
      <c r="G346" s="8"/>
      <c r="H346" s="8"/>
      <c r="N346" s="9"/>
    </row>
    <row r="347">
      <c r="A347" s="6"/>
      <c r="C347" s="7"/>
      <c r="E347" s="8"/>
      <c r="F347" s="8"/>
      <c r="G347" s="8"/>
      <c r="H347" s="8"/>
      <c r="N347" s="9"/>
    </row>
    <row r="348">
      <c r="A348" s="6"/>
      <c r="C348" s="7"/>
      <c r="E348" s="8"/>
      <c r="F348" s="8"/>
      <c r="G348" s="8"/>
      <c r="H348" s="8"/>
      <c r="N348" s="9"/>
    </row>
    <row r="349">
      <c r="A349" s="6"/>
      <c r="C349" s="7"/>
      <c r="E349" s="8"/>
      <c r="F349" s="8"/>
      <c r="G349" s="8"/>
      <c r="H349" s="8"/>
      <c r="N349" s="9"/>
    </row>
    <row r="350">
      <c r="A350" s="6"/>
      <c r="C350" s="7"/>
      <c r="E350" s="8"/>
      <c r="F350" s="8"/>
      <c r="G350" s="8"/>
      <c r="H350" s="8"/>
      <c r="N350" s="9"/>
    </row>
    <row r="351">
      <c r="A351" s="6"/>
      <c r="C351" s="7"/>
      <c r="E351" s="8"/>
      <c r="F351" s="8"/>
      <c r="G351" s="8"/>
      <c r="H351" s="8"/>
      <c r="N351" s="9"/>
    </row>
    <row r="352">
      <c r="A352" s="6"/>
      <c r="C352" s="7"/>
      <c r="E352" s="8"/>
      <c r="F352" s="8"/>
      <c r="G352" s="8"/>
      <c r="H352" s="8"/>
      <c r="N352" s="9"/>
    </row>
    <row r="353">
      <c r="A353" s="6"/>
      <c r="C353" s="7"/>
      <c r="E353" s="8"/>
      <c r="F353" s="8"/>
      <c r="G353" s="8"/>
      <c r="H353" s="8"/>
      <c r="N353" s="9"/>
    </row>
    <row r="354">
      <c r="A354" s="6"/>
      <c r="C354" s="7"/>
      <c r="E354" s="8"/>
      <c r="F354" s="8"/>
      <c r="G354" s="8"/>
      <c r="H354" s="8"/>
      <c r="N354" s="9"/>
    </row>
    <row r="355">
      <c r="A355" s="6"/>
      <c r="C355" s="7"/>
      <c r="E355" s="8"/>
      <c r="F355" s="8"/>
      <c r="G355" s="8"/>
      <c r="H355" s="8"/>
      <c r="N355" s="9"/>
    </row>
    <row r="356">
      <c r="A356" s="6"/>
      <c r="C356" s="7"/>
      <c r="E356" s="8"/>
      <c r="F356" s="8"/>
      <c r="G356" s="8"/>
      <c r="H356" s="8"/>
      <c r="N356" s="9"/>
    </row>
    <row r="357">
      <c r="A357" s="6"/>
      <c r="C357" s="7"/>
      <c r="E357" s="8"/>
      <c r="F357" s="8"/>
      <c r="G357" s="8"/>
      <c r="H357" s="8"/>
      <c r="N357" s="9"/>
    </row>
    <row r="358">
      <c r="A358" s="6"/>
      <c r="C358" s="7"/>
      <c r="E358" s="8"/>
      <c r="F358" s="8"/>
      <c r="G358" s="8"/>
      <c r="H358" s="8"/>
      <c r="N358" s="9"/>
    </row>
    <row r="359">
      <c r="A359" s="6"/>
      <c r="C359" s="7"/>
      <c r="E359" s="8"/>
      <c r="F359" s="8"/>
      <c r="G359" s="8"/>
      <c r="H359" s="8"/>
      <c r="N359" s="9"/>
    </row>
    <row r="360">
      <c r="A360" s="6"/>
      <c r="C360" s="7"/>
      <c r="E360" s="8"/>
      <c r="F360" s="8"/>
      <c r="G360" s="8"/>
      <c r="H360" s="8"/>
      <c r="N360" s="9"/>
    </row>
    <row r="361">
      <c r="A361" s="6"/>
      <c r="C361" s="7"/>
      <c r="E361" s="8"/>
      <c r="F361" s="8"/>
      <c r="G361" s="8"/>
      <c r="H361" s="8"/>
      <c r="N361" s="9"/>
    </row>
    <row r="362">
      <c r="A362" s="6"/>
      <c r="C362" s="7"/>
      <c r="E362" s="8"/>
      <c r="F362" s="8"/>
      <c r="G362" s="8"/>
      <c r="H362" s="8"/>
      <c r="N362" s="9"/>
    </row>
    <row r="363">
      <c r="A363" s="6"/>
      <c r="C363" s="7"/>
      <c r="E363" s="8"/>
      <c r="F363" s="8"/>
      <c r="G363" s="8"/>
      <c r="H363" s="8"/>
      <c r="N363" s="9"/>
    </row>
    <row r="364">
      <c r="A364" s="6"/>
      <c r="C364" s="7"/>
      <c r="E364" s="8"/>
      <c r="F364" s="8"/>
      <c r="G364" s="8"/>
      <c r="H364" s="8"/>
      <c r="N364" s="9"/>
    </row>
    <row r="365">
      <c r="A365" s="6"/>
      <c r="C365" s="7"/>
      <c r="E365" s="8"/>
      <c r="F365" s="8"/>
      <c r="G365" s="8"/>
      <c r="H365" s="8"/>
      <c r="N365" s="9"/>
    </row>
    <row r="366">
      <c r="A366" s="6"/>
      <c r="C366" s="7"/>
      <c r="E366" s="8"/>
      <c r="F366" s="8"/>
      <c r="G366" s="8"/>
      <c r="H366" s="8"/>
      <c r="N366" s="9"/>
    </row>
    <row r="367">
      <c r="A367" s="6"/>
      <c r="C367" s="7"/>
      <c r="E367" s="8"/>
      <c r="F367" s="8"/>
      <c r="G367" s="8"/>
      <c r="H367" s="8"/>
      <c r="N367" s="9"/>
    </row>
    <row r="368">
      <c r="A368" s="6"/>
      <c r="C368" s="7"/>
      <c r="E368" s="8"/>
      <c r="F368" s="8"/>
      <c r="G368" s="8"/>
      <c r="H368" s="8"/>
      <c r="N368" s="9"/>
    </row>
    <row r="369">
      <c r="A369" s="6"/>
      <c r="C369" s="7"/>
      <c r="E369" s="8"/>
      <c r="F369" s="8"/>
      <c r="G369" s="8"/>
      <c r="H369" s="8"/>
      <c r="N369" s="9"/>
    </row>
    <row r="370">
      <c r="A370" s="6"/>
      <c r="C370" s="7"/>
      <c r="E370" s="8"/>
      <c r="F370" s="8"/>
      <c r="G370" s="8"/>
      <c r="H370" s="8"/>
      <c r="N370" s="9"/>
    </row>
    <row r="371">
      <c r="A371" s="6"/>
      <c r="C371" s="7"/>
      <c r="E371" s="8"/>
      <c r="F371" s="8"/>
      <c r="G371" s="8"/>
      <c r="H371" s="8"/>
      <c r="N371" s="9"/>
    </row>
    <row r="372">
      <c r="A372" s="6"/>
      <c r="C372" s="7"/>
      <c r="E372" s="8"/>
      <c r="F372" s="8"/>
      <c r="G372" s="8"/>
      <c r="H372" s="8"/>
      <c r="N372" s="9"/>
    </row>
    <row r="373">
      <c r="A373" s="6"/>
      <c r="C373" s="7"/>
      <c r="E373" s="8"/>
      <c r="F373" s="8"/>
      <c r="G373" s="8"/>
      <c r="H373" s="8"/>
      <c r="N373" s="9"/>
    </row>
    <row r="374">
      <c r="A374" s="6"/>
      <c r="C374" s="7"/>
      <c r="E374" s="8"/>
      <c r="F374" s="8"/>
      <c r="G374" s="8"/>
      <c r="H374" s="8"/>
      <c r="N374" s="9"/>
    </row>
    <row r="375">
      <c r="A375" s="6"/>
      <c r="C375" s="7"/>
      <c r="E375" s="8"/>
      <c r="F375" s="8"/>
      <c r="G375" s="8"/>
      <c r="H375" s="8"/>
      <c r="N375" s="9"/>
    </row>
    <row r="376">
      <c r="A376" s="6"/>
      <c r="C376" s="7"/>
      <c r="E376" s="8"/>
      <c r="F376" s="8"/>
      <c r="G376" s="8"/>
      <c r="H376" s="8"/>
      <c r="N376" s="9"/>
    </row>
    <row r="377">
      <c r="A377" s="6"/>
      <c r="C377" s="7"/>
      <c r="E377" s="8"/>
      <c r="F377" s="8"/>
      <c r="G377" s="8"/>
      <c r="H377" s="8"/>
      <c r="N377" s="9"/>
    </row>
    <row r="378">
      <c r="A378" s="6"/>
      <c r="C378" s="7"/>
      <c r="E378" s="8"/>
      <c r="F378" s="8"/>
      <c r="G378" s="8"/>
      <c r="H378" s="8"/>
      <c r="N378" s="9"/>
    </row>
    <row r="379">
      <c r="A379" s="6"/>
      <c r="C379" s="7"/>
      <c r="E379" s="8"/>
      <c r="F379" s="8"/>
      <c r="G379" s="8"/>
      <c r="H379" s="8"/>
      <c r="N379" s="9"/>
    </row>
    <row r="380">
      <c r="A380" s="6"/>
      <c r="C380" s="7"/>
      <c r="E380" s="8"/>
      <c r="F380" s="8"/>
      <c r="G380" s="8"/>
      <c r="H380" s="8"/>
      <c r="N380" s="9"/>
    </row>
    <row r="381">
      <c r="A381" s="6"/>
      <c r="C381" s="7"/>
      <c r="E381" s="8"/>
      <c r="F381" s="8"/>
      <c r="G381" s="8"/>
      <c r="H381" s="8"/>
      <c r="N381" s="9"/>
    </row>
    <row r="382">
      <c r="A382" s="6"/>
      <c r="C382" s="7"/>
      <c r="E382" s="8"/>
      <c r="F382" s="8"/>
      <c r="G382" s="8"/>
      <c r="H382" s="8"/>
      <c r="N382" s="9"/>
    </row>
    <row r="383">
      <c r="A383" s="6"/>
      <c r="C383" s="7"/>
      <c r="E383" s="8"/>
      <c r="F383" s="8"/>
      <c r="G383" s="8"/>
      <c r="H383" s="8"/>
      <c r="N383" s="9"/>
    </row>
    <row r="384">
      <c r="A384" s="6"/>
      <c r="C384" s="7"/>
      <c r="E384" s="8"/>
      <c r="F384" s="8"/>
      <c r="G384" s="8"/>
      <c r="H384" s="8"/>
      <c r="N384" s="9"/>
    </row>
    <row r="385">
      <c r="A385" s="6"/>
      <c r="C385" s="7"/>
      <c r="E385" s="8"/>
      <c r="F385" s="8"/>
      <c r="G385" s="8"/>
      <c r="H385" s="8"/>
      <c r="N385" s="9"/>
    </row>
    <row r="386">
      <c r="A386" s="6"/>
      <c r="C386" s="7"/>
      <c r="E386" s="8"/>
      <c r="F386" s="8"/>
      <c r="G386" s="8"/>
      <c r="H386" s="8"/>
      <c r="N386" s="9"/>
    </row>
    <row r="387">
      <c r="A387" s="6"/>
      <c r="C387" s="7"/>
      <c r="E387" s="8"/>
      <c r="F387" s="8"/>
      <c r="G387" s="8"/>
      <c r="H387" s="8"/>
      <c r="N387" s="9"/>
    </row>
    <row r="388">
      <c r="A388" s="6"/>
      <c r="C388" s="7"/>
      <c r="E388" s="8"/>
      <c r="F388" s="8"/>
      <c r="G388" s="8"/>
      <c r="H388" s="8"/>
      <c r="N388" s="9"/>
    </row>
    <row r="389">
      <c r="A389" s="6"/>
      <c r="C389" s="7"/>
      <c r="E389" s="8"/>
      <c r="F389" s="8"/>
      <c r="G389" s="8"/>
      <c r="H389" s="8"/>
      <c r="N389" s="9"/>
    </row>
    <row r="390">
      <c r="A390" s="6"/>
      <c r="C390" s="7"/>
      <c r="E390" s="8"/>
      <c r="F390" s="8"/>
      <c r="G390" s="8"/>
      <c r="H390" s="8"/>
      <c r="N390" s="9"/>
    </row>
    <row r="391">
      <c r="A391" s="6"/>
      <c r="C391" s="7"/>
      <c r="E391" s="8"/>
      <c r="F391" s="8"/>
      <c r="G391" s="8"/>
      <c r="H391" s="8"/>
      <c r="N391" s="9"/>
    </row>
    <row r="392">
      <c r="A392" s="6"/>
      <c r="C392" s="7"/>
      <c r="E392" s="8"/>
      <c r="F392" s="8"/>
      <c r="G392" s="8"/>
      <c r="H392" s="8"/>
      <c r="N392" s="9"/>
    </row>
    <row r="393">
      <c r="A393" s="6"/>
      <c r="C393" s="7"/>
      <c r="E393" s="8"/>
      <c r="F393" s="8"/>
      <c r="G393" s="8"/>
      <c r="H393" s="8"/>
      <c r="N393" s="9"/>
    </row>
    <row r="394">
      <c r="A394" s="6"/>
      <c r="C394" s="7"/>
      <c r="E394" s="8"/>
      <c r="F394" s="8"/>
      <c r="G394" s="8"/>
      <c r="H394" s="8"/>
      <c r="N394" s="9"/>
    </row>
    <row r="395">
      <c r="A395" s="6"/>
      <c r="C395" s="7"/>
      <c r="E395" s="8"/>
      <c r="F395" s="8"/>
      <c r="G395" s="8"/>
      <c r="H395" s="8"/>
      <c r="N395" s="9"/>
    </row>
    <row r="396">
      <c r="A396" s="6"/>
      <c r="C396" s="7"/>
      <c r="E396" s="8"/>
      <c r="F396" s="8"/>
      <c r="G396" s="8"/>
      <c r="H396" s="8"/>
      <c r="N396" s="9"/>
    </row>
    <row r="397">
      <c r="A397" s="6"/>
      <c r="C397" s="7"/>
      <c r="E397" s="8"/>
      <c r="F397" s="8"/>
      <c r="G397" s="8"/>
      <c r="H397" s="8"/>
      <c r="N397" s="9"/>
    </row>
    <row r="398">
      <c r="A398" s="6"/>
      <c r="C398" s="7"/>
      <c r="E398" s="8"/>
      <c r="F398" s="8"/>
      <c r="G398" s="8"/>
      <c r="H398" s="8"/>
      <c r="N398" s="9"/>
    </row>
    <row r="399">
      <c r="A399" s="6"/>
      <c r="C399" s="7"/>
      <c r="E399" s="8"/>
      <c r="F399" s="8"/>
      <c r="G399" s="8"/>
      <c r="H399" s="8"/>
      <c r="N399" s="9"/>
    </row>
    <row r="400">
      <c r="A400" s="6"/>
      <c r="C400" s="7"/>
      <c r="E400" s="8"/>
      <c r="F400" s="8"/>
      <c r="G400" s="8"/>
      <c r="H400" s="8"/>
      <c r="N400" s="9"/>
    </row>
    <row r="401">
      <c r="A401" s="6"/>
      <c r="C401" s="7"/>
      <c r="E401" s="8"/>
      <c r="F401" s="8"/>
      <c r="G401" s="8"/>
      <c r="H401" s="8"/>
      <c r="N401" s="9"/>
    </row>
    <row r="402">
      <c r="A402" s="6"/>
      <c r="C402" s="7"/>
      <c r="E402" s="8"/>
      <c r="F402" s="8"/>
      <c r="G402" s="8"/>
      <c r="H402" s="8"/>
      <c r="N402" s="9"/>
    </row>
    <row r="403">
      <c r="A403" s="6"/>
      <c r="C403" s="7"/>
      <c r="E403" s="8"/>
      <c r="F403" s="8"/>
      <c r="G403" s="8"/>
      <c r="H403" s="8"/>
      <c r="N403" s="9"/>
    </row>
    <row r="404">
      <c r="A404" s="6"/>
      <c r="C404" s="7"/>
      <c r="E404" s="8"/>
      <c r="F404" s="8"/>
      <c r="G404" s="8"/>
      <c r="H404" s="8"/>
      <c r="N404" s="9"/>
    </row>
    <row r="405">
      <c r="A405" s="6"/>
      <c r="C405" s="7"/>
      <c r="E405" s="8"/>
      <c r="F405" s="8"/>
      <c r="G405" s="8"/>
      <c r="H405" s="8"/>
      <c r="N405" s="9"/>
    </row>
    <row r="406">
      <c r="A406" s="6"/>
      <c r="C406" s="7"/>
      <c r="E406" s="8"/>
      <c r="F406" s="8"/>
      <c r="G406" s="8"/>
      <c r="H406" s="8"/>
      <c r="N406" s="9"/>
    </row>
    <row r="407">
      <c r="A407" s="6"/>
      <c r="C407" s="7"/>
      <c r="E407" s="8"/>
      <c r="F407" s="8"/>
      <c r="G407" s="8"/>
      <c r="H407" s="8"/>
      <c r="N407" s="9"/>
    </row>
    <row r="408">
      <c r="A408" s="6"/>
      <c r="C408" s="7"/>
      <c r="E408" s="8"/>
      <c r="F408" s="8"/>
      <c r="G408" s="8"/>
      <c r="H408" s="8"/>
      <c r="N408" s="9"/>
    </row>
    <row r="409">
      <c r="A409" s="6"/>
      <c r="C409" s="7"/>
      <c r="E409" s="8"/>
      <c r="F409" s="8"/>
      <c r="G409" s="8"/>
      <c r="H409" s="8"/>
      <c r="N409" s="9"/>
    </row>
    <row r="410">
      <c r="A410" s="6"/>
      <c r="C410" s="7"/>
      <c r="E410" s="8"/>
      <c r="F410" s="8"/>
      <c r="G410" s="8"/>
      <c r="H410" s="8"/>
      <c r="N410" s="9"/>
    </row>
    <row r="411">
      <c r="A411" s="6"/>
      <c r="C411" s="7"/>
      <c r="E411" s="8"/>
      <c r="F411" s="8"/>
      <c r="G411" s="8"/>
      <c r="H411" s="8"/>
      <c r="N411" s="9"/>
    </row>
    <row r="412">
      <c r="A412" s="6"/>
      <c r="C412" s="7"/>
      <c r="E412" s="8"/>
      <c r="F412" s="8"/>
      <c r="G412" s="8"/>
      <c r="H412" s="8"/>
      <c r="N412" s="9"/>
    </row>
    <row r="413">
      <c r="A413" s="6"/>
      <c r="C413" s="7"/>
      <c r="E413" s="8"/>
      <c r="F413" s="8"/>
      <c r="G413" s="8"/>
      <c r="H413" s="8"/>
      <c r="N413" s="9"/>
    </row>
    <row r="414">
      <c r="A414" s="6"/>
      <c r="C414" s="7"/>
      <c r="E414" s="8"/>
      <c r="F414" s="8"/>
      <c r="G414" s="8"/>
      <c r="H414" s="8"/>
      <c r="N414" s="9"/>
    </row>
    <row r="415">
      <c r="A415" s="6"/>
      <c r="C415" s="7"/>
      <c r="E415" s="8"/>
      <c r="F415" s="8"/>
      <c r="G415" s="8"/>
      <c r="H415" s="8"/>
      <c r="N415" s="9"/>
    </row>
    <row r="416">
      <c r="A416" s="6"/>
      <c r="C416" s="7"/>
      <c r="E416" s="8"/>
      <c r="F416" s="8"/>
      <c r="G416" s="8"/>
      <c r="H416" s="8"/>
      <c r="N416" s="9"/>
    </row>
    <row r="417">
      <c r="A417" s="6"/>
      <c r="C417" s="7"/>
      <c r="E417" s="8"/>
      <c r="F417" s="8"/>
      <c r="G417" s="8"/>
      <c r="H417" s="8"/>
      <c r="N417" s="9"/>
    </row>
    <row r="418">
      <c r="A418" s="6"/>
      <c r="C418" s="7"/>
      <c r="E418" s="8"/>
      <c r="F418" s="8"/>
      <c r="G418" s="8"/>
      <c r="H418" s="8"/>
      <c r="N418" s="9"/>
    </row>
    <row r="419">
      <c r="A419" s="6"/>
      <c r="C419" s="7"/>
      <c r="E419" s="8"/>
      <c r="F419" s="8"/>
      <c r="G419" s="8"/>
      <c r="H419" s="8"/>
      <c r="N419" s="9"/>
    </row>
    <row r="420">
      <c r="A420" s="6"/>
      <c r="C420" s="7"/>
      <c r="E420" s="8"/>
      <c r="F420" s="8"/>
      <c r="G420" s="8"/>
      <c r="H420" s="8"/>
      <c r="N420" s="9"/>
    </row>
    <row r="421">
      <c r="A421" s="6"/>
      <c r="C421" s="7"/>
      <c r="E421" s="8"/>
      <c r="F421" s="8"/>
      <c r="G421" s="8"/>
      <c r="H421" s="8"/>
      <c r="N421" s="9"/>
    </row>
    <row r="422">
      <c r="A422" s="6"/>
      <c r="C422" s="7"/>
      <c r="E422" s="8"/>
      <c r="F422" s="8"/>
      <c r="G422" s="8"/>
      <c r="H422" s="8"/>
      <c r="N422" s="9"/>
    </row>
    <row r="423">
      <c r="A423" s="6"/>
      <c r="C423" s="7"/>
      <c r="E423" s="8"/>
      <c r="F423" s="8"/>
      <c r="G423" s="8"/>
      <c r="H423" s="8"/>
      <c r="N423" s="9"/>
    </row>
    <row r="424">
      <c r="A424" s="6"/>
      <c r="C424" s="7"/>
      <c r="E424" s="8"/>
      <c r="F424" s="8"/>
      <c r="G424" s="8"/>
      <c r="H424" s="8"/>
      <c r="N424" s="9"/>
    </row>
    <row r="425">
      <c r="A425" s="6"/>
      <c r="C425" s="7"/>
      <c r="E425" s="8"/>
      <c r="F425" s="8"/>
      <c r="G425" s="8"/>
      <c r="H425" s="8"/>
      <c r="N425" s="9"/>
    </row>
    <row r="426">
      <c r="A426" s="6"/>
      <c r="C426" s="7"/>
      <c r="E426" s="8"/>
      <c r="F426" s="8"/>
      <c r="G426" s="8"/>
      <c r="H426" s="8"/>
      <c r="N426" s="9"/>
    </row>
    <row r="427">
      <c r="A427" s="6"/>
      <c r="C427" s="7"/>
      <c r="E427" s="8"/>
      <c r="F427" s="8"/>
      <c r="G427" s="8"/>
      <c r="H427" s="8"/>
      <c r="N427" s="9"/>
    </row>
    <row r="428">
      <c r="A428" s="6"/>
      <c r="C428" s="7"/>
      <c r="E428" s="8"/>
      <c r="F428" s="8"/>
      <c r="G428" s="8"/>
      <c r="H428" s="8"/>
      <c r="N428" s="9"/>
    </row>
    <row r="429">
      <c r="A429" s="6"/>
      <c r="C429" s="7"/>
      <c r="E429" s="8"/>
      <c r="F429" s="8"/>
      <c r="G429" s="8"/>
      <c r="H429" s="8"/>
      <c r="N429" s="9"/>
    </row>
    <row r="430">
      <c r="A430" s="6"/>
      <c r="C430" s="7"/>
      <c r="E430" s="8"/>
      <c r="F430" s="8"/>
      <c r="G430" s="8"/>
      <c r="H430" s="8"/>
      <c r="N430" s="9"/>
    </row>
    <row r="431">
      <c r="A431" s="6"/>
      <c r="C431" s="7"/>
      <c r="E431" s="8"/>
      <c r="F431" s="8"/>
      <c r="G431" s="8"/>
      <c r="H431" s="8"/>
      <c r="N431" s="9"/>
    </row>
    <row r="432">
      <c r="A432" s="6"/>
      <c r="C432" s="7"/>
      <c r="E432" s="8"/>
      <c r="F432" s="8"/>
      <c r="G432" s="8"/>
      <c r="H432" s="8"/>
      <c r="N432" s="9"/>
    </row>
    <row r="433">
      <c r="A433" s="6"/>
      <c r="C433" s="7"/>
      <c r="E433" s="8"/>
      <c r="F433" s="8"/>
      <c r="G433" s="8"/>
      <c r="H433" s="8"/>
      <c r="N433" s="9"/>
    </row>
    <row r="434">
      <c r="A434" s="6"/>
      <c r="C434" s="7"/>
      <c r="E434" s="8"/>
      <c r="F434" s="8"/>
      <c r="G434" s="8"/>
      <c r="H434" s="8"/>
      <c r="N434" s="9"/>
    </row>
    <row r="435">
      <c r="A435" s="6"/>
      <c r="C435" s="7"/>
      <c r="E435" s="8"/>
      <c r="F435" s="8"/>
      <c r="G435" s="8"/>
      <c r="H435" s="8"/>
      <c r="N435" s="9"/>
    </row>
    <row r="436">
      <c r="A436" s="6"/>
      <c r="C436" s="7"/>
      <c r="E436" s="8"/>
      <c r="F436" s="8"/>
      <c r="G436" s="8"/>
      <c r="H436" s="8"/>
      <c r="N436" s="9"/>
    </row>
    <row r="437">
      <c r="A437" s="6"/>
      <c r="C437" s="7"/>
      <c r="E437" s="8"/>
      <c r="F437" s="8"/>
      <c r="G437" s="8"/>
      <c r="H437" s="8"/>
      <c r="N437" s="9"/>
    </row>
    <row r="438">
      <c r="A438" s="6"/>
      <c r="C438" s="7"/>
      <c r="E438" s="8"/>
      <c r="F438" s="8"/>
      <c r="G438" s="8"/>
      <c r="H438" s="8"/>
      <c r="N438" s="9"/>
    </row>
    <row r="439">
      <c r="A439" s="6"/>
      <c r="C439" s="7"/>
      <c r="E439" s="8"/>
      <c r="F439" s="8"/>
      <c r="G439" s="8"/>
      <c r="H439" s="8"/>
      <c r="N439" s="9"/>
    </row>
    <row r="440">
      <c r="A440" s="6"/>
      <c r="C440" s="7"/>
      <c r="E440" s="8"/>
      <c r="F440" s="8"/>
      <c r="G440" s="8"/>
      <c r="H440" s="8"/>
      <c r="N440" s="9"/>
    </row>
    <row r="441">
      <c r="A441" s="6"/>
      <c r="C441" s="7"/>
      <c r="E441" s="8"/>
      <c r="F441" s="8"/>
      <c r="G441" s="8"/>
      <c r="H441" s="8"/>
      <c r="N441" s="9"/>
    </row>
    <row r="442">
      <c r="A442" s="6"/>
      <c r="C442" s="7"/>
      <c r="E442" s="8"/>
      <c r="F442" s="8"/>
      <c r="G442" s="8"/>
      <c r="H442" s="8"/>
      <c r="N442" s="9"/>
    </row>
    <row r="443">
      <c r="A443" s="6"/>
      <c r="C443" s="7"/>
      <c r="E443" s="8"/>
      <c r="F443" s="8"/>
      <c r="G443" s="8"/>
      <c r="H443" s="8"/>
      <c r="N443" s="9"/>
    </row>
    <row r="444">
      <c r="A444" s="6"/>
      <c r="C444" s="7"/>
      <c r="E444" s="8"/>
      <c r="F444" s="8"/>
      <c r="G444" s="8"/>
      <c r="H444" s="8"/>
      <c r="N444" s="9"/>
    </row>
    <row r="445">
      <c r="A445" s="6"/>
      <c r="C445" s="7"/>
      <c r="E445" s="8"/>
      <c r="F445" s="8"/>
      <c r="G445" s="8"/>
      <c r="H445" s="8"/>
      <c r="N445" s="9"/>
    </row>
    <row r="446">
      <c r="A446" s="6"/>
      <c r="C446" s="7"/>
      <c r="E446" s="8"/>
      <c r="F446" s="8"/>
      <c r="G446" s="8"/>
      <c r="H446" s="8"/>
      <c r="N446" s="9"/>
    </row>
    <row r="447">
      <c r="A447" s="6"/>
      <c r="C447" s="7"/>
      <c r="E447" s="8"/>
      <c r="F447" s="8"/>
      <c r="G447" s="8"/>
      <c r="H447" s="8"/>
      <c r="N447" s="9"/>
    </row>
    <row r="448">
      <c r="A448" s="6"/>
      <c r="C448" s="7"/>
      <c r="E448" s="8"/>
      <c r="F448" s="8"/>
      <c r="G448" s="8"/>
      <c r="H448" s="8"/>
      <c r="N448" s="9"/>
    </row>
    <row r="449">
      <c r="A449" s="6"/>
      <c r="C449" s="7"/>
      <c r="E449" s="8"/>
      <c r="F449" s="8"/>
      <c r="G449" s="8"/>
      <c r="H449" s="8"/>
      <c r="N449" s="9"/>
    </row>
    <row r="450">
      <c r="A450" s="6"/>
      <c r="C450" s="7"/>
      <c r="E450" s="8"/>
      <c r="F450" s="8"/>
      <c r="G450" s="8"/>
      <c r="H450" s="8"/>
      <c r="N450" s="9"/>
    </row>
    <row r="451">
      <c r="A451" s="6"/>
      <c r="C451" s="7"/>
      <c r="E451" s="8"/>
      <c r="F451" s="8"/>
      <c r="G451" s="8"/>
      <c r="H451" s="8"/>
      <c r="N451" s="9"/>
    </row>
    <row r="452">
      <c r="A452" s="6"/>
      <c r="C452" s="7"/>
      <c r="E452" s="8"/>
      <c r="F452" s="8"/>
      <c r="G452" s="8"/>
      <c r="H452" s="8"/>
      <c r="N452" s="9"/>
    </row>
    <row r="453">
      <c r="A453" s="6"/>
      <c r="C453" s="7"/>
      <c r="E453" s="8"/>
      <c r="F453" s="8"/>
      <c r="G453" s="8"/>
      <c r="H453" s="8"/>
      <c r="N453" s="9"/>
    </row>
    <row r="454">
      <c r="A454" s="6"/>
      <c r="C454" s="7"/>
      <c r="E454" s="8"/>
      <c r="F454" s="8"/>
      <c r="G454" s="8"/>
      <c r="H454" s="8"/>
      <c r="N454" s="9"/>
    </row>
    <row r="455">
      <c r="A455" s="6"/>
      <c r="C455" s="7"/>
      <c r="E455" s="8"/>
      <c r="F455" s="8"/>
      <c r="G455" s="8"/>
      <c r="H455" s="8"/>
      <c r="N455" s="9"/>
    </row>
    <row r="456">
      <c r="A456" s="6"/>
      <c r="C456" s="7"/>
      <c r="E456" s="8"/>
      <c r="F456" s="8"/>
      <c r="G456" s="8"/>
      <c r="H456" s="8"/>
      <c r="N456" s="9"/>
    </row>
    <row r="457">
      <c r="A457" s="6"/>
      <c r="C457" s="7"/>
      <c r="E457" s="8"/>
      <c r="F457" s="8"/>
      <c r="G457" s="8"/>
      <c r="H457" s="8"/>
      <c r="N457" s="9"/>
    </row>
    <row r="458">
      <c r="A458" s="6"/>
      <c r="C458" s="7"/>
      <c r="E458" s="8"/>
      <c r="F458" s="8"/>
      <c r="G458" s="8"/>
      <c r="H458" s="8"/>
      <c r="N458" s="9"/>
    </row>
    <row r="459">
      <c r="A459" s="6"/>
      <c r="C459" s="7"/>
      <c r="E459" s="8"/>
      <c r="F459" s="8"/>
      <c r="G459" s="8"/>
      <c r="H459" s="8"/>
      <c r="N459" s="9"/>
    </row>
    <row r="460">
      <c r="A460" s="6"/>
      <c r="C460" s="7"/>
      <c r="E460" s="8"/>
      <c r="F460" s="8"/>
      <c r="G460" s="8"/>
      <c r="H460" s="8"/>
      <c r="N460" s="9"/>
    </row>
    <row r="461">
      <c r="A461" s="6"/>
      <c r="C461" s="7"/>
      <c r="E461" s="8"/>
      <c r="F461" s="8"/>
      <c r="G461" s="8"/>
      <c r="H461" s="8"/>
      <c r="N461" s="9"/>
    </row>
    <row r="462">
      <c r="A462" s="6"/>
      <c r="C462" s="7"/>
      <c r="E462" s="8"/>
      <c r="F462" s="8"/>
      <c r="G462" s="8"/>
      <c r="H462" s="8"/>
      <c r="N462" s="9"/>
    </row>
    <row r="463">
      <c r="A463" s="6"/>
      <c r="C463" s="7"/>
      <c r="E463" s="8"/>
      <c r="F463" s="8"/>
      <c r="G463" s="8"/>
      <c r="H463" s="8"/>
      <c r="N463" s="9"/>
    </row>
    <row r="464">
      <c r="A464" s="6"/>
      <c r="C464" s="7"/>
      <c r="E464" s="8"/>
      <c r="F464" s="8"/>
      <c r="G464" s="8"/>
      <c r="H464" s="8"/>
      <c r="N464" s="9"/>
    </row>
    <row r="465">
      <c r="A465" s="6"/>
      <c r="C465" s="7"/>
      <c r="E465" s="8"/>
      <c r="F465" s="8"/>
      <c r="G465" s="8"/>
      <c r="H465" s="8"/>
      <c r="N465" s="9"/>
    </row>
    <row r="466">
      <c r="A466" s="6"/>
      <c r="C466" s="7"/>
      <c r="E466" s="8"/>
      <c r="F466" s="8"/>
      <c r="G466" s="8"/>
      <c r="H466" s="8"/>
      <c r="N466" s="9"/>
    </row>
    <row r="467">
      <c r="A467" s="6"/>
      <c r="C467" s="7"/>
      <c r="E467" s="8"/>
      <c r="F467" s="8"/>
      <c r="G467" s="8"/>
      <c r="H467" s="8"/>
      <c r="N467" s="9"/>
    </row>
    <row r="468">
      <c r="A468" s="6"/>
      <c r="C468" s="7"/>
      <c r="E468" s="8"/>
      <c r="F468" s="8"/>
      <c r="G468" s="8"/>
      <c r="H468" s="8"/>
      <c r="N468" s="9"/>
    </row>
    <row r="469">
      <c r="A469" s="6"/>
      <c r="C469" s="7"/>
      <c r="E469" s="8"/>
      <c r="F469" s="8"/>
      <c r="G469" s="8"/>
      <c r="H469" s="8"/>
      <c r="N469" s="9"/>
    </row>
    <row r="470">
      <c r="A470" s="6"/>
      <c r="C470" s="7"/>
      <c r="E470" s="8"/>
      <c r="F470" s="8"/>
      <c r="G470" s="8"/>
      <c r="H470" s="8"/>
      <c r="N470" s="9"/>
    </row>
    <row r="471">
      <c r="A471" s="6"/>
      <c r="C471" s="7"/>
      <c r="E471" s="8"/>
      <c r="F471" s="8"/>
      <c r="G471" s="8"/>
      <c r="H471" s="8"/>
      <c r="N471" s="9"/>
    </row>
    <row r="472">
      <c r="A472" s="6"/>
      <c r="C472" s="7"/>
      <c r="E472" s="8"/>
      <c r="F472" s="8"/>
      <c r="G472" s="8"/>
      <c r="H472" s="8"/>
      <c r="N472" s="9"/>
    </row>
    <row r="473">
      <c r="A473" s="6"/>
      <c r="C473" s="7"/>
      <c r="E473" s="8"/>
      <c r="F473" s="8"/>
      <c r="G473" s="8"/>
      <c r="H473" s="8"/>
      <c r="N473" s="9"/>
    </row>
    <row r="474">
      <c r="A474" s="6"/>
      <c r="C474" s="7"/>
      <c r="E474" s="8"/>
      <c r="F474" s="8"/>
      <c r="G474" s="8"/>
      <c r="H474" s="8"/>
      <c r="N474" s="9"/>
    </row>
    <row r="475">
      <c r="A475" s="6"/>
      <c r="C475" s="7"/>
      <c r="E475" s="8"/>
      <c r="F475" s="8"/>
      <c r="G475" s="8"/>
      <c r="H475" s="8"/>
      <c r="N475" s="9"/>
    </row>
    <row r="476">
      <c r="A476" s="6"/>
      <c r="C476" s="7"/>
      <c r="E476" s="8"/>
      <c r="F476" s="8"/>
      <c r="G476" s="8"/>
      <c r="H476" s="8"/>
      <c r="N476" s="9"/>
    </row>
    <row r="477">
      <c r="A477" s="6"/>
      <c r="C477" s="7"/>
      <c r="E477" s="8"/>
      <c r="F477" s="8"/>
      <c r="G477" s="8"/>
      <c r="H477" s="8"/>
      <c r="N477" s="9"/>
    </row>
    <row r="478">
      <c r="A478" s="6"/>
      <c r="C478" s="7"/>
      <c r="E478" s="8"/>
      <c r="F478" s="8"/>
      <c r="G478" s="8"/>
      <c r="H478" s="8"/>
      <c r="N478" s="9"/>
    </row>
    <row r="479">
      <c r="A479" s="6"/>
      <c r="C479" s="7"/>
      <c r="E479" s="8"/>
      <c r="F479" s="8"/>
      <c r="G479" s="8"/>
      <c r="H479" s="8"/>
      <c r="N479" s="9"/>
    </row>
    <row r="480">
      <c r="A480" s="6"/>
      <c r="C480" s="7"/>
      <c r="E480" s="8"/>
      <c r="F480" s="8"/>
      <c r="G480" s="8"/>
      <c r="H480" s="8"/>
      <c r="N480" s="9"/>
    </row>
    <row r="481">
      <c r="A481" s="6"/>
      <c r="C481" s="7"/>
      <c r="E481" s="8"/>
      <c r="F481" s="8"/>
      <c r="G481" s="8"/>
      <c r="H481" s="8"/>
      <c r="N481" s="9"/>
    </row>
    <row r="482">
      <c r="A482" s="6"/>
      <c r="C482" s="7"/>
      <c r="E482" s="8"/>
      <c r="F482" s="8"/>
      <c r="G482" s="8"/>
      <c r="H482" s="8"/>
      <c r="N482" s="9"/>
    </row>
    <row r="483">
      <c r="A483" s="6"/>
      <c r="C483" s="7"/>
      <c r="E483" s="8"/>
      <c r="F483" s="8"/>
      <c r="G483" s="8"/>
      <c r="H483" s="8"/>
      <c r="N483" s="9"/>
    </row>
    <row r="484">
      <c r="A484" s="6"/>
      <c r="C484" s="7"/>
      <c r="E484" s="8"/>
      <c r="F484" s="8"/>
      <c r="G484" s="8"/>
      <c r="H484" s="8"/>
      <c r="N484" s="9"/>
    </row>
    <row r="485">
      <c r="A485" s="6"/>
      <c r="C485" s="7"/>
      <c r="E485" s="8"/>
      <c r="F485" s="8"/>
      <c r="G485" s="8"/>
      <c r="H485" s="8"/>
      <c r="N485" s="9"/>
    </row>
    <row r="486">
      <c r="A486" s="6"/>
      <c r="C486" s="7"/>
      <c r="E486" s="8"/>
      <c r="F486" s="8"/>
      <c r="G486" s="8"/>
      <c r="H486" s="8"/>
      <c r="N486" s="9"/>
    </row>
    <row r="487">
      <c r="A487" s="6"/>
      <c r="C487" s="7"/>
      <c r="E487" s="8"/>
      <c r="F487" s="8"/>
      <c r="G487" s="8"/>
      <c r="H487" s="8"/>
      <c r="N487" s="9"/>
    </row>
    <row r="488">
      <c r="A488" s="6"/>
      <c r="C488" s="7"/>
      <c r="E488" s="8"/>
      <c r="F488" s="8"/>
      <c r="G488" s="8"/>
      <c r="H488" s="8"/>
      <c r="N488" s="9"/>
    </row>
    <row r="489">
      <c r="A489" s="6"/>
      <c r="C489" s="7"/>
      <c r="E489" s="8"/>
      <c r="F489" s="8"/>
      <c r="G489" s="8"/>
      <c r="H489" s="8"/>
      <c r="N489" s="9"/>
    </row>
    <row r="490">
      <c r="A490" s="6"/>
      <c r="C490" s="7"/>
      <c r="E490" s="8"/>
      <c r="F490" s="8"/>
      <c r="G490" s="8"/>
      <c r="H490" s="8"/>
      <c r="N490" s="9"/>
    </row>
    <row r="491">
      <c r="A491" s="6"/>
      <c r="C491" s="7"/>
      <c r="E491" s="8"/>
      <c r="F491" s="8"/>
      <c r="G491" s="8"/>
      <c r="H491" s="8"/>
      <c r="N491" s="9"/>
    </row>
    <row r="492">
      <c r="A492" s="6"/>
      <c r="C492" s="7"/>
      <c r="E492" s="8"/>
      <c r="F492" s="8"/>
      <c r="G492" s="8"/>
      <c r="H492" s="8"/>
      <c r="N492" s="9"/>
    </row>
    <row r="493">
      <c r="A493" s="6"/>
      <c r="C493" s="7"/>
      <c r="E493" s="8"/>
      <c r="F493" s="8"/>
      <c r="G493" s="8"/>
      <c r="H493" s="8"/>
      <c r="N493" s="9"/>
    </row>
    <row r="494">
      <c r="A494" s="6"/>
      <c r="C494" s="7"/>
      <c r="E494" s="8"/>
      <c r="F494" s="8"/>
      <c r="G494" s="8"/>
      <c r="H494" s="8"/>
      <c r="N494" s="9"/>
    </row>
    <row r="495">
      <c r="A495" s="6"/>
      <c r="C495" s="7"/>
      <c r="E495" s="8"/>
      <c r="F495" s="8"/>
      <c r="G495" s="8"/>
      <c r="H495" s="8"/>
      <c r="N495" s="9"/>
    </row>
    <row r="496">
      <c r="A496" s="6"/>
      <c r="C496" s="7"/>
      <c r="E496" s="8"/>
      <c r="F496" s="8"/>
      <c r="G496" s="8"/>
      <c r="H496" s="8"/>
      <c r="N496" s="9"/>
    </row>
    <row r="497">
      <c r="A497" s="6"/>
      <c r="C497" s="7"/>
      <c r="E497" s="8"/>
      <c r="F497" s="8"/>
      <c r="G497" s="8"/>
      <c r="H497" s="8"/>
      <c r="N497" s="9"/>
    </row>
    <row r="498">
      <c r="A498" s="6"/>
      <c r="C498" s="7"/>
      <c r="E498" s="8"/>
      <c r="F498" s="8"/>
      <c r="G498" s="8"/>
      <c r="H498" s="8"/>
      <c r="N498" s="9"/>
    </row>
    <row r="499">
      <c r="A499" s="6"/>
      <c r="C499" s="7"/>
      <c r="E499" s="8"/>
      <c r="F499" s="8"/>
      <c r="G499" s="8"/>
      <c r="H499" s="8"/>
      <c r="N499" s="9"/>
    </row>
    <row r="500">
      <c r="A500" s="6"/>
      <c r="C500" s="7"/>
      <c r="E500" s="8"/>
      <c r="F500" s="8"/>
      <c r="G500" s="8"/>
      <c r="H500" s="8"/>
      <c r="N500" s="9"/>
    </row>
    <row r="501">
      <c r="A501" s="6"/>
      <c r="C501" s="7"/>
      <c r="E501" s="8"/>
      <c r="F501" s="8"/>
      <c r="G501" s="8"/>
      <c r="H501" s="8"/>
      <c r="N501" s="9"/>
    </row>
    <row r="502">
      <c r="A502" s="6"/>
      <c r="C502" s="7"/>
      <c r="E502" s="8"/>
      <c r="F502" s="8"/>
      <c r="G502" s="8"/>
      <c r="H502" s="8"/>
      <c r="N502" s="9"/>
    </row>
    <row r="503">
      <c r="A503" s="6"/>
      <c r="C503" s="7"/>
      <c r="E503" s="8"/>
      <c r="F503" s="8"/>
      <c r="G503" s="8"/>
      <c r="H503" s="8"/>
      <c r="N503" s="9"/>
    </row>
    <row r="504">
      <c r="A504" s="6"/>
      <c r="C504" s="7"/>
      <c r="E504" s="8"/>
      <c r="F504" s="8"/>
      <c r="G504" s="8"/>
      <c r="H504" s="8"/>
      <c r="N504" s="9"/>
    </row>
    <row r="505">
      <c r="A505" s="6"/>
      <c r="C505" s="7"/>
      <c r="E505" s="8"/>
      <c r="F505" s="8"/>
      <c r="G505" s="8"/>
      <c r="H505" s="8"/>
      <c r="N505" s="9"/>
    </row>
    <row r="506">
      <c r="A506" s="6"/>
      <c r="C506" s="7"/>
      <c r="E506" s="8"/>
      <c r="F506" s="8"/>
      <c r="G506" s="8"/>
      <c r="H506" s="8"/>
      <c r="N506" s="9"/>
    </row>
    <row r="507">
      <c r="A507" s="6"/>
      <c r="C507" s="7"/>
      <c r="E507" s="8"/>
      <c r="F507" s="8"/>
      <c r="G507" s="8"/>
      <c r="H507" s="8"/>
      <c r="N507" s="9"/>
    </row>
    <row r="508">
      <c r="A508" s="6"/>
      <c r="C508" s="7"/>
      <c r="E508" s="8"/>
      <c r="F508" s="8"/>
      <c r="G508" s="8"/>
      <c r="H508" s="8"/>
      <c r="N508" s="9"/>
    </row>
    <row r="509">
      <c r="A509" s="6"/>
      <c r="C509" s="7"/>
      <c r="E509" s="8"/>
      <c r="F509" s="8"/>
      <c r="G509" s="8"/>
      <c r="H509" s="8"/>
      <c r="N509" s="9"/>
    </row>
    <row r="510">
      <c r="A510" s="6"/>
      <c r="C510" s="7"/>
      <c r="E510" s="8"/>
      <c r="F510" s="8"/>
      <c r="G510" s="8"/>
      <c r="H510" s="8"/>
      <c r="N510" s="9"/>
    </row>
    <row r="511">
      <c r="A511" s="6"/>
      <c r="C511" s="7"/>
      <c r="E511" s="8"/>
      <c r="F511" s="8"/>
      <c r="G511" s="8"/>
      <c r="H511" s="8"/>
      <c r="N511" s="9"/>
    </row>
    <row r="512">
      <c r="A512" s="6"/>
      <c r="C512" s="7"/>
      <c r="E512" s="8"/>
      <c r="F512" s="8"/>
      <c r="G512" s="8"/>
      <c r="H512" s="8"/>
      <c r="N512" s="9"/>
    </row>
    <row r="513">
      <c r="A513" s="6"/>
      <c r="C513" s="7"/>
      <c r="E513" s="8"/>
      <c r="F513" s="8"/>
      <c r="G513" s="8"/>
      <c r="H513" s="8"/>
      <c r="N513" s="9"/>
    </row>
    <row r="514">
      <c r="A514" s="6"/>
      <c r="C514" s="7"/>
      <c r="E514" s="8"/>
      <c r="F514" s="8"/>
      <c r="G514" s="8"/>
      <c r="H514" s="8"/>
      <c r="N514" s="9"/>
    </row>
    <row r="515">
      <c r="A515" s="6"/>
      <c r="C515" s="7"/>
      <c r="E515" s="8"/>
      <c r="F515" s="8"/>
      <c r="G515" s="8"/>
      <c r="H515" s="8"/>
      <c r="N515" s="9"/>
    </row>
    <row r="516">
      <c r="A516" s="6"/>
      <c r="C516" s="7"/>
      <c r="E516" s="8"/>
      <c r="F516" s="8"/>
      <c r="G516" s="8"/>
      <c r="H516" s="8"/>
      <c r="N516" s="9"/>
    </row>
    <row r="517">
      <c r="A517" s="6"/>
      <c r="C517" s="7"/>
      <c r="E517" s="8"/>
      <c r="F517" s="8"/>
      <c r="G517" s="8"/>
      <c r="H517" s="8"/>
      <c r="N517" s="9"/>
    </row>
    <row r="518">
      <c r="A518" s="6"/>
      <c r="C518" s="7"/>
      <c r="E518" s="8"/>
      <c r="F518" s="8"/>
      <c r="G518" s="8"/>
      <c r="H518" s="8"/>
      <c r="N518" s="9"/>
    </row>
    <row r="519">
      <c r="A519" s="6"/>
      <c r="C519" s="7"/>
      <c r="E519" s="8"/>
      <c r="F519" s="8"/>
      <c r="G519" s="8"/>
      <c r="H519" s="8"/>
      <c r="N519" s="9"/>
    </row>
    <row r="520">
      <c r="A520" s="6"/>
      <c r="C520" s="7"/>
      <c r="E520" s="8"/>
      <c r="F520" s="8"/>
      <c r="G520" s="8"/>
      <c r="H520" s="8"/>
      <c r="N520" s="9"/>
    </row>
    <row r="521">
      <c r="A521" s="6"/>
      <c r="C521" s="7"/>
      <c r="E521" s="8"/>
      <c r="F521" s="8"/>
      <c r="G521" s="8"/>
      <c r="H521" s="8"/>
      <c r="N521" s="9"/>
    </row>
    <row r="522">
      <c r="A522" s="6"/>
      <c r="C522" s="7"/>
      <c r="E522" s="8"/>
      <c r="F522" s="8"/>
      <c r="G522" s="8"/>
      <c r="H522" s="8"/>
      <c r="N522" s="9"/>
    </row>
    <row r="523">
      <c r="A523" s="6"/>
      <c r="C523" s="7"/>
      <c r="E523" s="8"/>
      <c r="F523" s="8"/>
      <c r="G523" s="8"/>
      <c r="H523" s="8"/>
      <c r="N523" s="9"/>
    </row>
    <row r="524">
      <c r="A524" s="6"/>
      <c r="C524" s="7"/>
      <c r="E524" s="8"/>
      <c r="F524" s="8"/>
      <c r="G524" s="8"/>
      <c r="H524" s="8"/>
      <c r="N524" s="9"/>
    </row>
    <row r="525">
      <c r="A525" s="6"/>
      <c r="C525" s="7"/>
      <c r="E525" s="8"/>
      <c r="F525" s="8"/>
      <c r="G525" s="8"/>
      <c r="H525" s="8"/>
      <c r="N525" s="9"/>
    </row>
    <row r="526">
      <c r="A526" s="6"/>
      <c r="C526" s="7"/>
      <c r="E526" s="8"/>
      <c r="F526" s="8"/>
      <c r="G526" s="8"/>
      <c r="H526" s="8"/>
      <c r="N526" s="9"/>
    </row>
    <row r="527">
      <c r="A527" s="6"/>
      <c r="C527" s="7"/>
      <c r="E527" s="8"/>
      <c r="F527" s="8"/>
      <c r="G527" s="8"/>
      <c r="H527" s="8"/>
      <c r="N527" s="9"/>
    </row>
    <row r="528">
      <c r="A528" s="6"/>
      <c r="C528" s="7"/>
      <c r="E528" s="8"/>
      <c r="F528" s="8"/>
      <c r="G528" s="8"/>
      <c r="H528" s="8"/>
      <c r="N528" s="9"/>
    </row>
    <row r="529">
      <c r="A529" s="6"/>
      <c r="C529" s="7"/>
      <c r="E529" s="8"/>
      <c r="F529" s="8"/>
      <c r="G529" s="8"/>
      <c r="H529" s="8"/>
      <c r="N529" s="9"/>
    </row>
    <row r="530">
      <c r="A530" s="6"/>
      <c r="C530" s="7"/>
      <c r="E530" s="8"/>
      <c r="F530" s="8"/>
      <c r="G530" s="8"/>
      <c r="H530" s="8"/>
      <c r="N530" s="9"/>
    </row>
    <row r="531">
      <c r="A531" s="6"/>
      <c r="C531" s="7"/>
      <c r="E531" s="8"/>
      <c r="F531" s="8"/>
      <c r="G531" s="8"/>
      <c r="H531" s="8"/>
      <c r="N531" s="9"/>
    </row>
    <row r="532">
      <c r="A532" s="6"/>
      <c r="C532" s="7"/>
      <c r="E532" s="8"/>
      <c r="F532" s="8"/>
      <c r="G532" s="8"/>
      <c r="H532" s="8"/>
      <c r="N532" s="9"/>
    </row>
    <row r="533">
      <c r="A533" s="6"/>
      <c r="C533" s="7"/>
      <c r="E533" s="8"/>
      <c r="F533" s="8"/>
      <c r="G533" s="8"/>
      <c r="H533" s="8"/>
      <c r="N533" s="9"/>
    </row>
    <row r="534">
      <c r="A534" s="6"/>
      <c r="C534" s="7"/>
      <c r="E534" s="8"/>
      <c r="F534" s="8"/>
      <c r="G534" s="8"/>
      <c r="H534" s="8"/>
      <c r="N534" s="9"/>
    </row>
    <row r="535">
      <c r="A535" s="6"/>
      <c r="C535" s="7"/>
      <c r="E535" s="8"/>
      <c r="F535" s="8"/>
      <c r="G535" s="8"/>
      <c r="H535" s="8"/>
      <c r="N535" s="9"/>
    </row>
    <row r="536">
      <c r="A536" s="6"/>
      <c r="C536" s="7"/>
      <c r="E536" s="8"/>
      <c r="F536" s="8"/>
      <c r="G536" s="8"/>
      <c r="H536" s="8"/>
      <c r="N536" s="9"/>
    </row>
    <row r="537">
      <c r="A537" s="6"/>
      <c r="C537" s="7"/>
      <c r="E537" s="8"/>
      <c r="F537" s="8"/>
      <c r="G537" s="8"/>
      <c r="H537" s="8"/>
      <c r="N537" s="9"/>
    </row>
    <row r="538">
      <c r="A538" s="6"/>
      <c r="C538" s="7"/>
      <c r="E538" s="8"/>
      <c r="F538" s="8"/>
      <c r="G538" s="8"/>
      <c r="H538" s="8"/>
      <c r="N538" s="9"/>
    </row>
    <row r="539">
      <c r="A539" s="6"/>
      <c r="C539" s="7"/>
      <c r="E539" s="8"/>
      <c r="F539" s="8"/>
      <c r="G539" s="8"/>
      <c r="H539" s="8"/>
      <c r="N539" s="9"/>
    </row>
    <row r="540">
      <c r="A540" s="6"/>
      <c r="C540" s="7"/>
      <c r="E540" s="8"/>
      <c r="F540" s="8"/>
      <c r="G540" s="8"/>
      <c r="H540" s="8"/>
      <c r="N540" s="9"/>
    </row>
    <row r="541">
      <c r="A541" s="6"/>
      <c r="C541" s="7"/>
      <c r="E541" s="8"/>
      <c r="F541" s="8"/>
      <c r="G541" s="8"/>
      <c r="H541" s="8"/>
      <c r="N541" s="9"/>
    </row>
    <row r="542">
      <c r="A542" s="6"/>
      <c r="C542" s="7"/>
      <c r="E542" s="8"/>
      <c r="F542" s="8"/>
      <c r="G542" s="8"/>
      <c r="H542" s="8"/>
      <c r="N542" s="9"/>
    </row>
    <row r="543">
      <c r="A543" s="6"/>
      <c r="C543" s="7"/>
      <c r="E543" s="8"/>
      <c r="F543" s="8"/>
      <c r="G543" s="8"/>
      <c r="H543" s="8"/>
      <c r="N543" s="9"/>
    </row>
    <row r="544">
      <c r="A544" s="6"/>
      <c r="C544" s="7"/>
      <c r="E544" s="8"/>
      <c r="F544" s="8"/>
      <c r="G544" s="8"/>
      <c r="H544" s="8"/>
      <c r="N544" s="9"/>
    </row>
    <row r="545">
      <c r="A545" s="6"/>
      <c r="C545" s="7"/>
      <c r="E545" s="8"/>
      <c r="F545" s="8"/>
      <c r="G545" s="8"/>
      <c r="H545" s="8"/>
      <c r="N545" s="9"/>
    </row>
    <row r="546">
      <c r="A546" s="6"/>
      <c r="C546" s="7"/>
      <c r="E546" s="8"/>
      <c r="F546" s="8"/>
      <c r="G546" s="8"/>
      <c r="H546" s="8"/>
      <c r="N546" s="9"/>
    </row>
    <row r="547">
      <c r="A547" s="6"/>
      <c r="C547" s="7"/>
      <c r="E547" s="8"/>
      <c r="F547" s="8"/>
      <c r="G547" s="8"/>
      <c r="H547" s="8"/>
      <c r="N547" s="9"/>
    </row>
    <row r="548">
      <c r="A548" s="6"/>
      <c r="C548" s="7"/>
      <c r="E548" s="8"/>
      <c r="F548" s="8"/>
      <c r="G548" s="8"/>
      <c r="H548" s="8"/>
      <c r="N548" s="9"/>
    </row>
    <row r="549">
      <c r="A549" s="6"/>
      <c r="C549" s="7"/>
      <c r="E549" s="8"/>
      <c r="F549" s="8"/>
      <c r="G549" s="8"/>
      <c r="H549" s="8"/>
      <c r="N549" s="9"/>
    </row>
    <row r="550">
      <c r="A550" s="6"/>
      <c r="C550" s="7"/>
      <c r="E550" s="8"/>
      <c r="F550" s="8"/>
      <c r="G550" s="8"/>
      <c r="H550" s="8"/>
      <c r="N550" s="9"/>
    </row>
    <row r="551">
      <c r="A551" s="6"/>
      <c r="C551" s="7"/>
      <c r="E551" s="8"/>
      <c r="F551" s="8"/>
      <c r="G551" s="8"/>
      <c r="H551" s="8"/>
      <c r="N551" s="9"/>
    </row>
    <row r="552">
      <c r="A552" s="6"/>
      <c r="C552" s="7"/>
      <c r="E552" s="8"/>
      <c r="F552" s="8"/>
      <c r="G552" s="8"/>
      <c r="H552" s="8"/>
      <c r="N552" s="9"/>
    </row>
    <row r="553">
      <c r="A553" s="6"/>
      <c r="C553" s="7"/>
      <c r="E553" s="8"/>
      <c r="F553" s="8"/>
      <c r="G553" s="8"/>
      <c r="H553" s="8"/>
      <c r="N553" s="9"/>
    </row>
    <row r="554">
      <c r="A554" s="6"/>
      <c r="C554" s="7"/>
      <c r="E554" s="8"/>
      <c r="F554" s="8"/>
      <c r="G554" s="8"/>
      <c r="H554" s="8"/>
      <c r="N554" s="9"/>
    </row>
    <row r="555">
      <c r="A555" s="6"/>
      <c r="C555" s="7"/>
      <c r="E555" s="8"/>
      <c r="F555" s="8"/>
      <c r="G555" s="8"/>
      <c r="H555" s="8"/>
      <c r="N555" s="9"/>
    </row>
    <row r="556">
      <c r="A556" s="6"/>
      <c r="C556" s="7"/>
      <c r="E556" s="8"/>
      <c r="F556" s="8"/>
      <c r="G556" s="8"/>
      <c r="H556" s="8"/>
      <c r="N556" s="9"/>
    </row>
    <row r="557">
      <c r="A557" s="6"/>
      <c r="C557" s="7"/>
      <c r="E557" s="8"/>
      <c r="F557" s="8"/>
      <c r="G557" s="8"/>
      <c r="H557" s="8"/>
      <c r="N557" s="9"/>
    </row>
    <row r="558">
      <c r="A558" s="6"/>
      <c r="C558" s="7"/>
      <c r="E558" s="8"/>
      <c r="F558" s="8"/>
      <c r="G558" s="8"/>
      <c r="H558" s="8"/>
      <c r="N558" s="9"/>
    </row>
    <row r="559">
      <c r="A559" s="6"/>
      <c r="C559" s="7"/>
      <c r="E559" s="8"/>
      <c r="F559" s="8"/>
      <c r="G559" s="8"/>
      <c r="H559" s="8"/>
      <c r="N559" s="9"/>
    </row>
    <row r="560">
      <c r="A560" s="6"/>
      <c r="C560" s="7"/>
      <c r="E560" s="8"/>
      <c r="F560" s="8"/>
      <c r="G560" s="8"/>
      <c r="H560" s="8"/>
      <c r="N560" s="9"/>
    </row>
    <row r="561">
      <c r="A561" s="6"/>
      <c r="C561" s="7"/>
      <c r="E561" s="8"/>
      <c r="F561" s="8"/>
      <c r="G561" s="8"/>
      <c r="H561" s="8"/>
      <c r="N561" s="9"/>
    </row>
    <row r="562">
      <c r="A562" s="6"/>
      <c r="C562" s="7"/>
      <c r="E562" s="8"/>
      <c r="F562" s="8"/>
      <c r="G562" s="8"/>
      <c r="H562" s="8"/>
      <c r="N562" s="9"/>
    </row>
    <row r="563">
      <c r="A563" s="6"/>
      <c r="C563" s="7"/>
      <c r="E563" s="8"/>
      <c r="F563" s="8"/>
      <c r="G563" s="8"/>
      <c r="H563" s="8"/>
      <c r="N563" s="9"/>
    </row>
    <row r="564">
      <c r="A564" s="6"/>
      <c r="C564" s="7"/>
      <c r="E564" s="8"/>
      <c r="F564" s="8"/>
      <c r="G564" s="8"/>
      <c r="H564" s="8"/>
      <c r="N564" s="9"/>
    </row>
    <row r="565">
      <c r="A565" s="6"/>
      <c r="C565" s="7"/>
      <c r="E565" s="8"/>
      <c r="F565" s="8"/>
      <c r="G565" s="8"/>
      <c r="H565" s="8"/>
      <c r="N565" s="9"/>
    </row>
    <row r="566">
      <c r="A566" s="6"/>
      <c r="C566" s="7"/>
      <c r="E566" s="8"/>
      <c r="F566" s="8"/>
      <c r="G566" s="8"/>
      <c r="H566" s="8"/>
      <c r="N566" s="9"/>
    </row>
    <row r="567">
      <c r="A567" s="6"/>
      <c r="C567" s="7"/>
      <c r="E567" s="8"/>
      <c r="F567" s="8"/>
      <c r="G567" s="8"/>
      <c r="H567" s="8"/>
      <c r="N567" s="9"/>
    </row>
    <row r="568">
      <c r="A568" s="6"/>
      <c r="C568" s="7"/>
      <c r="E568" s="8"/>
      <c r="F568" s="8"/>
      <c r="G568" s="8"/>
      <c r="H568" s="8"/>
      <c r="N568" s="9"/>
    </row>
    <row r="569">
      <c r="A569" s="6"/>
      <c r="C569" s="7"/>
      <c r="E569" s="8"/>
      <c r="F569" s="8"/>
      <c r="G569" s="8"/>
      <c r="H569" s="8"/>
      <c r="N569" s="9"/>
    </row>
    <row r="570">
      <c r="A570" s="6"/>
      <c r="C570" s="7"/>
      <c r="E570" s="8"/>
      <c r="F570" s="8"/>
      <c r="G570" s="8"/>
      <c r="H570" s="8"/>
      <c r="N570" s="9"/>
    </row>
    <row r="571">
      <c r="A571" s="6"/>
      <c r="C571" s="7"/>
      <c r="E571" s="8"/>
      <c r="F571" s="8"/>
      <c r="G571" s="8"/>
      <c r="H571" s="8"/>
      <c r="N571" s="9"/>
    </row>
    <row r="572">
      <c r="A572" s="6"/>
      <c r="C572" s="7"/>
      <c r="E572" s="8"/>
      <c r="F572" s="8"/>
      <c r="G572" s="8"/>
      <c r="H572" s="8"/>
      <c r="N572" s="9"/>
    </row>
    <row r="573">
      <c r="A573" s="6"/>
      <c r="C573" s="7"/>
      <c r="E573" s="8"/>
      <c r="F573" s="8"/>
      <c r="G573" s="8"/>
      <c r="H573" s="8"/>
      <c r="N573" s="9"/>
    </row>
    <row r="574">
      <c r="A574" s="6"/>
      <c r="C574" s="7"/>
      <c r="E574" s="8"/>
      <c r="F574" s="8"/>
      <c r="G574" s="8"/>
      <c r="H574" s="8"/>
      <c r="N574" s="9"/>
    </row>
    <row r="575">
      <c r="A575" s="6"/>
      <c r="C575" s="7"/>
      <c r="E575" s="8"/>
      <c r="F575" s="8"/>
      <c r="G575" s="8"/>
      <c r="H575" s="8"/>
      <c r="N575" s="9"/>
    </row>
    <row r="576">
      <c r="A576" s="6"/>
      <c r="C576" s="7"/>
      <c r="E576" s="8"/>
      <c r="F576" s="8"/>
      <c r="G576" s="8"/>
      <c r="H576" s="8"/>
      <c r="N576" s="9"/>
    </row>
    <row r="577">
      <c r="A577" s="6"/>
      <c r="C577" s="7"/>
      <c r="E577" s="8"/>
      <c r="F577" s="8"/>
      <c r="G577" s="8"/>
      <c r="H577" s="8"/>
      <c r="N577" s="9"/>
    </row>
    <row r="578">
      <c r="A578" s="6"/>
      <c r="C578" s="7"/>
      <c r="E578" s="8"/>
      <c r="F578" s="8"/>
      <c r="G578" s="8"/>
      <c r="H578" s="8"/>
      <c r="N578" s="9"/>
    </row>
    <row r="579">
      <c r="A579" s="6"/>
      <c r="C579" s="7"/>
      <c r="E579" s="8"/>
      <c r="F579" s="8"/>
      <c r="G579" s="8"/>
      <c r="H579" s="8"/>
      <c r="N579" s="9"/>
    </row>
    <row r="580">
      <c r="A580" s="6"/>
      <c r="C580" s="7"/>
      <c r="E580" s="8"/>
      <c r="F580" s="8"/>
      <c r="G580" s="8"/>
      <c r="H580" s="8"/>
      <c r="N580" s="9"/>
    </row>
    <row r="581">
      <c r="A581" s="6"/>
      <c r="C581" s="7"/>
      <c r="E581" s="8"/>
      <c r="F581" s="8"/>
      <c r="G581" s="8"/>
      <c r="H581" s="8"/>
      <c r="N581" s="9"/>
    </row>
    <row r="582">
      <c r="A582" s="6"/>
      <c r="C582" s="7"/>
      <c r="E582" s="8"/>
      <c r="F582" s="8"/>
      <c r="G582" s="8"/>
      <c r="H582" s="8"/>
      <c r="N582" s="9"/>
    </row>
    <row r="583">
      <c r="A583" s="6"/>
      <c r="C583" s="7"/>
      <c r="E583" s="8"/>
      <c r="F583" s="8"/>
      <c r="G583" s="8"/>
      <c r="H583" s="8"/>
      <c r="N583" s="9"/>
    </row>
    <row r="584">
      <c r="A584" s="6"/>
      <c r="C584" s="7"/>
      <c r="E584" s="8"/>
      <c r="F584" s="8"/>
      <c r="G584" s="8"/>
      <c r="H584" s="8"/>
      <c r="N584" s="9"/>
    </row>
    <row r="585">
      <c r="A585" s="6"/>
      <c r="C585" s="7"/>
      <c r="E585" s="8"/>
      <c r="F585" s="8"/>
      <c r="G585" s="8"/>
      <c r="H585" s="8"/>
      <c r="N585" s="9"/>
    </row>
    <row r="586">
      <c r="A586" s="6"/>
      <c r="C586" s="7"/>
      <c r="E586" s="8"/>
      <c r="F586" s="8"/>
      <c r="G586" s="8"/>
      <c r="H586" s="8"/>
      <c r="N586" s="9"/>
    </row>
    <row r="587">
      <c r="A587" s="6"/>
      <c r="C587" s="7"/>
      <c r="E587" s="8"/>
      <c r="F587" s="8"/>
      <c r="G587" s="8"/>
      <c r="H587" s="8"/>
      <c r="N587" s="9"/>
    </row>
    <row r="588">
      <c r="A588" s="6"/>
      <c r="C588" s="7"/>
      <c r="E588" s="8"/>
      <c r="F588" s="8"/>
      <c r="G588" s="8"/>
      <c r="H588" s="8"/>
      <c r="N588" s="9"/>
    </row>
    <row r="589">
      <c r="A589" s="6"/>
      <c r="C589" s="7"/>
      <c r="E589" s="8"/>
      <c r="F589" s="8"/>
      <c r="G589" s="8"/>
      <c r="H589" s="8"/>
      <c r="N589" s="9"/>
    </row>
    <row r="590">
      <c r="A590" s="6"/>
      <c r="C590" s="7"/>
      <c r="E590" s="8"/>
      <c r="F590" s="8"/>
      <c r="G590" s="8"/>
      <c r="H590" s="8"/>
      <c r="N590" s="9"/>
    </row>
    <row r="591">
      <c r="A591" s="6"/>
      <c r="C591" s="7"/>
      <c r="E591" s="8"/>
      <c r="F591" s="8"/>
      <c r="G591" s="8"/>
      <c r="H591" s="8"/>
      <c r="N591" s="9"/>
    </row>
    <row r="592">
      <c r="A592" s="6"/>
      <c r="C592" s="7"/>
      <c r="E592" s="8"/>
      <c r="F592" s="8"/>
      <c r="G592" s="8"/>
      <c r="H592" s="8"/>
      <c r="N592" s="9"/>
    </row>
    <row r="593">
      <c r="A593" s="6"/>
      <c r="C593" s="7"/>
      <c r="E593" s="8"/>
      <c r="F593" s="8"/>
      <c r="G593" s="8"/>
      <c r="H593" s="8"/>
      <c r="N593" s="9"/>
    </row>
    <row r="594">
      <c r="A594" s="6"/>
      <c r="C594" s="7"/>
      <c r="E594" s="8"/>
      <c r="F594" s="8"/>
      <c r="G594" s="8"/>
      <c r="H594" s="8"/>
      <c r="N594" s="9"/>
    </row>
    <row r="595">
      <c r="A595" s="6"/>
      <c r="C595" s="7"/>
      <c r="E595" s="8"/>
      <c r="F595" s="8"/>
      <c r="G595" s="8"/>
      <c r="H595" s="8"/>
      <c r="N595" s="9"/>
    </row>
    <row r="596">
      <c r="A596" s="6"/>
      <c r="C596" s="7"/>
      <c r="E596" s="8"/>
      <c r="F596" s="8"/>
      <c r="G596" s="8"/>
      <c r="H596" s="8"/>
      <c r="N596" s="9"/>
    </row>
    <row r="597">
      <c r="A597" s="6"/>
      <c r="C597" s="7"/>
      <c r="E597" s="8"/>
      <c r="F597" s="8"/>
      <c r="G597" s="8"/>
      <c r="H597" s="8"/>
      <c r="N597" s="9"/>
    </row>
    <row r="598">
      <c r="A598" s="6"/>
      <c r="C598" s="7"/>
      <c r="E598" s="8"/>
      <c r="F598" s="8"/>
      <c r="G598" s="8"/>
      <c r="H598" s="8"/>
      <c r="N598" s="9"/>
    </row>
    <row r="599">
      <c r="A599" s="6"/>
      <c r="C599" s="7"/>
      <c r="E599" s="8"/>
      <c r="F599" s="8"/>
      <c r="G599" s="8"/>
      <c r="H599" s="8"/>
      <c r="N599" s="9"/>
    </row>
    <row r="600">
      <c r="A600" s="6"/>
      <c r="C600" s="7"/>
      <c r="E600" s="8"/>
      <c r="F600" s="8"/>
      <c r="G600" s="8"/>
      <c r="H600" s="8"/>
      <c r="N600" s="9"/>
    </row>
    <row r="601">
      <c r="A601" s="6"/>
      <c r="C601" s="7"/>
      <c r="E601" s="8"/>
      <c r="F601" s="8"/>
      <c r="G601" s="8"/>
      <c r="H601" s="8"/>
      <c r="N601" s="9"/>
    </row>
    <row r="602">
      <c r="A602" s="6"/>
      <c r="C602" s="7"/>
      <c r="E602" s="8"/>
      <c r="F602" s="8"/>
      <c r="G602" s="8"/>
      <c r="H602" s="8"/>
      <c r="N602" s="9"/>
    </row>
    <row r="603">
      <c r="A603" s="6"/>
      <c r="C603" s="7"/>
      <c r="E603" s="8"/>
      <c r="F603" s="8"/>
      <c r="G603" s="8"/>
      <c r="H603" s="8"/>
      <c r="N603" s="9"/>
    </row>
    <row r="604">
      <c r="A604" s="6"/>
      <c r="C604" s="7"/>
      <c r="E604" s="8"/>
      <c r="F604" s="8"/>
      <c r="G604" s="8"/>
      <c r="H604" s="8"/>
      <c r="N604" s="9"/>
    </row>
    <row r="605">
      <c r="A605" s="6"/>
      <c r="C605" s="7"/>
      <c r="E605" s="8"/>
      <c r="F605" s="8"/>
      <c r="G605" s="8"/>
      <c r="H605" s="8"/>
      <c r="N605" s="9"/>
    </row>
    <row r="606">
      <c r="A606" s="6"/>
      <c r="C606" s="7"/>
      <c r="E606" s="8"/>
      <c r="F606" s="8"/>
      <c r="G606" s="8"/>
      <c r="H606" s="8"/>
      <c r="N606" s="9"/>
    </row>
    <row r="607">
      <c r="A607" s="6"/>
      <c r="C607" s="7"/>
      <c r="E607" s="8"/>
      <c r="F607" s="8"/>
      <c r="G607" s="8"/>
      <c r="H607" s="8"/>
      <c r="N607" s="9"/>
    </row>
    <row r="608">
      <c r="A608" s="6"/>
      <c r="C608" s="7"/>
      <c r="E608" s="8"/>
      <c r="F608" s="8"/>
      <c r="G608" s="8"/>
      <c r="H608" s="8"/>
      <c r="N608" s="9"/>
    </row>
    <row r="609">
      <c r="A609" s="6"/>
      <c r="C609" s="7"/>
      <c r="E609" s="8"/>
      <c r="F609" s="8"/>
      <c r="G609" s="8"/>
      <c r="H609" s="8"/>
      <c r="N609" s="9"/>
    </row>
    <row r="610">
      <c r="A610" s="6"/>
      <c r="C610" s="7"/>
      <c r="E610" s="8"/>
      <c r="F610" s="8"/>
      <c r="G610" s="8"/>
      <c r="H610" s="8"/>
      <c r="N610" s="9"/>
    </row>
    <row r="611">
      <c r="A611" s="6"/>
      <c r="C611" s="7"/>
      <c r="E611" s="8"/>
      <c r="F611" s="8"/>
      <c r="G611" s="8"/>
      <c r="H611" s="8"/>
      <c r="N611" s="9"/>
    </row>
    <row r="612">
      <c r="A612" s="6"/>
      <c r="C612" s="7"/>
      <c r="E612" s="8"/>
      <c r="F612" s="8"/>
      <c r="G612" s="8"/>
      <c r="H612" s="8"/>
      <c r="N612" s="9"/>
    </row>
    <row r="613">
      <c r="A613" s="6"/>
      <c r="C613" s="7"/>
      <c r="E613" s="8"/>
      <c r="F613" s="8"/>
      <c r="G613" s="8"/>
      <c r="H613" s="8"/>
      <c r="N613" s="9"/>
    </row>
    <row r="614">
      <c r="A614" s="6"/>
      <c r="C614" s="7"/>
      <c r="E614" s="8"/>
      <c r="F614" s="8"/>
      <c r="G614" s="8"/>
      <c r="H614" s="8"/>
      <c r="N614" s="9"/>
    </row>
    <row r="615">
      <c r="A615" s="6"/>
      <c r="C615" s="7"/>
      <c r="E615" s="8"/>
      <c r="F615" s="8"/>
      <c r="G615" s="8"/>
      <c r="H615" s="8"/>
      <c r="N615" s="9"/>
    </row>
    <row r="616">
      <c r="A616" s="6"/>
      <c r="C616" s="7"/>
      <c r="E616" s="8"/>
      <c r="F616" s="8"/>
      <c r="G616" s="8"/>
      <c r="H616" s="8"/>
      <c r="N616" s="9"/>
    </row>
    <row r="617">
      <c r="A617" s="6"/>
      <c r="C617" s="7"/>
      <c r="E617" s="8"/>
      <c r="F617" s="8"/>
      <c r="G617" s="8"/>
      <c r="H617" s="8"/>
      <c r="N617" s="9"/>
    </row>
    <row r="618">
      <c r="A618" s="6"/>
      <c r="C618" s="7"/>
      <c r="E618" s="8"/>
      <c r="F618" s="8"/>
      <c r="G618" s="8"/>
      <c r="H618" s="8"/>
      <c r="N618" s="9"/>
    </row>
    <row r="619">
      <c r="A619" s="6"/>
      <c r="C619" s="7"/>
      <c r="E619" s="8"/>
      <c r="F619" s="8"/>
      <c r="G619" s="8"/>
      <c r="H619" s="8"/>
      <c r="N619" s="9"/>
    </row>
    <row r="620">
      <c r="A620" s="6"/>
      <c r="C620" s="7"/>
      <c r="E620" s="8"/>
      <c r="F620" s="8"/>
      <c r="G620" s="8"/>
      <c r="H620" s="8"/>
      <c r="N620" s="9"/>
    </row>
    <row r="621">
      <c r="A621" s="6"/>
      <c r="C621" s="7"/>
      <c r="E621" s="8"/>
      <c r="F621" s="8"/>
      <c r="G621" s="8"/>
      <c r="H621" s="8"/>
      <c r="N621" s="9"/>
    </row>
    <row r="622">
      <c r="A622" s="6"/>
      <c r="C622" s="7"/>
      <c r="E622" s="8"/>
      <c r="F622" s="8"/>
      <c r="G622" s="8"/>
      <c r="H622" s="8"/>
      <c r="N622" s="9"/>
    </row>
    <row r="623">
      <c r="A623" s="6"/>
      <c r="C623" s="7"/>
      <c r="E623" s="8"/>
      <c r="F623" s="8"/>
      <c r="G623" s="8"/>
      <c r="H623" s="8"/>
      <c r="N623" s="9"/>
    </row>
    <row r="624">
      <c r="A624" s="6"/>
      <c r="C624" s="7"/>
      <c r="E624" s="8"/>
      <c r="F624" s="8"/>
      <c r="G624" s="8"/>
      <c r="H624" s="8"/>
      <c r="N624" s="9"/>
    </row>
    <row r="625">
      <c r="A625" s="6"/>
      <c r="C625" s="7"/>
      <c r="E625" s="8"/>
      <c r="F625" s="8"/>
      <c r="G625" s="8"/>
      <c r="H625" s="8"/>
      <c r="N625" s="9"/>
    </row>
    <row r="626">
      <c r="A626" s="6"/>
      <c r="C626" s="7"/>
      <c r="E626" s="8"/>
      <c r="F626" s="8"/>
      <c r="G626" s="8"/>
      <c r="H626" s="8"/>
      <c r="N626" s="9"/>
    </row>
    <row r="627">
      <c r="A627" s="6"/>
      <c r="C627" s="7"/>
      <c r="E627" s="8"/>
      <c r="F627" s="8"/>
      <c r="G627" s="8"/>
      <c r="H627" s="8"/>
      <c r="N627" s="9"/>
    </row>
    <row r="628">
      <c r="A628" s="6"/>
      <c r="C628" s="7"/>
      <c r="E628" s="8"/>
      <c r="F628" s="8"/>
      <c r="G628" s="8"/>
      <c r="H628" s="8"/>
      <c r="N628" s="9"/>
    </row>
    <row r="629">
      <c r="A629" s="6"/>
      <c r="C629" s="7"/>
      <c r="E629" s="8"/>
      <c r="F629" s="8"/>
      <c r="G629" s="8"/>
      <c r="H629" s="8"/>
      <c r="N629" s="9"/>
    </row>
    <row r="630">
      <c r="A630" s="6"/>
      <c r="C630" s="7"/>
      <c r="E630" s="8"/>
      <c r="F630" s="8"/>
      <c r="G630" s="8"/>
      <c r="H630" s="8"/>
      <c r="N630" s="9"/>
    </row>
    <row r="631">
      <c r="A631" s="6"/>
      <c r="C631" s="7"/>
      <c r="E631" s="8"/>
      <c r="F631" s="8"/>
      <c r="G631" s="8"/>
      <c r="H631" s="8"/>
      <c r="N631" s="9"/>
    </row>
    <row r="632">
      <c r="A632" s="6"/>
      <c r="C632" s="7"/>
      <c r="E632" s="8"/>
      <c r="F632" s="8"/>
      <c r="G632" s="8"/>
      <c r="H632" s="8"/>
      <c r="N632" s="9"/>
    </row>
    <row r="633">
      <c r="A633" s="6"/>
      <c r="C633" s="7"/>
      <c r="E633" s="8"/>
      <c r="F633" s="8"/>
      <c r="G633" s="8"/>
      <c r="H633" s="8"/>
      <c r="N633" s="9"/>
    </row>
    <row r="634">
      <c r="A634" s="6"/>
      <c r="C634" s="7"/>
      <c r="E634" s="8"/>
      <c r="F634" s="8"/>
      <c r="G634" s="8"/>
      <c r="H634" s="8"/>
      <c r="N634" s="9"/>
    </row>
    <row r="635">
      <c r="A635" s="6"/>
      <c r="C635" s="7"/>
      <c r="E635" s="8"/>
      <c r="F635" s="8"/>
      <c r="G635" s="8"/>
      <c r="H635" s="8"/>
      <c r="N635" s="9"/>
    </row>
    <row r="636">
      <c r="A636" s="6"/>
      <c r="C636" s="7"/>
      <c r="E636" s="8"/>
      <c r="F636" s="8"/>
      <c r="G636" s="8"/>
      <c r="H636" s="8"/>
      <c r="N636" s="9"/>
    </row>
    <row r="637">
      <c r="A637" s="6"/>
      <c r="C637" s="7"/>
      <c r="E637" s="8"/>
      <c r="F637" s="8"/>
      <c r="G637" s="8"/>
      <c r="H637" s="8"/>
      <c r="N637" s="9"/>
    </row>
    <row r="638">
      <c r="A638" s="6"/>
      <c r="C638" s="7"/>
      <c r="E638" s="8"/>
      <c r="F638" s="8"/>
      <c r="G638" s="8"/>
      <c r="H638" s="8"/>
      <c r="N638" s="9"/>
    </row>
    <row r="639">
      <c r="A639" s="6"/>
      <c r="C639" s="7"/>
      <c r="E639" s="8"/>
      <c r="F639" s="8"/>
      <c r="G639" s="8"/>
      <c r="H639" s="8"/>
      <c r="N639" s="9"/>
    </row>
    <row r="640">
      <c r="A640" s="6"/>
      <c r="C640" s="7"/>
      <c r="E640" s="8"/>
      <c r="F640" s="8"/>
      <c r="G640" s="8"/>
      <c r="H640" s="8"/>
      <c r="N640" s="9"/>
    </row>
    <row r="641">
      <c r="A641" s="6"/>
      <c r="C641" s="7"/>
      <c r="E641" s="8"/>
      <c r="F641" s="8"/>
      <c r="G641" s="8"/>
      <c r="H641" s="8"/>
      <c r="N641" s="9"/>
    </row>
    <row r="642">
      <c r="A642" s="6"/>
      <c r="C642" s="7"/>
      <c r="E642" s="8"/>
      <c r="F642" s="8"/>
      <c r="G642" s="8"/>
      <c r="H642" s="8"/>
      <c r="N642" s="9"/>
    </row>
    <row r="643">
      <c r="A643" s="6"/>
      <c r="C643" s="7"/>
      <c r="E643" s="8"/>
      <c r="F643" s="8"/>
      <c r="G643" s="8"/>
      <c r="H643" s="8"/>
      <c r="N643" s="9"/>
    </row>
    <row r="644">
      <c r="A644" s="6"/>
      <c r="C644" s="7"/>
      <c r="E644" s="8"/>
      <c r="F644" s="8"/>
      <c r="G644" s="8"/>
      <c r="H644" s="8"/>
      <c r="N644" s="9"/>
    </row>
    <row r="645">
      <c r="A645" s="6"/>
      <c r="C645" s="7"/>
      <c r="E645" s="8"/>
      <c r="F645" s="8"/>
      <c r="G645" s="8"/>
      <c r="H645" s="8"/>
      <c r="N645" s="9"/>
    </row>
    <row r="646">
      <c r="A646" s="6"/>
      <c r="C646" s="7"/>
      <c r="E646" s="8"/>
      <c r="F646" s="8"/>
      <c r="G646" s="8"/>
      <c r="H646" s="8"/>
      <c r="N646" s="9"/>
    </row>
    <row r="647">
      <c r="A647" s="6"/>
      <c r="C647" s="7"/>
      <c r="E647" s="8"/>
      <c r="F647" s="8"/>
      <c r="G647" s="8"/>
      <c r="H647" s="8"/>
      <c r="N647" s="9"/>
    </row>
    <row r="648">
      <c r="A648" s="6"/>
      <c r="C648" s="7"/>
      <c r="E648" s="8"/>
      <c r="F648" s="8"/>
      <c r="G648" s="8"/>
      <c r="H648" s="8"/>
      <c r="N648" s="9"/>
    </row>
    <row r="649">
      <c r="A649" s="6"/>
      <c r="C649" s="7"/>
      <c r="E649" s="8"/>
      <c r="F649" s="8"/>
      <c r="G649" s="8"/>
      <c r="H649" s="8"/>
      <c r="N649" s="9"/>
    </row>
    <row r="650">
      <c r="A650" s="6"/>
      <c r="C650" s="7"/>
      <c r="E650" s="8"/>
      <c r="F650" s="8"/>
      <c r="G650" s="8"/>
      <c r="H650" s="8"/>
      <c r="N650" s="9"/>
    </row>
    <row r="651">
      <c r="A651" s="6"/>
      <c r="C651" s="7"/>
      <c r="E651" s="8"/>
      <c r="F651" s="8"/>
      <c r="G651" s="8"/>
      <c r="H651" s="8"/>
      <c r="N651" s="9"/>
    </row>
    <row r="652">
      <c r="A652" s="6"/>
      <c r="C652" s="7"/>
      <c r="E652" s="8"/>
      <c r="F652" s="8"/>
      <c r="G652" s="8"/>
      <c r="H652" s="8"/>
      <c r="N652" s="9"/>
    </row>
    <row r="653">
      <c r="A653" s="6"/>
      <c r="C653" s="7"/>
      <c r="E653" s="8"/>
      <c r="F653" s="8"/>
      <c r="G653" s="8"/>
      <c r="H653" s="8"/>
      <c r="N653" s="9"/>
    </row>
    <row r="654">
      <c r="A654" s="6"/>
      <c r="C654" s="7"/>
      <c r="E654" s="8"/>
      <c r="F654" s="8"/>
      <c r="G654" s="8"/>
      <c r="H654" s="8"/>
      <c r="N654" s="9"/>
    </row>
    <row r="655">
      <c r="A655" s="6"/>
      <c r="C655" s="7"/>
      <c r="E655" s="8"/>
      <c r="F655" s="8"/>
      <c r="G655" s="8"/>
      <c r="H655" s="8"/>
      <c r="N655" s="9"/>
    </row>
    <row r="656">
      <c r="A656" s="6"/>
      <c r="C656" s="7"/>
      <c r="E656" s="8"/>
      <c r="F656" s="8"/>
      <c r="G656" s="8"/>
      <c r="H656" s="8"/>
      <c r="N656" s="9"/>
    </row>
    <row r="657">
      <c r="A657" s="6"/>
      <c r="C657" s="7"/>
      <c r="E657" s="8"/>
      <c r="F657" s="8"/>
      <c r="G657" s="8"/>
      <c r="H657" s="8"/>
      <c r="N657" s="9"/>
    </row>
    <row r="658">
      <c r="A658" s="6"/>
      <c r="C658" s="7"/>
      <c r="E658" s="8"/>
      <c r="F658" s="8"/>
      <c r="G658" s="8"/>
      <c r="H658" s="8"/>
      <c r="N658" s="9"/>
    </row>
    <row r="659">
      <c r="A659" s="6"/>
      <c r="C659" s="7"/>
      <c r="E659" s="8"/>
      <c r="F659" s="8"/>
      <c r="G659" s="8"/>
      <c r="H659" s="8"/>
      <c r="N659" s="9"/>
    </row>
    <row r="660">
      <c r="A660" s="6"/>
      <c r="C660" s="7"/>
      <c r="E660" s="8"/>
      <c r="F660" s="8"/>
      <c r="G660" s="8"/>
      <c r="H660" s="8"/>
      <c r="N660" s="9"/>
    </row>
    <row r="661">
      <c r="A661" s="6"/>
      <c r="C661" s="7"/>
      <c r="E661" s="8"/>
      <c r="F661" s="8"/>
      <c r="G661" s="8"/>
      <c r="H661" s="8"/>
      <c r="N661" s="9"/>
    </row>
    <row r="662">
      <c r="A662" s="6"/>
      <c r="C662" s="7"/>
      <c r="E662" s="8"/>
      <c r="F662" s="8"/>
      <c r="G662" s="8"/>
      <c r="H662" s="8"/>
      <c r="N662" s="9"/>
    </row>
    <row r="663">
      <c r="A663" s="6"/>
      <c r="C663" s="7"/>
      <c r="E663" s="8"/>
      <c r="F663" s="8"/>
      <c r="G663" s="8"/>
      <c r="H663" s="8"/>
      <c r="N663" s="9"/>
    </row>
    <row r="664">
      <c r="A664" s="6"/>
      <c r="C664" s="7"/>
      <c r="E664" s="8"/>
      <c r="F664" s="8"/>
      <c r="G664" s="8"/>
      <c r="H664" s="8"/>
      <c r="N664" s="9"/>
    </row>
    <row r="665">
      <c r="A665" s="6"/>
      <c r="C665" s="7"/>
      <c r="E665" s="8"/>
      <c r="F665" s="8"/>
      <c r="G665" s="8"/>
      <c r="H665" s="8"/>
      <c r="N665" s="9"/>
    </row>
    <row r="666">
      <c r="A666" s="6"/>
      <c r="C666" s="7"/>
      <c r="E666" s="8"/>
      <c r="F666" s="8"/>
      <c r="G666" s="8"/>
      <c r="H666" s="8"/>
      <c r="N666" s="9"/>
    </row>
    <row r="667">
      <c r="A667" s="6"/>
      <c r="C667" s="7"/>
      <c r="E667" s="8"/>
      <c r="F667" s="8"/>
      <c r="G667" s="8"/>
      <c r="H667" s="8"/>
      <c r="N667" s="9"/>
    </row>
    <row r="668">
      <c r="A668" s="6"/>
      <c r="C668" s="7"/>
      <c r="E668" s="8"/>
      <c r="F668" s="8"/>
      <c r="G668" s="8"/>
      <c r="H668" s="8"/>
      <c r="N668" s="9"/>
    </row>
    <row r="669">
      <c r="A669" s="6"/>
      <c r="C669" s="7"/>
      <c r="E669" s="8"/>
      <c r="F669" s="8"/>
      <c r="G669" s="8"/>
      <c r="H669" s="8"/>
      <c r="N669" s="9"/>
    </row>
    <row r="670">
      <c r="A670" s="6"/>
      <c r="C670" s="7"/>
      <c r="E670" s="8"/>
      <c r="F670" s="8"/>
      <c r="G670" s="8"/>
      <c r="H670" s="8"/>
      <c r="N670" s="9"/>
    </row>
    <row r="671">
      <c r="A671" s="6"/>
      <c r="C671" s="7"/>
      <c r="E671" s="8"/>
      <c r="F671" s="8"/>
      <c r="G671" s="8"/>
      <c r="H671" s="8"/>
      <c r="N671" s="9"/>
    </row>
    <row r="672">
      <c r="A672" s="6"/>
      <c r="C672" s="7"/>
      <c r="E672" s="8"/>
      <c r="F672" s="8"/>
      <c r="G672" s="8"/>
      <c r="H672" s="8"/>
      <c r="N672" s="9"/>
    </row>
    <row r="673">
      <c r="A673" s="6"/>
      <c r="C673" s="7"/>
      <c r="E673" s="8"/>
      <c r="F673" s="8"/>
      <c r="G673" s="8"/>
      <c r="H673" s="8"/>
      <c r="N673" s="9"/>
    </row>
    <row r="674">
      <c r="A674" s="6"/>
      <c r="C674" s="7"/>
      <c r="E674" s="8"/>
      <c r="F674" s="8"/>
      <c r="G674" s="8"/>
      <c r="H674" s="8"/>
      <c r="N674" s="9"/>
    </row>
    <row r="675">
      <c r="A675" s="6"/>
      <c r="C675" s="7"/>
      <c r="E675" s="8"/>
      <c r="F675" s="8"/>
      <c r="G675" s="8"/>
      <c r="H675" s="8"/>
      <c r="N675" s="9"/>
    </row>
    <row r="676">
      <c r="A676" s="6"/>
      <c r="C676" s="7"/>
      <c r="E676" s="8"/>
      <c r="F676" s="8"/>
      <c r="G676" s="8"/>
      <c r="H676" s="8"/>
      <c r="N676" s="9"/>
    </row>
    <row r="677">
      <c r="A677" s="6"/>
      <c r="C677" s="7"/>
      <c r="E677" s="8"/>
      <c r="F677" s="8"/>
      <c r="G677" s="8"/>
      <c r="H677" s="8"/>
      <c r="N677" s="9"/>
    </row>
    <row r="678">
      <c r="A678" s="6"/>
      <c r="C678" s="7"/>
      <c r="E678" s="8"/>
      <c r="F678" s="8"/>
      <c r="G678" s="8"/>
      <c r="H678" s="8"/>
      <c r="N678" s="9"/>
    </row>
    <row r="679">
      <c r="A679" s="6"/>
      <c r="C679" s="7"/>
      <c r="E679" s="8"/>
      <c r="F679" s="8"/>
      <c r="G679" s="8"/>
      <c r="H679" s="8"/>
      <c r="N679" s="9"/>
    </row>
    <row r="680">
      <c r="A680" s="6"/>
      <c r="C680" s="7"/>
      <c r="E680" s="8"/>
      <c r="F680" s="8"/>
      <c r="G680" s="8"/>
      <c r="H680" s="8"/>
      <c r="N680" s="9"/>
    </row>
    <row r="681">
      <c r="A681" s="6"/>
      <c r="C681" s="7"/>
      <c r="E681" s="8"/>
      <c r="F681" s="8"/>
      <c r="G681" s="8"/>
      <c r="H681" s="8"/>
      <c r="N681" s="9"/>
    </row>
    <row r="682">
      <c r="A682" s="6"/>
      <c r="C682" s="7"/>
      <c r="E682" s="8"/>
      <c r="F682" s="8"/>
      <c r="G682" s="8"/>
      <c r="H682" s="8"/>
      <c r="N682" s="9"/>
    </row>
    <row r="683">
      <c r="A683" s="6"/>
      <c r="C683" s="7"/>
      <c r="E683" s="8"/>
      <c r="F683" s="8"/>
      <c r="G683" s="8"/>
      <c r="H683" s="8"/>
      <c r="N683" s="9"/>
    </row>
    <row r="684">
      <c r="A684" s="6"/>
      <c r="C684" s="7"/>
      <c r="E684" s="8"/>
      <c r="F684" s="8"/>
      <c r="G684" s="8"/>
      <c r="H684" s="8"/>
      <c r="N684" s="9"/>
    </row>
    <row r="685">
      <c r="A685" s="6"/>
      <c r="C685" s="7"/>
      <c r="E685" s="8"/>
      <c r="F685" s="8"/>
      <c r="G685" s="8"/>
      <c r="H685" s="8"/>
      <c r="N685" s="9"/>
    </row>
    <row r="686">
      <c r="A686" s="6"/>
      <c r="C686" s="7"/>
      <c r="E686" s="8"/>
      <c r="F686" s="8"/>
      <c r="G686" s="8"/>
      <c r="H686" s="8"/>
      <c r="N686" s="9"/>
    </row>
    <row r="687">
      <c r="A687" s="6"/>
      <c r="C687" s="7"/>
      <c r="E687" s="8"/>
      <c r="F687" s="8"/>
      <c r="G687" s="8"/>
      <c r="H687" s="8"/>
      <c r="N687" s="9"/>
    </row>
    <row r="688">
      <c r="A688" s="6"/>
      <c r="C688" s="7"/>
      <c r="E688" s="8"/>
      <c r="F688" s="8"/>
      <c r="G688" s="8"/>
      <c r="H688" s="8"/>
      <c r="N688" s="9"/>
    </row>
    <row r="689">
      <c r="A689" s="6"/>
      <c r="C689" s="7"/>
      <c r="E689" s="8"/>
      <c r="F689" s="8"/>
      <c r="G689" s="8"/>
      <c r="H689" s="8"/>
      <c r="N689" s="9"/>
    </row>
    <row r="690">
      <c r="A690" s="6"/>
      <c r="C690" s="7"/>
      <c r="E690" s="8"/>
      <c r="F690" s="8"/>
      <c r="G690" s="8"/>
      <c r="H690" s="8"/>
      <c r="N690" s="9"/>
    </row>
    <row r="691">
      <c r="A691" s="6"/>
      <c r="C691" s="7"/>
      <c r="E691" s="8"/>
      <c r="F691" s="8"/>
      <c r="G691" s="8"/>
      <c r="H691" s="8"/>
      <c r="N691" s="9"/>
    </row>
    <row r="692">
      <c r="A692" s="6"/>
      <c r="C692" s="7"/>
      <c r="E692" s="8"/>
      <c r="F692" s="8"/>
      <c r="G692" s="8"/>
      <c r="H692" s="8"/>
      <c r="N692" s="9"/>
    </row>
    <row r="693">
      <c r="A693" s="6"/>
      <c r="C693" s="7"/>
      <c r="E693" s="8"/>
      <c r="F693" s="8"/>
      <c r="G693" s="8"/>
      <c r="H693" s="8"/>
      <c r="N693" s="9"/>
    </row>
    <row r="694">
      <c r="A694" s="6"/>
      <c r="C694" s="7"/>
      <c r="E694" s="8"/>
      <c r="F694" s="8"/>
      <c r="G694" s="8"/>
      <c r="H694" s="8"/>
      <c r="N694" s="9"/>
    </row>
    <row r="695">
      <c r="A695" s="6"/>
      <c r="C695" s="7"/>
      <c r="E695" s="8"/>
      <c r="F695" s="8"/>
      <c r="G695" s="8"/>
      <c r="H695" s="8"/>
      <c r="N695" s="9"/>
    </row>
    <row r="696">
      <c r="A696" s="6"/>
      <c r="C696" s="7"/>
      <c r="E696" s="8"/>
      <c r="F696" s="8"/>
      <c r="G696" s="8"/>
      <c r="H696" s="8"/>
      <c r="N696" s="9"/>
    </row>
    <row r="697">
      <c r="A697" s="6"/>
      <c r="C697" s="7"/>
      <c r="E697" s="8"/>
      <c r="F697" s="8"/>
      <c r="G697" s="8"/>
      <c r="H697" s="8"/>
      <c r="N697" s="9"/>
    </row>
    <row r="698">
      <c r="A698" s="6"/>
      <c r="C698" s="7"/>
      <c r="E698" s="8"/>
      <c r="F698" s="8"/>
      <c r="G698" s="8"/>
      <c r="H698" s="8"/>
      <c r="N698" s="9"/>
    </row>
    <row r="699">
      <c r="A699" s="6"/>
      <c r="C699" s="7"/>
      <c r="E699" s="8"/>
      <c r="F699" s="8"/>
      <c r="G699" s="8"/>
      <c r="H699" s="8"/>
      <c r="N699" s="9"/>
    </row>
    <row r="700">
      <c r="A700" s="6"/>
      <c r="C700" s="7"/>
      <c r="E700" s="8"/>
      <c r="F700" s="8"/>
      <c r="G700" s="8"/>
      <c r="H700" s="8"/>
      <c r="N700" s="9"/>
    </row>
    <row r="701">
      <c r="A701" s="6"/>
      <c r="C701" s="7"/>
      <c r="E701" s="8"/>
      <c r="F701" s="8"/>
      <c r="G701" s="8"/>
      <c r="H701" s="8"/>
      <c r="N701" s="9"/>
    </row>
    <row r="702">
      <c r="A702" s="6"/>
      <c r="C702" s="7"/>
      <c r="E702" s="8"/>
      <c r="F702" s="8"/>
      <c r="G702" s="8"/>
      <c r="H702" s="8"/>
      <c r="N702" s="9"/>
    </row>
    <row r="703">
      <c r="A703" s="6"/>
      <c r="C703" s="7"/>
      <c r="E703" s="8"/>
      <c r="F703" s="8"/>
      <c r="G703" s="8"/>
      <c r="H703" s="8"/>
      <c r="N703" s="9"/>
    </row>
    <row r="704">
      <c r="A704" s="6"/>
      <c r="C704" s="7"/>
      <c r="E704" s="8"/>
      <c r="F704" s="8"/>
      <c r="G704" s="8"/>
      <c r="H704" s="8"/>
      <c r="N704" s="9"/>
    </row>
    <row r="705">
      <c r="A705" s="6"/>
      <c r="C705" s="7"/>
      <c r="E705" s="8"/>
      <c r="F705" s="8"/>
      <c r="G705" s="8"/>
      <c r="H705" s="8"/>
      <c r="N705" s="9"/>
    </row>
    <row r="706">
      <c r="A706" s="6"/>
      <c r="C706" s="7"/>
      <c r="E706" s="8"/>
      <c r="F706" s="8"/>
      <c r="G706" s="8"/>
      <c r="H706" s="8"/>
      <c r="N706" s="9"/>
    </row>
    <row r="707">
      <c r="A707" s="6"/>
      <c r="C707" s="7"/>
      <c r="E707" s="8"/>
      <c r="F707" s="8"/>
      <c r="G707" s="8"/>
      <c r="H707" s="8"/>
      <c r="N707" s="9"/>
    </row>
    <row r="708">
      <c r="A708" s="6"/>
      <c r="C708" s="7"/>
      <c r="E708" s="8"/>
      <c r="F708" s="8"/>
      <c r="G708" s="8"/>
      <c r="H708" s="8"/>
      <c r="N708" s="9"/>
    </row>
    <row r="709">
      <c r="A709" s="6"/>
      <c r="C709" s="7"/>
      <c r="E709" s="8"/>
      <c r="F709" s="8"/>
      <c r="G709" s="8"/>
      <c r="H709" s="8"/>
      <c r="N709" s="9"/>
    </row>
    <row r="710">
      <c r="A710" s="6"/>
      <c r="C710" s="7"/>
      <c r="E710" s="8"/>
      <c r="F710" s="8"/>
      <c r="G710" s="8"/>
      <c r="H710" s="8"/>
      <c r="N710" s="9"/>
    </row>
    <row r="711">
      <c r="A711" s="6"/>
      <c r="C711" s="7"/>
      <c r="E711" s="8"/>
      <c r="F711" s="8"/>
      <c r="G711" s="8"/>
      <c r="H711" s="8"/>
      <c r="N711" s="9"/>
    </row>
    <row r="712">
      <c r="A712" s="6"/>
      <c r="C712" s="7"/>
      <c r="E712" s="8"/>
      <c r="F712" s="8"/>
      <c r="G712" s="8"/>
      <c r="H712" s="8"/>
      <c r="N712" s="9"/>
    </row>
    <row r="713">
      <c r="A713" s="6"/>
      <c r="C713" s="7"/>
      <c r="E713" s="8"/>
      <c r="F713" s="8"/>
      <c r="G713" s="8"/>
      <c r="H713" s="8"/>
      <c r="N713" s="9"/>
    </row>
    <row r="714">
      <c r="A714" s="6"/>
      <c r="C714" s="7"/>
      <c r="E714" s="8"/>
      <c r="F714" s="8"/>
      <c r="G714" s="8"/>
      <c r="H714" s="8"/>
      <c r="N714" s="9"/>
    </row>
    <row r="715">
      <c r="A715" s="6"/>
      <c r="C715" s="7"/>
      <c r="E715" s="8"/>
      <c r="F715" s="8"/>
      <c r="G715" s="8"/>
      <c r="H715" s="8"/>
      <c r="N715" s="9"/>
    </row>
    <row r="716">
      <c r="A716" s="6"/>
      <c r="C716" s="7"/>
      <c r="E716" s="8"/>
      <c r="F716" s="8"/>
      <c r="G716" s="8"/>
      <c r="H716" s="8"/>
      <c r="N716" s="9"/>
    </row>
    <row r="717">
      <c r="A717" s="6"/>
      <c r="C717" s="7"/>
      <c r="E717" s="8"/>
      <c r="F717" s="8"/>
      <c r="G717" s="8"/>
      <c r="H717" s="8"/>
      <c r="N717" s="9"/>
    </row>
    <row r="718">
      <c r="A718" s="6"/>
      <c r="C718" s="7"/>
      <c r="E718" s="8"/>
      <c r="F718" s="8"/>
      <c r="G718" s="8"/>
      <c r="H718" s="8"/>
      <c r="N718" s="9"/>
    </row>
    <row r="719">
      <c r="A719" s="6"/>
      <c r="C719" s="7"/>
      <c r="E719" s="8"/>
      <c r="F719" s="8"/>
      <c r="G719" s="8"/>
      <c r="H719" s="8"/>
      <c r="N719" s="9"/>
    </row>
    <row r="720">
      <c r="A720" s="6"/>
      <c r="C720" s="7"/>
      <c r="E720" s="8"/>
      <c r="F720" s="8"/>
      <c r="G720" s="8"/>
      <c r="H720" s="8"/>
      <c r="N720" s="9"/>
    </row>
    <row r="721">
      <c r="A721" s="6"/>
      <c r="C721" s="7"/>
      <c r="E721" s="8"/>
      <c r="F721" s="8"/>
      <c r="G721" s="8"/>
      <c r="H721" s="8"/>
      <c r="N721" s="9"/>
    </row>
    <row r="722">
      <c r="A722" s="6"/>
      <c r="C722" s="7"/>
      <c r="E722" s="8"/>
      <c r="F722" s="8"/>
      <c r="G722" s="8"/>
      <c r="H722" s="8"/>
      <c r="N722" s="9"/>
    </row>
    <row r="723">
      <c r="A723" s="6"/>
      <c r="C723" s="7"/>
      <c r="E723" s="8"/>
      <c r="F723" s="8"/>
      <c r="G723" s="8"/>
      <c r="H723" s="8"/>
      <c r="N723" s="9"/>
    </row>
    <row r="724">
      <c r="A724" s="6"/>
      <c r="C724" s="7"/>
      <c r="E724" s="8"/>
      <c r="F724" s="8"/>
      <c r="G724" s="8"/>
      <c r="H724" s="8"/>
      <c r="N724" s="9"/>
    </row>
    <row r="725">
      <c r="A725" s="6"/>
      <c r="C725" s="7"/>
      <c r="E725" s="8"/>
      <c r="F725" s="8"/>
      <c r="G725" s="8"/>
      <c r="H725" s="8"/>
      <c r="N725" s="9"/>
    </row>
    <row r="726">
      <c r="A726" s="6"/>
      <c r="C726" s="7"/>
      <c r="E726" s="8"/>
      <c r="F726" s="8"/>
      <c r="G726" s="8"/>
      <c r="H726" s="8"/>
      <c r="N726" s="9"/>
    </row>
    <row r="727">
      <c r="A727" s="6"/>
      <c r="C727" s="7"/>
      <c r="E727" s="8"/>
      <c r="F727" s="8"/>
      <c r="G727" s="8"/>
      <c r="H727" s="8"/>
      <c r="N727" s="9"/>
    </row>
    <row r="728">
      <c r="A728" s="6"/>
      <c r="C728" s="7"/>
      <c r="E728" s="8"/>
      <c r="F728" s="8"/>
      <c r="G728" s="8"/>
      <c r="H728" s="8"/>
      <c r="N728" s="9"/>
    </row>
    <row r="729">
      <c r="A729" s="6"/>
      <c r="C729" s="7"/>
      <c r="E729" s="8"/>
      <c r="F729" s="8"/>
      <c r="G729" s="8"/>
      <c r="H729" s="8"/>
      <c r="N729" s="9"/>
    </row>
    <row r="730">
      <c r="A730" s="6"/>
      <c r="C730" s="7"/>
      <c r="E730" s="8"/>
      <c r="F730" s="8"/>
      <c r="G730" s="8"/>
      <c r="H730" s="8"/>
      <c r="N730" s="9"/>
    </row>
    <row r="731">
      <c r="A731" s="6"/>
      <c r="C731" s="7"/>
      <c r="E731" s="8"/>
      <c r="F731" s="8"/>
      <c r="G731" s="8"/>
      <c r="H731" s="8"/>
      <c r="N731" s="9"/>
    </row>
    <row r="732">
      <c r="A732" s="6"/>
      <c r="C732" s="7"/>
      <c r="E732" s="8"/>
      <c r="F732" s="8"/>
      <c r="G732" s="8"/>
      <c r="H732" s="8"/>
      <c r="N732" s="9"/>
    </row>
    <row r="733">
      <c r="A733" s="6"/>
      <c r="C733" s="7"/>
      <c r="E733" s="8"/>
      <c r="F733" s="8"/>
      <c r="G733" s="8"/>
      <c r="H733" s="8"/>
      <c r="N733" s="9"/>
    </row>
    <row r="734">
      <c r="A734" s="6"/>
      <c r="C734" s="7"/>
      <c r="E734" s="8"/>
      <c r="F734" s="8"/>
      <c r="G734" s="8"/>
      <c r="H734" s="8"/>
      <c r="N734" s="9"/>
    </row>
    <row r="735">
      <c r="A735" s="6"/>
      <c r="C735" s="7"/>
      <c r="E735" s="8"/>
      <c r="F735" s="8"/>
      <c r="G735" s="8"/>
      <c r="H735" s="8"/>
      <c r="N735" s="9"/>
    </row>
    <row r="736">
      <c r="A736" s="6"/>
      <c r="C736" s="7"/>
      <c r="E736" s="8"/>
      <c r="F736" s="8"/>
      <c r="G736" s="8"/>
      <c r="H736" s="8"/>
      <c r="N736" s="9"/>
    </row>
    <row r="737">
      <c r="A737" s="6"/>
      <c r="C737" s="7"/>
      <c r="E737" s="8"/>
      <c r="F737" s="8"/>
      <c r="G737" s="8"/>
      <c r="H737" s="8"/>
      <c r="N737" s="9"/>
    </row>
    <row r="738">
      <c r="A738" s="6"/>
      <c r="C738" s="7"/>
      <c r="E738" s="8"/>
      <c r="F738" s="8"/>
      <c r="G738" s="8"/>
      <c r="H738" s="8"/>
      <c r="N738" s="9"/>
    </row>
    <row r="739">
      <c r="A739" s="6"/>
      <c r="C739" s="7"/>
      <c r="E739" s="8"/>
      <c r="F739" s="8"/>
      <c r="G739" s="8"/>
      <c r="H739" s="8"/>
      <c r="N739" s="9"/>
    </row>
    <row r="740">
      <c r="A740" s="6"/>
      <c r="C740" s="7"/>
      <c r="E740" s="8"/>
      <c r="F740" s="8"/>
      <c r="G740" s="8"/>
      <c r="H740" s="8"/>
      <c r="N740" s="9"/>
    </row>
    <row r="741">
      <c r="A741" s="6"/>
      <c r="C741" s="7"/>
      <c r="E741" s="8"/>
      <c r="F741" s="8"/>
      <c r="G741" s="8"/>
      <c r="H741" s="8"/>
      <c r="N741" s="9"/>
    </row>
    <row r="742">
      <c r="A742" s="6"/>
      <c r="C742" s="7"/>
      <c r="E742" s="8"/>
      <c r="F742" s="8"/>
      <c r="G742" s="8"/>
      <c r="H742" s="8"/>
      <c r="N742" s="9"/>
    </row>
    <row r="743">
      <c r="A743" s="6"/>
      <c r="C743" s="7"/>
      <c r="E743" s="8"/>
      <c r="F743" s="8"/>
      <c r="G743" s="8"/>
      <c r="H743" s="8"/>
      <c r="N743" s="9"/>
    </row>
    <row r="744">
      <c r="A744" s="6"/>
      <c r="C744" s="7"/>
      <c r="E744" s="8"/>
      <c r="F744" s="8"/>
      <c r="G744" s="8"/>
      <c r="H744" s="8"/>
      <c r="N744" s="9"/>
    </row>
    <row r="745">
      <c r="A745" s="6"/>
      <c r="C745" s="7"/>
      <c r="E745" s="8"/>
      <c r="F745" s="8"/>
      <c r="G745" s="8"/>
      <c r="H745" s="8"/>
      <c r="N745" s="9"/>
    </row>
    <row r="746">
      <c r="A746" s="6"/>
      <c r="C746" s="7"/>
      <c r="E746" s="8"/>
      <c r="F746" s="8"/>
      <c r="G746" s="8"/>
      <c r="H746" s="8"/>
      <c r="N746" s="9"/>
    </row>
    <row r="747">
      <c r="A747" s="6"/>
      <c r="C747" s="7"/>
      <c r="E747" s="8"/>
      <c r="F747" s="8"/>
      <c r="G747" s="8"/>
      <c r="H747" s="8"/>
      <c r="N747" s="9"/>
    </row>
    <row r="748">
      <c r="A748" s="6"/>
      <c r="C748" s="7"/>
      <c r="E748" s="8"/>
      <c r="F748" s="8"/>
      <c r="G748" s="8"/>
      <c r="H748" s="8"/>
      <c r="N748" s="9"/>
    </row>
    <row r="749">
      <c r="A749" s="6"/>
      <c r="C749" s="7"/>
      <c r="E749" s="8"/>
      <c r="F749" s="8"/>
      <c r="G749" s="8"/>
      <c r="H749" s="8"/>
      <c r="N749" s="9"/>
    </row>
    <row r="750">
      <c r="A750" s="6"/>
      <c r="C750" s="7"/>
      <c r="E750" s="8"/>
      <c r="F750" s="8"/>
      <c r="G750" s="8"/>
      <c r="H750" s="8"/>
      <c r="N750" s="9"/>
    </row>
    <row r="751">
      <c r="A751" s="6"/>
      <c r="C751" s="7"/>
      <c r="E751" s="8"/>
      <c r="F751" s="8"/>
      <c r="G751" s="8"/>
      <c r="H751" s="8"/>
      <c r="N751" s="9"/>
    </row>
    <row r="752">
      <c r="A752" s="6"/>
      <c r="C752" s="7"/>
      <c r="E752" s="8"/>
      <c r="F752" s="8"/>
      <c r="G752" s="8"/>
      <c r="H752" s="8"/>
      <c r="N752" s="9"/>
    </row>
    <row r="753">
      <c r="A753" s="6"/>
      <c r="C753" s="7"/>
      <c r="E753" s="8"/>
      <c r="F753" s="8"/>
      <c r="G753" s="8"/>
      <c r="H753" s="8"/>
      <c r="N753" s="9"/>
    </row>
    <row r="754">
      <c r="A754" s="6"/>
      <c r="C754" s="7"/>
      <c r="E754" s="8"/>
      <c r="F754" s="8"/>
      <c r="G754" s="8"/>
      <c r="H754" s="8"/>
      <c r="N754" s="9"/>
    </row>
    <row r="755">
      <c r="A755" s="6"/>
      <c r="C755" s="7"/>
      <c r="E755" s="8"/>
      <c r="F755" s="8"/>
      <c r="G755" s="8"/>
      <c r="H755" s="8"/>
      <c r="N755" s="9"/>
    </row>
    <row r="756">
      <c r="A756" s="6"/>
      <c r="C756" s="7"/>
      <c r="E756" s="8"/>
      <c r="F756" s="8"/>
      <c r="G756" s="8"/>
      <c r="H756" s="8"/>
      <c r="N756" s="9"/>
    </row>
    <row r="757">
      <c r="A757" s="6"/>
      <c r="C757" s="7"/>
      <c r="E757" s="8"/>
      <c r="F757" s="8"/>
      <c r="G757" s="8"/>
      <c r="H757" s="8"/>
      <c r="N757" s="9"/>
    </row>
    <row r="758">
      <c r="A758" s="6"/>
      <c r="C758" s="7"/>
      <c r="E758" s="8"/>
      <c r="F758" s="8"/>
      <c r="G758" s="8"/>
      <c r="H758" s="8"/>
      <c r="N758" s="9"/>
    </row>
    <row r="759">
      <c r="A759" s="6"/>
      <c r="C759" s="7"/>
      <c r="E759" s="8"/>
      <c r="F759" s="8"/>
      <c r="G759" s="8"/>
      <c r="H759" s="8"/>
      <c r="N759" s="9"/>
    </row>
    <row r="760">
      <c r="A760" s="6"/>
      <c r="C760" s="7"/>
      <c r="E760" s="8"/>
      <c r="F760" s="8"/>
      <c r="G760" s="8"/>
      <c r="H760" s="8"/>
      <c r="N760" s="9"/>
    </row>
    <row r="761">
      <c r="A761" s="6"/>
      <c r="C761" s="7"/>
      <c r="E761" s="8"/>
      <c r="F761" s="8"/>
      <c r="G761" s="8"/>
      <c r="H761" s="8"/>
      <c r="N761" s="9"/>
    </row>
    <row r="762">
      <c r="A762" s="6"/>
      <c r="C762" s="7"/>
      <c r="E762" s="8"/>
      <c r="F762" s="8"/>
      <c r="G762" s="8"/>
      <c r="H762" s="8"/>
      <c r="N762" s="9"/>
    </row>
    <row r="763">
      <c r="A763" s="6"/>
      <c r="C763" s="7"/>
      <c r="E763" s="8"/>
      <c r="F763" s="8"/>
      <c r="G763" s="8"/>
      <c r="H763" s="8"/>
      <c r="N763" s="9"/>
    </row>
    <row r="764">
      <c r="A764" s="6"/>
      <c r="C764" s="7"/>
      <c r="E764" s="8"/>
      <c r="F764" s="8"/>
      <c r="G764" s="8"/>
      <c r="H764" s="8"/>
      <c r="N764" s="9"/>
    </row>
    <row r="765">
      <c r="A765" s="6"/>
      <c r="C765" s="7"/>
      <c r="E765" s="8"/>
      <c r="F765" s="8"/>
      <c r="G765" s="8"/>
      <c r="H765" s="8"/>
      <c r="N765" s="9"/>
    </row>
    <row r="766">
      <c r="A766" s="6"/>
      <c r="C766" s="7"/>
      <c r="E766" s="8"/>
      <c r="F766" s="8"/>
      <c r="G766" s="8"/>
      <c r="H766" s="8"/>
      <c r="N766" s="9"/>
    </row>
    <row r="767">
      <c r="A767" s="6"/>
      <c r="C767" s="7"/>
      <c r="E767" s="8"/>
      <c r="F767" s="8"/>
      <c r="G767" s="8"/>
      <c r="H767" s="8"/>
      <c r="N767" s="9"/>
    </row>
    <row r="768">
      <c r="A768" s="6"/>
      <c r="C768" s="7"/>
      <c r="E768" s="8"/>
      <c r="F768" s="8"/>
      <c r="G768" s="8"/>
      <c r="H768" s="8"/>
      <c r="N768" s="9"/>
    </row>
    <row r="769">
      <c r="A769" s="6"/>
      <c r="C769" s="7"/>
      <c r="E769" s="8"/>
      <c r="F769" s="8"/>
      <c r="G769" s="8"/>
      <c r="H769" s="8"/>
      <c r="N769" s="9"/>
    </row>
    <row r="770">
      <c r="A770" s="6"/>
      <c r="C770" s="7"/>
      <c r="E770" s="8"/>
      <c r="F770" s="8"/>
      <c r="G770" s="8"/>
      <c r="H770" s="8"/>
      <c r="N770" s="9"/>
    </row>
    <row r="771">
      <c r="A771" s="6"/>
      <c r="C771" s="7"/>
      <c r="E771" s="8"/>
      <c r="F771" s="8"/>
      <c r="G771" s="8"/>
      <c r="H771" s="8"/>
      <c r="N771" s="9"/>
    </row>
    <row r="772">
      <c r="A772" s="6"/>
      <c r="C772" s="7"/>
      <c r="E772" s="8"/>
      <c r="F772" s="8"/>
      <c r="G772" s="8"/>
      <c r="H772" s="8"/>
      <c r="N772" s="9"/>
    </row>
    <row r="773">
      <c r="A773" s="6"/>
      <c r="C773" s="7"/>
      <c r="E773" s="8"/>
      <c r="F773" s="8"/>
      <c r="G773" s="8"/>
      <c r="H773" s="8"/>
      <c r="N773" s="9"/>
    </row>
    <row r="774">
      <c r="A774" s="6"/>
      <c r="C774" s="7"/>
      <c r="E774" s="8"/>
      <c r="F774" s="8"/>
      <c r="G774" s="8"/>
      <c r="H774" s="8"/>
      <c r="N774" s="9"/>
    </row>
    <row r="775">
      <c r="A775" s="6"/>
      <c r="C775" s="7"/>
      <c r="E775" s="8"/>
      <c r="F775" s="8"/>
      <c r="G775" s="8"/>
      <c r="H775" s="8"/>
      <c r="N775" s="9"/>
    </row>
    <row r="776">
      <c r="A776" s="6"/>
      <c r="C776" s="7"/>
      <c r="E776" s="8"/>
      <c r="F776" s="8"/>
      <c r="G776" s="8"/>
      <c r="H776" s="8"/>
      <c r="N776" s="9"/>
    </row>
    <row r="777">
      <c r="A777" s="6"/>
      <c r="C777" s="7"/>
      <c r="E777" s="8"/>
      <c r="F777" s="8"/>
      <c r="G777" s="8"/>
      <c r="H777" s="8"/>
      <c r="N777" s="9"/>
    </row>
    <row r="778">
      <c r="A778" s="6"/>
      <c r="C778" s="7"/>
      <c r="E778" s="8"/>
      <c r="F778" s="8"/>
      <c r="G778" s="8"/>
      <c r="H778" s="8"/>
      <c r="N778" s="9"/>
    </row>
    <row r="779">
      <c r="A779" s="6"/>
      <c r="C779" s="7"/>
      <c r="E779" s="8"/>
      <c r="F779" s="8"/>
      <c r="G779" s="8"/>
      <c r="H779" s="8"/>
      <c r="N779" s="9"/>
    </row>
    <row r="780">
      <c r="A780" s="6"/>
      <c r="C780" s="7"/>
      <c r="E780" s="8"/>
      <c r="F780" s="8"/>
      <c r="G780" s="8"/>
      <c r="H780" s="8"/>
      <c r="N780" s="9"/>
    </row>
    <row r="781">
      <c r="A781" s="6"/>
      <c r="C781" s="7"/>
      <c r="E781" s="8"/>
      <c r="F781" s="8"/>
      <c r="G781" s="8"/>
      <c r="H781" s="8"/>
      <c r="N781" s="9"/>
    </row>
    <row r="782">
      <c r="A782" s="6"/>
      <c r="C782" s="7"/>
      <c r="E782" s="8"/>
      <c r="F782" s="8"/>
      <c r="G782" s="8"/>
      <c r="H782" s="8"/>
      <c r="N782" s="9"/>
    </row>
    <row r="783">
      <c r="A783" s="6"/>
      <c r="C783" s="7"/>
      <c r="E783" s="8"/>
      <c r="F783" s="8"/>
      <c r="G783" s="8"/>
      <c r="H783" s="8"/>
      <c r="N783" s="9"/>
    </row>
    <row r="784">
      <c r="A784" s="6"/>
      <c r="C784" s="7"/>
      <c r="E784" s="8"/>
      <c r="F784" s="8"/>
      <c r="G784" s="8"/>
      <c r="H784" s="8"/>
      <c r="N784" s="9"/>
    </row>
    <row r="785">
      <c r="A785" s="6"/>
      <c r="C785" s="7"/>
      <c r="E785" s="8"/>
      <c r="F785" s="8"/>
      <c r="G785" s="8"/>
      <c r="H785" s="8"/>
      <c r="N785" s="9"/>
    </row>
    <row r="786">
      <c r="A786" s="6"/>
      <c r="C786" s="7"/>
      <c r="E786" s="8"/>
      <c r="F786" s="8"/>
      <c r="G786" s="8"/>
      <c r="H786" s="8"/>
      <c r="N786" s="9"/>
    </row>
    <row r="787">
      <c r="A787" s="6"/>
      <c r="C787" s="7"/>
      <c r="E787" s="8"/>
      <c r="F787" s="8"/>
      <c r="G787" s="8"/>
      <c r="H787" s="8"/>
      <c r="N787" s="9"/>
    </row>
    <row r="788">
      <c r="A788" s="6"/>
      <c r="C788" s="7"/>
      <c r="E788" s="8"/>
      <c r="F788" s="8"/>
      <c r="G788" s="8"/>
      <c r="H788" s="8"/>
      <c r="N788" s="9"/>
    </row>
    <row r="789">
      <c r="A789" s="6"/>
      <c r="C789" s="7"/>
      <c r="E789" s="8"/>
      <c r="F789" s="8"/>
      <c r="G789" s="8"/>
      <c r="H789" s="8"/>
      <c r="N789" s="9"/>
    </row>
    <row r="790">
      <c r="A790" s="6"/>
      <c r="C790" s="7"/>
      <c r="E790" s="8"/>
      <c r="F790" s="8"/>
      <c r="G790" s="8"/>
      <c r="H790" s="8"/>
      <c r="N790" s="9"/>
    </row>
    <row r="791">
      <c r="A791" s="6"/>
      <c r="C791" s="7"/>
      <c r="E791" s="8"/>
      <c r="F791" s="8"/>
      <c r="G791" s="8"/>
      <c r="H791" s="8"/>
      <c r="N791" s="9"/>
    </row>
    <row r="792">
      <c r="A792" s="6"/>
      <c r="C792" s="7"/>
      <c r="E792" s="8"/>
      <c r="F792" s="8"/>
      <c r="G792" s="8"/>
      <c r="H792" s="8"/>
      <c r="N792" s="9"/>
    </row>
    <row r="793">
      <c r="A793" s="6"/>
      <c r="C793" s="7"/>
      <c r="E793" s="8"/>
      <c r="F793" s="8"/>
      <c r="G793" s="8"/>
      <c r="H793" s="8"/>
      <c r="N793" s="9"/>
    </row>
    <row r="794">
      <c r="A794" s="6"/>
      <c r="C794" s="7"/>
      <c r="E794" s="8"/>
      <c r="F794" s="8"/>
      <c r="G794" s="8"/>
      <c r="H794" s="8"/>
      <c r="N794" s="9"/>
    </row>
    <row r="795">
      <c r="A795" s="6"/>
      <c r="C795" s="7"/>
      <c r="E795" s="8"/>
      <c r="F795" s="8"/>
      <c r="G795" s="8"/>
      <c r="H795" s="8"/>
      <c r="N795" s="9"/>
    </row>
    <row r="796">
      <c r="A796" s="6"/>
      <c r="C796" s="7"/>
      <c r="E796" s="8"/>
      <c r="F796" s="8"/>
      <c r="G796" s="8"/>
      <c r="H796" s="8"/>
      <c r="N796" s="9"/>
    </row>
    <row r="797">
      <c r="A797" s="6"/>
      <c r="C797" s="7"/>
      <c r="E797" s="8"/>
      <c r="F797" s="8"/>
      <c r="G797" s="8"/>
      <c r="H797" s="8"/>
      <c r="N797" s="9"/>
    </row>
    <row r="798">
      <c r="A798" s="6"/>
      <c r="C798" s="7"/>
      <c r="E798" s="8"/>
      <c r="F798" s="8"/>
      <c r="G798" s="8"/>
      <c r="H798" s="8"/>
      <c r="N798" s="9"/>
    </row>
    <row r="799">
      <c r="A799" s="6"/>
      <c r="C799" s="7"/>
      <c r="E799" s="8"/>
      <c r="F799" s="8"/>
      <c r="G799" s="8"/>
      <c r="H799" s="8"/>
      <c r="N799" s="9"/>
    </row>
    <row r="800">
      <c r="A800" s="6"/>
      <c r="C800" s="7"/>
      <c r="E800" s="8"/>
      <c r="F800" s="8"/>
      <c r="G800" s="8"/>
      <c r="H800" s="8"/>
      <c r="N800" s="9"/>
    </row>
    <row r="801">
      <c r="A801" s="6"/>
      <c r="C801" s="7"/>
      <c r="E801" s="8"/>
      <c r="F801" s="8"/>
      <c r="G801" s="8"/>
      <c r="H801" s="8"/>
      <c r="N801" s="9"/>
    </row>
    <row r="802">
      <c r="A802" s="6"/>
      <c r="C802" s="7"/>
      <c r="E802" s="8"/>
      <c r="F802" s="8"/>
      <c r="G802" s="8"/>
      <c r="H802" s="8"/>
      <c r="N802" s="9"/>
    </row>
    <row r="803">
      <c r="A803" s="6"/>
      <c r="C803" s="7"/>
      <c r="E803" s="8"/>
      <c r="F803" s="8"/>
      <c r="G803" s="8"/>
      <c r="H803" s="8"/>
      <c r="N803" s="9"/>
    </row>
    <row r="804">
      <c r="A804" s="6"/>
      <c r="C804" s="7"/>
      <c r="E804" s="8"/>
      <c r="F804" s="8"/>
      <c r="G804" s="8"/>
      <c r="H804" s="8"/>
      <c r="N804" s="9"/>
    </row>
    <row r="805">
      <c r="A805" s="6"/>
      <c r="C805" s="7"/>
      <c r="E805" s="8"/>
      <c r="F805" s="8"/>
      <c r="G805" s="8"/>
      <c r="H805" s="8"/>
      <c r="N805" s="9"/>
    </row>
    <row r="806">
      <c r="A806" s="6"/>
      <c r="C806" s="7"/>
      <c r="E806" s="8"/>
      <c r="F806" s="8"/>
      <c r="G806" s="8"/>
      <c r="H806" s="8"/>
      <c r="N806" s="9"/>
    </row>
    <row r="807">
      <c r="A807" s="6"/>
      <c r="C807" s="7"/>
      <c r="E807" s="8"/>
      <c r="F807" s="8"/>
      <c r="G807" s="8"/>
      <c r="H807" s="8"/>
      <c r="N807" s="9"/>
    </row>
    <row r="808">
      <c r="A808" s="6"/>
      <c r="C808" s="7"/>
      <c r="E808" s="8"/>
      <c r="F808" s="8"/>
      <c r="G808" s="8"/>
      <c r="H808" s="8"/>
      <c r="N808" s="9"/>
    </row>
    <row r="809">
      <c r="A809" s="6"/>
      <c r="C809" s="7"/>
      <c r="E809" s="8"/>
      <c r="F809" s="8"/>
      <c r="G809" s="8"/>
      <c r="H809" s="8"/>
      <c r="N809" s="9"/>
    </row>
    <row r="810">
      <c r="A810" s="6"/>
      <c r="C810" s="7"/>
      <c r="E810" s="8"/>
      <c r="F810" s="8"/>
      <c r="G810" s="8"/>
      <c r="H810" s="8"/>
      <c r="N810" s="9"/>
    </row>
    <row r="811">
      <c r="A811" s="6"/>
      <c r="C811" s="7"/>
      <c r="E811" s="8"/>
      <c r="F811" s="8"/>
      <c r="G811" s="8"/>
      <c r="H811" s="8"/>
      <c r="N811" s="9"/>
    </row>
    <row r="812">
      <c r="A812" s="6"/>
      <c r="C812" s="7"/>
      <c r="E812" s="8"/>
      <c r="F812" s="8"/>
      <c r="G812" s="8"/>
      <c r="H812" s="8"/>
      <c r="N812" s="9"/>
    </row>
    <row r="813">
      <c r="A813" s="6"/>
      <c r="C813" s="7"/>
      <c r="E813" s="8"/>
      <c r="F813" s="8"/>
      <c r="G813" s="8"/>
      <c r="H813" s="8"/>
      <c r="N813" s="9"/>
    </row>
    <row r="814">
      <c r="A814" s="6"/>
      <c r="C814" s="7"/>
      <c r="E814" s="8"/>
      <c r="F814" s="8"/>
      <c r="G814" s="8"/>
      <c r="H814" s="8"/>
      <c r="N814" s="9"/>
    </row>
    <row r="815">
      <c r="A815" s="6"/>
      <c r="C815" s="7"/>
      <c r="E815" s="8"/>
      <c r="F815" s="8"/>
      <c r="G815" s="8"/>
      <c r="H815" s="8"/>
      <c r="N815" s="9"/>
    </row>
    <row r="816">
      <c r="A816" s="6"/>
      <c r="C816" s="7"/>
      <c r="E816" s="8"/>
      <c r="F816" s="8"/>
      <c r="G816" s="8"/>
      <c r="H816" s="8"/>
      <c r="N816" s="9"/>
    </row>
    <row r="817">
      <c r="A817" s="6"/>
      <c r="C817" s="7"/>
      <c r="E817" s="8"/>
      <c r="F817" s="8"/>
      <c r="G817" s="8"/>
      <c r="H817" s="8"/>
      <c r="N817" s="9"/>
    </row>
    <row r="818">
      <c r="A818" s="6"/>
      <c r="C818" s="7"/>
      <c r="E818" s="8"/>
      <c r="F818" s="8"/>
      <c r="G818" s="8"/>
      <c r="H818" s="8"/>
      <c r="N818" s="9"/>
    </row>
    <row r="819">
      <c r="A819" s="6"/>
      <c r="C819" s="7"/>
      <c r="E819" s="8"/>
      <c r="F819" s="8"/>
      <c r="G819" s="8"/>
      <c r="H819" s="8"/>
      <c r="N819" s="9"/>
    </row>
    <row r="820">
      <c r="A820" s="6"/>
      <c r="C820" s="7"/>
      <c r="E820" s="8"/>
      <c r="F820" s="8"/>
      <c r="G820" s="8"/>
      <c r="H820" s="8"/>
      <c r="N820" s="9"/>
    </row>
    <row r="821">
      <c r="A821" s="6"/>
      <c r="C821" s="7"/>
      <c r="E821" s="8"/>
      <c r="F821" s="8"/>
      <c r="G821" s="8"/>
      <c r="H821" s="8"/>
      <c r="N821" s="9"/>
    </row>
    <row r="822">
      <c r="A822" s="6"/>
      <c r="C822" s="7"/>
      <c r="E822" s="8"/>
      <c r="F822" s="8"/>
      <c r="G822" s="8"/>
      <c r="H822" s="8"/>
      <c r="N822" s="9"/>
    </row>
    <row r="823">
      <c r="A823" s="6"/>
      <c r="C823" s="7"/>
      <c r="E823" s="8"/>
      <c r="F823" s="8"/>
      <c r="G823" s="8"/>
      <c r="H823" s="8"/>
      <c r="N823" s="9"/>
    </row>
    <row r="824">
      <c r="A824" s="6"/>
      <c r="C824" s="7"/>
      <c r="E824" s="8"/>
      <c r="F824" s="8"/>
      <c r="G824" s="8"/>
      <c r="H824" s="8"/>
      <c r="N824" s="9"/>
    </row>
    <row r="825">
      <c r="A825" s="6"/>
      <c r="C825" s="7"/>
      <c r="E825" s="8"/>
      <c r="F825" s="8"/>
      <c r="G825" s="8"/>
      <c r="H825" s="8"/>
      <c r="N825" s="9"/>
    </row>
    <row r="826">
      <c r="A826" s="6"/>
      <c r="C826" s="7"/>
      <c r="E826" s="8"/>
      <c r="F826" s="8"/>
      <c r="G826" s="8"/>
      <c r="H826" s="8"/>
      <c r="N826" s="9"/>
    </row>
    <row r="827">
      <c r="A827" s="6"/>
      <c r="C827" s="7"/>
      <c r="E827" s="8"/>
      <c r="F827" s="8"/>
      <c r="G827" s="8"/>
      <c r="H827" s="8"/>
      <c r="N827" s="9"/>
    </row>
    <row r="828">
      <c r="A828" s="6"/>
      <c r="C828" s="7"/>
      <c r="E828" s="8"/>
      <c r="F828" s="8"/>
      <c r="G828" s="8"/>
      <c r="H828" s="8"/>
      <c r="N828" s="9"/>
    </row>
    <row r="829">
      <c r="A829" s="6"/>
      <c r="C829" s="7"/>
      <c r="E829" s="8"/>
      <c r="F829" s="8"/>
      <c r="G829" s="8"/>
      <c r="H829" s="8"/>
      <c r="N829" s="9"/>
    </row>
    <row r="830">
      <c r="A830" s="6"/>
      <c r="C830" s="7"/>
      <c r="E830" s="8"/>
      <c r="F830" s="8"/>
      <c r="G830" s="8"/>
      <c r="H830" s="8"/>
      <c r="N830" s="9"/>
    </row>
    <row r="831">
      <c r="A831" s="6"/>
      <c r="C831" s="7"/>
      <c r="E831" s="8"/>
      <c r="F831" s="8"/>
      <c r="G831" s="8"/>
      <c r="H831" s="8"/>
      <c r="N831" s="9"/>
    </row>
    <row r="832">
      <c r="A832" s="6"/>
      <c r="C832" s="7"/>
      <c r="E832" s="8"/>
      <c r="F832" s="8"/>
      <c r="G832" s="8"/>
      <c r="H832" s="8"/>
      <c r="N832" s="9"/>
    </row>
    <row r="833">
      <c r="A833" s="6"/>
      <c r="C833" s="7"/>
      <c r="E833" s="8"/>
      <c r="F833" s="8"/>
      <c r="G833" s="8"/>
      <c r="H833" s="8"/>
      <c r="N833" s="9"/>
    </row>
    <row r="834">
      <c r="A834" s="6"/>
      <c r="C834" s="7"/>
      <c r="E834" s="8"/>
      <c r="F834" s="8"/>
      <c r="G834" s="8"/>
      <c r="H834" s="8"/>
      <c r="N834" s="9"/>
    </row>
    <row r="835">
      <c r="A835" s="6"/>
      <c r="C835" s="7"/>
      <c r="E835" s="8"/>
      <c r="F835" s="8"/>
      <c r="G835" s="8"/>
      <c r="H835" s="8"/>
      <c r="N835" s="9"/>
    </row>
    <row r="836">
      <c r="A836" s="6"/>
      <c r="C836" s="7"/>
      <c r="E836" s="8"/>
      <c r="F836" s="8"/>
      <c r="G836" s="8"/>
      <c r="H836" s="8"/>
      <c r="N836" s="9"/>
    </row>
    <row r="837">
      <c r="A837" s="6"/>
      <c r="C837" s="7"/>
      <c r="E837" s="8"/>
      <c r="F837" s="8"/>
      <c r="G837" s="8"/>
      <c r="H837" s="8"/>
      <c r="N837" s="9"/>
    </row>
    <row r="838">
      <c r="A838" s="6"/>
      <c r="C838" s="7"/>
      <c r="E838" s="8"/>
      <c r="F838" s="8"/>
      <c r="G838" s="8"/>
      <c r="H838" s="8"/>
      <c r="N838" s="9"/>
    </row>
    <row r="839">
      <c r="A839" s="6"/>
      <c r="C839" s="7"/>
      <c r="E839" s="8"/>
      <c r="F839" s="8"/>
      <c r="G839" s="8"/>
      <c r="H839" s="8"/>
      <c r="N839" s="9"/>
    </row>
    <row r="840">
      <c r="A840" s="6"/>
      <c r="C840" s="7"/>
      <c r="E840" s="8"/>
      <c r="F840" s="8"/>
      <c r="G840" s="8"/>
      <c r="H840" s="8"/>
      <c r="N840" s="9"/>
    </row>
    <row r="841">
      <c r="A841" s="6"/>
      <c r="C841" s="7"/>
      <c r="E841" s="8"/>
      <c r="F841" s="8"/>
      <c r="G841" s="8"/>
      <c r="H841" s="8"/>
      <c r="N841" s="9"/>
    </row>
    <row r="842">
      <c r="A842" s="6"/>
      <c r="C842" s="7"/>
      <c r="E842" s="8"/>
      <c r="F842" s="8"/>
      <c r="G842" s="8"/>
      <c r="H842" s="8"/>
      <c r="N842" s="9"/>
    </row>
    <row r="843">
      <c r="A843" s="6"/>
      <c r="C843" s="7"/>
      <c r="E843" s="8"/>
      <c r="F843" s="8"/>
      <c r="G843" s="8"/>
      <c r="H843" s="8"/>
      <c r="N843" s="9"/>
    </row>
    <row r="844">
      <c r="A844" s="6"/>
      <c r="C844" s="7"/>
      <c r="E844" s="8"/>
      <c r="F844" s="8"/>
      <c r="G844" s="8"/>
      <c r="H844" s="8"/>
      <c r="N844" s="9"/>
    </row>
    <row r="845">
      <c r="A845" s="6"/>
      <c r="C845" s="7"/>
      <c r="E845" s="8"/>
      <c r="F845" s="8"/>
      <c r="G845" s="8"/>
      <c r="H845" s="8"/>
      <c r="N845" s="9"/>
    </row>
    <row r="846">
      <c r="A846" s="6"/>
      <c r="C846" s="7"/>
      <c r="E846" s="8"/>
      <c r="F846" s="8"/>
      <c r="G846" s="8"/>
      <c r="H846" s="8"/>
      <c r="N846" s="9"/>
    </row>
    <row r="847">
      <c r="A847" s="6"/>
      <c r="C847" s="7"/>
      <c r="E847" s="8"/>
      <c r="F847" s="8"/>
      <c r="G847" s="8"/>
      <c r="H847" s="8"/>
      <c r="N847" s="9"/>
    </row>
    <row r="848">
      <c r="A848" s="6"/>
      <c r="C848" s="7"/>
      <c r="E848" s="8"/>
      <c r="F848" s="8"/>
      <c r="G848" s="8"/>
      <c r="H848" s="8"/>
      <c r="N848" s="9"/>
    </row>
    <row r="849">
      <c r="A849" s="6"/>
      <c r="C849" s="7"/>
      <c r="E849" s="8"/>
      <c r="F849" s="8"/>
      <c r="G849" s="8"/>
      <c r="H849" s="8"/>
      <c r="N849" s="9"/>
    </row>
    <row r="850">
      <c r="A850" s="6"/>
      <c r="C850" s="7"/>
      <c r="E850" s="8"/>
      <c r="F850" s="8"/>
      <c r="G850" s="8"/>
      <c r="H850" s="8"/>
      <c r="N850" s="9"/>
    </row>
    <row r="851">
      <c r="A851" s="6"/>
      <c r="C851" s="7"/>
      <c r="E851" s="8"/>
      <c r="F851" s="8"/>
      <c r="G851" s="8"/>
      <c r="H851" s="8"/>
      <c r="N851" s="9"/>
    </row>
    <row r="852">
      <c r="A852" s="6"/>
      <c r="C852" s="7"/>
      <c r="E852" s="8"/>
      <c r="F852" s="8"/>
      <c r="G852" s="8"/>
      <c r="H852" s="8"/>
      <c r="N852" s="9"/>
    </row>
    <row r="853">
      <c r="A853" s="6"/>
      <c r="C853" s="7"/>
      <c r="E853" s="8"/>
      <c r="F853" s="8"/>
      <c r="G853" s="8"/>
      <c r="H853" s="8"/>
      <c r="N853" s="9"/>
    </row>
    <row r="854">
      <c r="A854" s="6"/>
      <c r="C854" s="7"/>
      <c r="E854" s="8"/>
      <c r="F854" s="8"/>
      <c r="G854" s="8"/>
      <c r="H854" s="8"/>
      <c r="N854" s="9"/>
    </row>
    <row r="855">
      <c r="A855" s="6"/>
      <c r="C855" s="7"/>
      <c r="E855" s="8"/>
      <c r="F855" s="8"/>
      <c r="G855" s="8"/>
      <c r="H855" s="8"/>
      <c r="N855" s="9"/>
    </row>
    <row r="856">
      <c r="A856" s="6"/>
      <c r="C856" s="7"/>
      <c r="E856" s="8"/>
      <c r="F856" s="8"/>
      <c r="G856" s="8"/>
      <c r="H856" s="8"/>
      <c r="N856" s="9"/>
    </row>
    <row r="857">
      <c r="A857" s="6"/>
      <c r="C857" s="7"/>
      <c r="E857" s="8"/>
      <c r="F857" s="8"/>
      <c r="G857" s="8"/>
      <c r="H857" s="8"/>
      <c r="N857" s="9"/>
    </row>
    <row r="858">
      <c r="A858" s="6"/>
      <c r="C858" s="7"/>
      <c r="E858" s="8"/>
      <c r="F858" s="8"/>
      <c r="G858" s="8"/>
      <c r="H858" s="8"/>
      <c r="N858" s="9"/>
    </row>
    <row r="859">
      <c r="A859" s="6"/>
      <c r="C859" s="7"/>
      <c r="E859" s="8"/>
      <c r="F859" s="8"/>
      <c r="G859" s="8"/>
      <c r="H859" s="8"/>
      <c r="N859" s="9"/>
    </row>
    <row r="860">
      <c r="A860" s="6"/>
      <c r="C860" s="7"/>
      <c r="E860" s="8"/>
      <c r="F860" s="8"/>
      <c r="G860" s="8"/>
      <c r="H860" s="8"/>
      <c r="N860" s="9"/>
    </row>
    <row r="861">
      <c r="A861" s="6"/>
      <c r="C861" s="7"/>
      <c r="E861" s="8"/>
      <c r="F861" s="8"/>
      <c r="G861" s="8"/>
      <c r="H861" s="8"/>
      <c r="N861" s="9"/>
    </row>
    <row r="862">
      <c r="A862" s="6"/>
      <c r="C862" s="7"/>
      <c r="E862" s="8"/>
      <c r="F862" s="8"/>
      <c r="G862" s="8"/>
      <c r="H862" s="8"/>
      <c r="N862" s="9"/>
    </row>
    <row r="863">
      <c r="A863" s="6"/>
      <c r="C863" s="7"/>
      <c r="E863" s="8"/>
      <c r="F863" s="8"/>
      <c r="G863" s="8"/>
      <c r="H863" s="8"/>
      <c r="N863" s="9"/>
    </row>
    <row r="864">
      <c r="A864" s="6"/>
      <c r="C864" s="7"/>
      <c r="E864" s="8"/>
      <c r="F864" s="8"/>
      <c r="G864" s="8"/>
      <c r="H864" s="8"/>
      <c r="N864" s="9"/>
    </row>
    <row r="865">
      <c r="A865" s="6"/>
      <c r="C865" s="7"/>
      <c r="E865" s="8"/>
      <c r="F865" s="8"/>
      <c r="G865" s="8"/>
      <c r="H865" s="8"/>
      <c r="N865" s="9"/>
    </row>
    <row r="866">
      <c r="A866" s="6"/>
      <c r="C866" s="7"/>
      <c r="E866" s="8"/>
      <c r="F866" s="8"/>
      <c r="G866" s="8"/>
      <c r="H866" s="8"/>
      <c r="N866" s="9"/>
    </row>
    <row r="867">
      <c r="A867" s="6"/>
      <c r="C867" s="7"/>
      <c r="E867" s="8"/>
      <c r="F867" s="8"/>
      <c r="G867" s="8"/>
      <c r="H867" s="8"/>
      <c r="N867" s="9"/>
    </row>
    <row r="868">
      <c r="A868" s="6"/>
      <c r="C868" s="7"/>
      <c r="E868" s="8"/>
      <c r="F868" s="8"/>
      <c r="G868" s="8"/>
      <c r="H868" s="8"/>
      <c r="N868" s="9"/>
    </row>
    <row r="869">
      <c r="A869" s="6"/>
      <c r="C869" s="7"/>
      <c r="E869" s="8"/>
      <c r="F869" s="8"/>
      <c r="G869" s="8"/>
      <c r="H869" s="8"/>
      <c r="N869" s="9"/>
    </row>
    <row r="870">
      <c r="A870" s="6"/>
      <c r="C870" s="7"/>
      <c r="E870" s="8"/>
      <c r="F870" s="8"/>
      <c r="G870" s="8"/>
      <c r="H870" s="8"/>
      <c r="N870" s="9"/>
    </row>
    <row r="871">
      <c r="A871" s="6"/>
      <c r="C871" s="7"/>
      <c r="E871" s="8"/>
      <c r="F871" s="8"/>
      <c r="G871" s="8"/>
      <c r="H871" s="8"/>
      <c r="N871" s="9"/>
    </row>
    <row r="872">
      <c r="A872" s="6"/>
      <c r="C872" s="7"/>
      <c r="E872" s="8"/>
      <c r="F872" s="8"/>
      <c r="G872" s="8"/>
      <c r="H872" s="8"/>
      <c r="N872" s="9"/>
    </row>
    <row r="873">
      <c r="A873" s="6"/>
      <c r="C873" s="7"/>
      <c r="E873" s="8"/>
      <c r="F873" s="8"/>
      <c r="G873" s="8"/>
      <c r="H873" s="8"/>
      <c r="N873" s="9"/>
    </row>
    <row r="874">
      <c r="A874" s="6"/>
      <c r="C874" s="7"/>
      <c r="E874" s="8"/>
      <c r="F874" s="8"/>
      <c r="G874" s="8"/>
      <c r="H874" s="8"/>
      <c r="N874" s="9"/>
    </row>
    <row r="875">
      <c r="A875" s="6"/>
      <c r="C875" s="7"/>
      <c r="E875" s="8"/>
      <c r="F875" s="8"/>
      <c r="G875" s="8"/>
      <c r="H875" s="8"/>
      <c r="N875" s="9"/>
    </row>
    <row r="876">
      <c r="A876" s="6"/>
      <c r="C876" s="7"/>
      <c r="E876" s="8"/>
      <c r="F876" s="8"/>
      <c r="G876" s="8"/>
      <c r="H876" s="8"/>
      <c r="N876" s="9"/>
    </row>
    <row r="877">
      <c r="A877" s="6"/>
      <c r="C877" s="7"/>
      <c r="E877" s="8"/>
      <c r="F877" s="8"/>
      <c r="G877" s="8"/>
      <c r="H877" s="8"/>
      <c r="N877" s="9"/>
    </row>
    <row r="878">
      <c r="A878" s="6"/>
      <c r="C878" s="7"/>
      <c r="E878" s="8"/>
      <c r="F878" s="8"/>
      <c r="G878" s="8"/>
      <c r="H878" s="8"/>
      <c r="N878" s="9"/>
    </row>
    <row r="879">
      <c r="A879" s="6"/>
      <c r="C879" s="7"/>
      <c r="E879" s="8"/>
      <c r="F879" s="8"/>
      <c r="G879" s="8"/>
      <c r="H879" s="8"/>
      <c r="N879" s="9"/>
    </row>
    <row r="880">
      <c r="A880" s="6"/>
      <c r="C880" s="7"/>
      <c r="E880" s="8"/>
      <c r="F880" s="8"/>
      <c r="G880" s="8"/>
      <c r="H880" s="8"/>
      <c r="N880" s="9"/>
    </row>
    <row r="881">
      <c r="A881" s="6"/>
      <c r="C881" s="7"/>
      <c r="E881" s="8"/>
      <c r="F881" s="8"/>
      <c r="G881" s="8"/>
      <c r="H881" s="8"/>
      <c r="N881" s="9"/>
    </row>
    <row r="882">
      <c r="A882" s="6"/>
      <c r="C882" s="7"/>
      <c r="E882" s="8"/>
      <c r="F882" s="8"/>
      <c r="G882" s="8"/>
      <c r="H882" s="8"/>
      <c r="N882" s="9"/>
    </row>
    <row r="883">
      <c r="A883" s="6"/>
      <c r="C883" s="7"/>
      <c r="E883" s="8"/>
      <c r="F883" s="8"/>
      <c r="G883" s="8"/>
      <c r="H883" s="8"/>
      <c r="N883" s="9"/>
    </row>
    <row r="884">
      <c r="A884" s="6"/>
      <c r="C884" s="7"/>
      <c r="E884" s="8"/>
      <c r="F884" s="8"/>
      <c r="G884" s="8"/>
      <c r="H884" s="8"/>
      <c r="N884" s="9"/>
    </row>
    <row r="885">
      <c r="A885" s="6"/>
      <c r="C885" s="7"/>
      <c r="E885" s="8"/>
      <c r="F885" s="8"/>
      <c r="G885" s="8"/>
      <c r="H885" s="8"/>
      <c r="N885" s="9"/>
    </row>
    <row r="886">
      <c r="A886" s="6"/>
      <c r="C886" s="7"/>
      <c r="E886" s="8"/>
      <c r="F886" s="8"/>
      <c r="G886" s="8"/>
      <c r="H886" s="8"/>
      <c r="N886" s="9"/>
    </row>
    <row r="887">
      <c r="A887" s="6"/>
      <c r="C887" s="7"/>
      <c r="E887" s="8"/>
      <c r="F887" s="8"/>
      <c r="G887" s="8"/>
      <c r="H887" s="8"/>
      <c r="N887" s="9"/>
    </row>
    <row r="888">
      <c r="A888" s="6"/>
      <c r="C888" s="7"/>
      <c r="E888" s="8"/>
      <c r="F888" s="8"/>
      <c r="G888" s="8"/>
      <c r="H888" s="8"/>
      <c r="N888" s="9"/>
    </row>
    <row r="889">
      <c r="A889" s="6"/>
      <c r="C889" s="7"/>
      <c r="E889" s="8"/>
      <c r="F889" s="8"/>
      <c r="G889" s="8"/>
      <c r="H889" s="8"/>
      <c r="N889" s="9"/>
    </row>
    <row r="890">
      <c r="A890" s="6"/>
      <c r="C890" s="7"/>
      <c r="E890" s="8"/>
      <c r="F890" s="8"/>
      <c r="G890" s="8"/>
      <c r="H890" s="8"/>
      <c r="N890" s="9"/>
    </row>
    <row r="891">
      <c r="A891" s="6"/>
      <c r="C891" s="7"/>
      <c r="E891" s="8"/>
      <c r="F891" s="8"/>
      <c r="G891" s="8"/>
      <c r="H891" s="8"/>
      <c r="N891" s="9"/>
    </row>
    <row r="892">
      <c r="A892" s="6"/>
      <c r="C892" s="7"/>
      <c r="E892" s="8"/>
      <c r="F892" s="8"/>
      <c r="G892" s="8"/>
      <c r="H892" s="8"/>
      <c r="N892" s="9"/>
    </row>
    <row r="893">
      <c r="A893" s="6"/>
      <c r="C893" s="7"/>
      <c r="E893" s="8"/>
      <c r="F893" s="8"/>
      <c r="G893" s="8"/>
      <c r="H893" s="8"/>
      <c r="N893" s="9"/>
    </row>
    <row r="894">
      <c r="A894" s="6"/>
      <c r="C894" s="7"/>
      <c r="E894" s="8"/>
      <c r="F894" s="8"/>
      <c r="G894" s="8"/>
      <c r="H894" s="8"/>
      <c r="N894" s="9"/>
    </row>
    <row r="895">
      <c r="A895" s="6"/>
      <c r="C895" s="7"/>
      <c r="E895" s="8"/>
      <c r="F895" s="8"/>
      <c r="G895" s="8"/>
      <c r="H895" s="8"/>
      <c r="N895" s="9"/>
    </row>
    <row r="896">
      <c r="A896" s="6"/>
      <c r="C896" s="7"/>
      <c r="E896" s="8"/>
      <c r="F896" s="8"/>
      <c r="G896" s="8"/>
      <c r="H896" s="8"/>
      <c r="N896" s="9"/>
    </row>
    <row r="897">
      <c r="A897" s="6"/>
      <c r="C897" s="7"/>
      <c r="E897" s="8"/>
      <c r="F897" s="8"/>
      <c r="G897" s="8"/>
      <c r="H897" s="8"/>
      <c r="N897" s="9"/>
    </row>
    <row r="898">
      <c r="A898" s="6"/>
      <c r="C898" s="7"/>
      <c r="E898" s="8"/>
      <c r="F898" s="8"/>
      <c r="G898" s="8"/>
      <c r="H898" s="8"/>
      <c r="N898" s="9"/>
    </row>
    <row r="899">
      <c r="A899" s="6"/>
      <c r="C899" s="7"/>
      <c r="E899" s="8"/>
      <c r="F899" s="8"/>
      <c r="G899" s="8"/>
      <c r="H899" s="8"/>
      <c r="N899" s="9"/>
    </row>
    <row r="900">
      <c r="A900" s="6"/>
      <c r="C900" s="7"/>
      <c r="E900" s="8"/>
      <c r="F900" s="8"/>
      <c r="G900" s="8"/>
      <c r="H900" s="8"/>
      <c r="N900" s="9"/>
    </row>
    <row r="901">
      <c r="A901" s="6"/>
      <c r="C901" s="7"/>
      <c r="E901" s="8"/>
      <c r="F901" s="8"/>
      <c r="G901" s="8"/>
      <c r="H901" s="8"/>
      <c r="N901" s="9"/>
    </row>
    <row r="902">
      <c r="A902" s="6"/>
      <c r="C902" s="7"/>
      <c r="E902" s="8"/>
      <c r="F902" s="8"/>
      <c r="G902" s="8"/>
      <c r="H902" s="8"/>
      <c r="N902" s="9"/>
    </row>
    <row r="903">
      <c r="A903" s="6"/>
      <c r="C903" s="7"/>
      <c r="E903" s="8"/>
      <c r="F903" s="8"/>
      <c r="G903" s="8"/>
      <c r="H903" s="8"/>
      <c r="N903" s="9"/>
    </row>
    <row r="904">
      <c r="A904" s="6"/>
      <c r="C904" s="7"/>
      <c r="E904" s="8"/>
      <c r="F904" s="8"/>
      <c r="G904" s="8"/>
      <c r="H904" s="8"/>
      <c r="N904" s="9"/>
    </row>
    <row r="905">
      <c r="A905" s="6"/>
      <c r="C905" s="7"/>
      <c r="E905" s="8"/>
      <c r="F905" s="8"/>
      <c r="G905" s="8"/>
      <c r="H905" s="8"/>
      <c r="N905" s="9"/>
    </row>
    <row r="906">
      <c r="A906" s="6"/>
      <c r="C906" s="7"/>
      <c r="E906" s="8"/>
      <c r="F906" s="8"/>
      <c r="G906" s="8"/>
      <c r="H906" s="8"/>
      <c r="N906" s="9"/>
    </row>
    <row r="907">
      <c r="A907" s="6"/>
      <c r="C907" s="7"/>
      <c r="E907" s="8"/>
      <c r="F907" s="8"/>
      <c r="G907" s="8"/>
      <c r="H907" s="8"/>
      <c r="N907" s="9"/>
    </row>
    <row r="908">
      <c r="A908" s="6"/>
      <c r="C908" s="7"/>
      <c r="E908" s="8"/>
      <c r="F908" s="8"/>
      <c r="G908" s="8"/>
      <c r="H908" s="8"/>
      <c r="N908" s="9"/>
    </row>
    <row r="909">
      <c r="A909" s="6"/>
      <c r="C909" s="7"/>
      <c r="E909" s="8"/>
      <c r="F909" s="8"/>
      <c r="G909" s="8"/>
      <c r="H909" s="8"/>
      <c r="N909" s="9"/>
    </row>
    <row r="910">
      <c r="A910" s="6"/>
      <c r="C910" s="7"/>
      <c r="E910" s="8"/>
      <c r="F910" s="8"/>
      <c r="G910" s="8"/>
      <c r="H910" s="8"/>
      <c r="N910" s="9"/>
    </row>
    <row r="911">
      <c r="A911" s="6"/>
      <c r="C911" s="7"/>
      <c r="E911" s="8"/>
      <c r="F911" s="8"/>
      <c r="G911" s="8"/>
      <c r="H911" s="8"/>
      <c r="N911" s="9"/>
    </row>
    <row r="912">
      <c r="A912" s="6"/>
      <c r="C912" s="7"/>
      <c r="E912" s="8"/>
      <c r="F912" s="8"/>
      <c r="G912" s="8"/>
      <c r="H912" s="8"/>
      <c r="N912" s="9"/>
    </row>
    <row r="913">
      <c r="A913" s="6"/>
      <c r="C913" s="7"/>
      <c r="E913" s="8"/>
      <c r="F913" s="8"/>
      <c r="G913" s="8"/>
      <c r="H913" s="8"/>
      <c r="N913" s="9"/>
    </row>
    <row r="914">
      <c r="A914" s="6"/>
      <c r="C914" s="7"/>
      <c r="E914" s="8"/>
      <c r="F914" s="8"/>
      <c r="G914" s="8"/>
      <c r="H914" s="8"/>
      <c r="N914" s="9"/>
    </row>
    <row r="915">
      <c r="A915" s="6"/>
      <c r="C915" s="7"/>
      <c r="E915" s="8"/>
      <c r="F915" s="8"/>
      <c r="G915" s="8"/>
      <c r="H915" s="8"/>
      <c r="N915" s="9"/>
    </row>
    <row r="916">
      <c r="A916" s="6"/>
      <c r="C916" s="7"/>
      <c r="E916" s="8"/>
      <c r="F916" s="8"/>
      <c r="G916" s="8"/>
      <c r="H916" s="8"/>
      <c r="N916" s="9"/>
    </row>
    <row r="917">
      <c r="A917" s="6"/>
      <c r="C917" s="7"/>
      <c r="E917" s="8"/>
      <c r="F917" s="8"/>
      <c r="G917" s="8"/>
      <c r="H917" s="8"/>
      <c r="N917" s="9"/>
    </row>
    <row r="918">
      <c r="A918" s="6"/>
      <c r="C918" s="7"/>
      <c r="E918" s="8"/>
      <c r="F918" s="8"/>
      <c r="G918" s="8"/>
      <c r="H918" s="8"/>
      <c r="N918" s="9"/>
    </row>
    <row r="919">
      <c r="A919" s="6"/>
      <c r="C919" s="7"/>
      <c r="E919" s="8"/>
      <c r="F919" s="8"/>
      <c r="G919" s="8"/>
      <c r="H919" s="8"/>
      <c r="N919" s="9"/>
    </row>
    <row r="920">
      <c r="A920" s="6"/>
      <c r="C920" s="7"/>
      <c r="E920" s="8"/>
      <c r="F920" s="8"/>
      <c r="G920" s="8"/>
      <c r="H920" s="8"/>
      <c r="N920" s="9"/>
    </row>
    <row r="921">
      <c r="A921" s="6"/>
      <c r="C921" s="7"/>
      <c r="E921" s="8"/>
      <c r="F921" s="8"/>
      <c r="G921" s="8"/>
      <c r="H921" s="8"/>
      <c r="N921" s="9"/>
    </row>
    <row r="922">
      <c r="A922" s="6"/>
      <c r="C922" s="7"/>
      <c r="E922" s="8"/>
      <c r="F922" s="8"/>
      <c r="G922" s="8"/>
      <c r="H922" s="8"/>
      <c r="N922" s="9"/>
    </row>
    <row r="923">
      <c r="A923" s="6"/>
      <c r="C923" s="7"/>
      <c r="E923" s="8"/>
      <c r="F923" s="8"/>
      <c r="G923" s="8"/>
      <c r="H923" s="8"/>
      <c r="N923" s="9"/>
    </row>
    <row r="924">
      <c r="A924" s="6"/>
      <c r="C924" s="7"/>
      <c r="E924" s="8"/>
      <c r="F924" s="8"/>
      <c r="G924" s="8"/>
      <c r="H924" s="8"/>
      <c r="N924" s="9"/>
    </row>
    <row r="925">
      <c r="A925" s="6"/>
      <c r="C925" s="7"/>
      <c r="E925" s="8"/>
      <c r="F925" s="8"/>
      <c r="G925" s="8"/>
      <c r="H925" s="8"/>
      <c r="N925" s="9"/>
    </row>
    <row r="926">
      <c r="A926" s="6"/>
      <c r="C926" s="7"/>
      <c r="E926" s="8"/>
      <c r="F926" s="8"/>
      <c r="G926" s="8"/>
      <c r="H926" s="8"/>
      <c r="N926" s="9"/>
    </row>
    <row r="927">
      <c r="A927" s="6"/>
      <c r="C927" s="7"/>
      <c r="E927" s="8"/>
      <c r="F927" s="8"/>
      <c r="G927" s="8"/>
      <c r="H927" s="8"/>
      <c r="N927" s="9"/>
    </row>
    <row r="928">
      <c r="A928" s="6"/>
      <c r="C928" s="7"/>
      <c r="E928" s="8"/>
      <c r="F928" s="8"/>
      <c r="G928" s="8"/>
      <c r="H928" s="8"/>
      <c r="N928" s="9"/>
    </row>
    <row r="929">
      <c r="A929" s="6"/>
      <c r="C929" s="7"/>
      <c r="E929" s="8"/>
      <c r="F929" s="8"/>
      <c r="G929" s="8"/>
      <c r="H929" s="8"/>
      <c r="N929" s="9"/>
    </row>
    <row r="930">
      <c r="A930" s="6"/>
      <c r="C930" s="7"/>
      <c r="E930" s="8"/>
      <c r="F930" s="8"/>
      <c r="G930" s="8"/>
      <c r="H930" s="8"/>
      <c r="N930" s="9"/>
    </row>
    <row r="931">
      <c r="A931" s="6"/>
      <c r="C931" s="7"/>
      <c r="E931" s="8"/>
      <c r="F931" s="8"/>
      <c r="G931" s="8"/>
      <c r="H931" s="8"/>
      <c r="N931" s="9"/>
    </row>
    <row r="932">
      <c r="A932" s="6"/>
      <c r="C932" s="7"/>
      <c r="E932" s="8"/>
      <c r="F932" s="8"/>
      <c r="G932" s="8"/>
      <c r="H932" s="8"/>
      <c r="N932" s="9"/>
    </row>
    <row r="933">
      <c r="A933" s="6"/>
      <c r="C933" s="7"/>
      <c r="E933" s="8"/>
      <c r="F933" s="8"/>
      <c r="G933" s="8"/>
      <c r="H933" s="8"/>
      <c r="N933" s="9"/>
    </row>
    <row r="934">
      <c r="A934" s="6"/>
      <c r="C934" s="7"/>
      <c r="E934" s="8"/>
      <c r="F934" s="8"/>
      <c r="G934" s="8"/>
      <c r="H934" s="8"/>
      <c r="N934" s="9"/>
    </row>
    <row r="935">
      <c r="A935" s="6"/>
      <c r="C935" s="7"/>
      <c r="E935" s="8"/>
      <c r="F935" s="8"/>
      <c r="G935" s="8"/>
      <c r="H935" s="8"/>
      <c r="N935" s="9"/>
    </row>
    <row r="936">
      <c r="A936" s="6"/>
      <c r="C936" s="7"/>
      <c r="E936" s="8"/>
      <c r="F936" s="8"/>
      <c r="G936" s="8"/>
      <c r="H936" s="8"/>
      <c r="N936" s="9"/>
    </row>
    <row r="937">
      <c r="A937" s="6"/>
      <c r="C937" s="7"/>
      <c r="E937" s="8"/>
      <c r="F937" s="8"/>
      <c r="G937" s="8"/>
      <c r="H937" s="8"/>
      <c r="N937" s="9"/>
    </row>
    <row r="938">
      <c r="A938" s="6"/>
      <c r="C938" s="7"/>
      <c r="E938" s="8"/>
      <c r="F938" s="8"/>
      <c r="G938" s="8"/>
      <c r="H938" s="8"/>
      <c r="N938" s="9"/>
    </row>
    <row r="939">
      <c r="A939" s="6"/>
      <c r="C939" s="7"/>
      <c r="E939" s="8"/>
      <c r="F939" s="8"/>
      <c r="G939" s="8"/>
      <c r="H939" s="8"/>
      <c r="N939" s="9"/>
    </row>
    <row r="940">
      <c r="A940" s="6"/>
      <c r="C940" s="7"/>
      <c r="E940" s="8"/>
      <c r="F940" s="8"/>
      <c r="G940" s="8"/>
      <c r="H940" s="8"/>
      <c r="N940" s="9"/>
    </row>
    <row r="941">
      <c r="A941" s="6"/>
      <c r="C941" s="7"/>
      <c r="E941" s="8"/>
      <c r="F941" s="8"/>
      <c r="G941" s="8"/>
      <c r="H941" s="8"/>
      <c r="N941" s="9"/>
    </row>
    <row r="942">
      <c r="A942" s="6"/>
      <c r="C942" s="7"/>
      <c r="E942" s="8"/>
      <c r="F942" s="8"/>
      <c r="G942" s="8"/>
      <c r="H942" s="8"/>
      <c r="N942" s="9"/>
    </row>
    <row r="943">
      <c r="A943" s="6"/>
      <c r="C943" s="7"/>
      <c r="E943" s="8"/>
      <c r="F943" s="8"/>
      <c r="G943" s="8"/>
      <c r="H943" s="8"/>
      <c r="N943" s="9"/>
    </row>
    <row r="944">
      <c r="A944" s="6"/>
      <c r="C944" s="7"/>
      <c r="E944" s="8"/>
      <c r="F944" s="8"/>
      <c r="G944" s="8"/>
      <c r="H944" s="8"/>
      <c r="N944" s="9"/>
    </row>
    <row r="945">
      <c r="A945" s="6"/>
      <c r="C945" s="7"/>
      <c r="E945" s="8"/>
      <c r="F945" s="8"/>
      <c r="G945" s="8"/>
      <c r="H945" s="8"/>
      <c r="N945" s="9"/>
    </row>
    <row r="946">
      <c r="A946" s="6"/>
      <c r="C946" s="7"/>
      <c r="E946" s="8"/>
      <c r="F946" s="8"/>
      <c r="G946" s="8"/>
      <c r="H946" s="8"/>
      <c r="N946" s="9"/>
    </row>
    <row r="947">
      <c r="A947" s="6"/>
      <c r="C947" s="7"/>
      <c r="E947" s="8"/>
      <c r="F947" s="8"/>
      <c r="G947" s="8"/>
      <c r="H947" s="8"/>
      <c r="N947" s="9"/>
    </row>
    <row r="948">
      <c r="A948" s="6"/>
      <c r="C948" s="7"/>
      <c r="E948" s="8"/>
      <c r="F948" s="8"/>
      <c r="G948" s="8"/>
      <c r="H948" s="8"/>
      <c r="N948" s="9"/>
    </row>
    <row r="949">
      <c r="A949" s="6"/>
      <c r="C949" s="7"/>
      <c r="E949" s="8"/>
      <c r="F949" s="8"/>
      <c r="G949" s="8"/>
      <c r="H949" s="8"/>
      <c r="N949" s="9"/>
    </row>
    <row r="950">
      <c r="A950" s="6"/>
      <c r="C950" s="7"/>
      <c r="E950" s="8"/>
      <c r="F950" s="8"/>
      <c r="G950" s="8"/>
      <c r="H950" s="8"/>
      <c r="N950" s="9"/>
    </row>
    <row r="951">
      <c r="A951" s="6"/>
      <c r="C951" s="7"/>
      <c r="E951" s="8"/>
      <c r="F951" s="8"/>
      <c r="G951" s="8"/>
      <c r="H951" s="8"/>
      <c r="N951" s="9"/>
    </row>
    <row r="952">
      <c r="A952" s="6"/>
      <c r="C952" s="7"/>
      <c r="E952" s="8"/>
      <c r="F952" s="8"/>
      <c r="G952" s="8"/>
      <c r="H952" s="8"/>
      <c r="N952" s="9"/>
    </row>
    <row r="953">
      <c r="A953" s="6"/>
      <c r="C953" s="7"/>
      <c r="E953" s="8"/>
      <c r="F953" s="8"/>
      <c r="G953" s="8"/>
      <c r="H953" s="8"/>
      <c r="N953" s="9"/>
    </row>
    <row r="954">
      <c r="A954" s="6"/>
      <c r="C954" s="7"/>
      <c r="E954" s="8"/>
      <c r="F954" s="8"/>
      <c r="G954" s="8"/>
      <c r="H954" s="8"/>
      <c r="N954" s="9"/>
    </row>
    <row r="955">
      <c r="A955" s="6"/>
      <c r="C955" s="7"/>
      <c r="E955" s="8"/>
      <c r="F955" s="8"/>
      <c r="G955" s="8"/>
      <c r="H955" s="8"/>
      <c r="N955" s="9"/>
    </row>
    <row r="956">
      <c r="A956" s="6"/>
      <c r="C956" s="7"/>
      <c r="E956" s="8"/>
      <c r="F956" s="8"/>
      <c r="G956" s="8"/>
      <c r="H956" s="8"/>
      <c r="N956" s="9"/>
    </row>
    <row r="957">
      <c r="A957" s="6"/>
      <c r="C957" s="7"/>
      <c r="E957" s="8"/>
      <c r="F957" s="8"/>
      <c r="G957" s="8"/>
      <c r="H957" s="8"/>
      <c r="N957" s="9"/>
    </row>
    <row r="958">
      <c r="A958" s="6"/>
      <c r="C958" s="7"/>
      <c r="E958" s="8"/>
      <c r="F958" s="8"/>
      <c r="G958" s="8"/>
      <c r="H958" s="8"/>
      <c r="N958" s="9"/>
    </row>
    <row r="959">
      <c r="A959" s="6"/>
      <c r="C959" s="7"/>
      <c r="E959" s="8"/>
      <c r="F959" s="8"/>
      <c r="G959" s="8"/>
      <c r="H959" s="8"/>
      <c r="N959" s="9"/>
    </row>
    <row r="960">
      <c r="A960" s="6"/>
      <c r="C960" s="7"/>
      <c r="E960" s="8"/>
      <c r="F960" s="8"/>
      <c r="G960" s="8"/>
      <c r="H960" s="8"/>
      <c r="N960" s="9"/>
    </row>
    <row r="961">
      <c r="A961" s="6"/>
      <c r="C961" s="7"/>
      <c r="E961" s="8"/>
      <c r="F961" s="8"/>
      <c r="G961" s="8"/>
      <c r="H961" s="8"/>
      <c r="N961" s="9"/>
    </row>
    <row r="962">
      <c r="A962" s="6"/>
      <c r="C962" s="7"/>
      <c r="E962" s="8"/>
      <c r="F962" s="8"/>
      <c r="G962" s="8"/>
      <c r="H962" s="8"/>
      <c r="N962" s="9"/>
    </row>
    <row r="963">
      <c r="A963" s="6"/>
      <c r="C963" s="7"/>
      <c r="E963" s="8"/>
      <c r="F963" s="8"/>
      <c r="G963" s="8"/>
      <c r="H963" s="8"/>
      <c r="N963" s="9"/>
    </row>
    <row r="964">
      <c r="A964" s="6"/>
      <c r="C964" s="7"/>
      <c r="E964" s="8"/>
      <c r="F964" s="8"/>
      <c r="G964" s="8"/>
      <c r="H964" s="8"/>
      <c r="N964" s="9"/>
    </row>
    <row r="965">
      <c r="A965" s="6"/>
      <c r="C965" s="7"/>
      <c r="E965" s="8"/>
      <c r="F965" s="8"/>
      <c r="G965" s="8"/>
      <c r="H965" s="8"/>
      <c r="N965" s="9"/>
    </row>
    <row r="966">
      <c r="A966" s="6"/>
      <c r="C966" s="7"/>
      <c r="E966" s="8"/>
      <c r="F966" s="8"/>
      <c r="G966" s="8"/>
      <c r="H966" s="8"/>
      <c r="N966" s="9"/>
    </row>
    <row r="967">
      <c r="A967" s="6"/>
      <c r="C967" s="7"/>
      <c r="E967" s="8"/>
      <c r="F967" s="8"/>
      <c r="G967" s="8"/>
      <c r="H967" s="8"/>
      <c r="N967" s="9"/>
    </row>
    <row r="968">
      <c r="A968" s="6"/>
      <c r="C968" s="7"/>
      <c r="E968" s="8"/>
      <c r="F968" s="8"/>
      <c r="G968" s="8"/>
      <c r="H968" s="8"/>
      <c r="N968" s="9"/>
    </row>
    <row r="969">
      <c r="A969" s="6"/>
      <c r="C969" s="7"/>
      <c r="E969" s="8"/>
      <c r="F969" s="8"/>
      <c r="G969" s="8"/>
      <c r="H969" s="8"/>
      <c r="N969" s="9"/>
    </row>
    <row r="970">
      <c r="A970" s="6"/>
      <c r="C970" s="7"/>
      <c r="E970" s="8"/>
      <c r="F970" s="8"/>
      <c r="G970" s="8"/>
      <c r="H970" s="8"/>
      <c r="N970" s="9"/>
    </row>
    <row r="971">
      <c r="A971" s="6"/>
      <c r="C971" s="7"/>
      <c r="E971" s="8"/>
      <c r="F971" s="8"/>
      <c r="G971" s="8"/>
      <c r="H971" s="8"/>
      <c r="N971" s="9"/>
    </row>
    <row r="972">
      <c r="A972" s="6"/>
      <c r="C972" s="7"/>
      <c r="E972" s="8"/>
      <c r="F972" s="8"/>
      <c r="G972" s="8"/>
      <c r="H972" s="8"/>
      <c r="N972" s="9"/>
    </row>
    <row r="973">
      <c r="A973" s="6"/>
      <c r="C973" s="7"/>
      <c r="E973" s="8"/>
      <c r="F973" s="8"/>
      <c r="G973" s="8"/>
      <c r="H973" s="8"/>
      <c r="N973" s="9"/>
    </row>
    <row r="974">
      <c r="A974" s="6"/>
      <c r="C974" s="7"/>
      <c r="E974" s="8"/>
      <c r="F974" s="8"/>
      <c r="G974" s="8"/>
      <c r="H974" s="8"/>
      <c r="N974" s="9"/>
    </row>
    <row r="975">
      <c r="A975" s="6"/>
      <c r="C975" s="7"/>
      <c r="E975" s="8"/>
      <c r="F975" s="8"/>
      <c r="G975" s="8"/>
      <c r="H975" s="8"/>
      <c r="N975" s="9"/>
    </row>
    <row r="976">
      <c r="A976" s="6"/>
      <c r="C976" s="7"/>
      <c r="E976" s="8"/>
      <c r="F976" s="8"/>
      <c r="G976" s="8"/>
      <c r="H976" s="8"/>
      <c r="N976" s="9"/>
    </row>
    <row r="977">
      <c r="A977" s="6"/>
      <c r="C977" s="7"/>
      <c r="E977" s="8"/>
      <c r="F977" s="8"/>
      <c r="G977" s="8"/>
      <c r="H977" s="8"/>
      <c r="N977" s="9"/>
    </row>
    <row r="978">
      <c r="A978" s="6"/>
      <c r="C978" s="7"/>
      <c r="E978" s="8"/>
      <c r="F978" s="8"/>
      <c r="G978" s="8"/>
      <c r="H978" s="8"/>
      <c r="N978" s="9"/>
    </row>
    <row r="979">
      <c r="A979" s="6"/>
      <c r="C979" s="7"/>
      <c r="E979" s="8"/>
      <c r="F979" s="8"/>
      <c r="G979" s="8"/>
      <c r="H979" s="8"/>
      <c r="N979" s="9"/>
    </row>
    <row r="980">
      <c r="A980" s="6"/>
      <c r="C980" s="7"/>
      <c r="E980" s="8"/>
      <c r="F980" s="8"/>
      <c r="G980" s="8"/>
      <c r="H980" s="8"/>
      <c r="N980" s="9"/>
    </row>
    <row r="981">
      <c r="A981" s="6"/>
      <c r="C981" s="7"/>
      <c r="E981" s="8"/>
      <c r="F981" s="8"/>
      <c r="G981" s="8"/>
      <c r="H981" s="8"/>
      <c r="N981" s="9"/>
    </row>
    <row r="982">
      <c r="A982" s="6"/>
      <c r="C982" s="7"/>
      <c r="E982" s="8"/>
      <c r="F982" s="8"/>
      <c r="G982" s="8"/>
      <c r="H982" s="8"/>
      <c r="N982" s="9"/>
    </row>
    <row r="983">
      <c r="A983" s="6"/>
      <c r="C983" s="7"/>
      <c r="E983" s="8"/>
      <c r="F983" s="8"/>
      <c r="G983" s="8"/>
      <c r="H983" s="8"/>
      <c r="N983" s="9"/>
    </row>
    <row r="984">
      <c r="A984" s="6"/>
      <c r="C984" s="7"/>
      <c r="E984" s="8"/>
      <c r="F984" s="8"/>
      <c r="G984" s="8"/>
      <c r="H984" s="8"/>
      <c r="N984" s="9"/>
    </row>
    <row r="985">
      <c r="A985" s="6"/>
      <c r="C985" s="7"/>
      <c r="E985" s="8"/>
      <c r="F985" s="8"/>
      <c r="G985" s="8"/>
      <c r="H985" s="8"/>
      <c r="N985" s="9"/>
    </row>
    <row r="986">
      <c r="A986" s="6"/>
      <c r="C986" s="7"/>
      <c r="E986" s="8"/>
      <c r="F986" s="8"/>
      <c r="G986" s="8"/>
      <c r="H986" s="8"/>
      <c r="N986" s="9"/>
    </row>
    <row r="987">
      <c r="A987" s="6"/>
      <c r="C987" s="7"/>
      <c r="E987" s="8"/>
      <c r="F987" s="8"/>
      <c r="G987" s="8"/>
      <c r="H987" s="8"/>
      <c r="N987" s="9"/>
    </row>
    <row r="988">
      <c r="A988" s="6"/>
      <c r="C988" s="7"/>
      <c r="E988" s="8"/>
      <c r="F988" s="8"/>
      <c r="G988" s="8"/>
      <c r="H988" s="8"/>
      <c r="N988" s="9"/>
    </row>
    <row r="989">
      <c r="A989" s="6"/>
      <c r="C989" s="7"/>
      <c r="E989" s="8"/>
      <c r="F989" s="8"/>
      <c r="G989" s="8"/>
      <c r="H989" s="8"/>
      <c r="N989" s="9"/>
    </row>
    <row r="990">
      <c r="A990" s="6"/>
      <c r="C990" s="7"/>
      <c r="E990" s="8"/>
      <c r="F990" s="8"/>
      <c r="G990" s="8"/>
      <c r="H990" s="8"/>
      <c r="N990" s="9"/>
    </row>
    <row r="991">
      <c r="A991" s="6"/>
      <c r="C991" s="7"/>
      <c r="E991" s="8"/>
      <c r="F991" s="8"/>
      <c r="G991" s="8"/>
      <c r="H991" s="8"/>
      <c r="N991" s="9"/>
    </row>
    <row r="992">
      <c r="A992" s="6"/>
      <c r="C992" s="7"/>
      <c r="E992" s="8"/>
      <c r="F992" s="8"/>
      <c r="G992" s="8"/>
      <c r="H992" s="8"/>
      <c r="N992" s="9"/>
    </row>
    <row r="993">
      <c r="A993" s="6"/>
      <c r="C993" s="7"/>
      <c r="E993" s="8"/>
      <c r="F993" s="8"/>
      <c r="G993" s="8"/>
      <c r="H993" s="8"/>
      <c r="N993" s="9"/>
    </row>
    <row r="994">
      <c r="A994" s="6"/>
      <c r="C994" s="7"/>
      <c r="E994" s="8"/>
      <c r="F994" s="8"/>
      <c r="G994" s="8"/>
      <c r="H994" s="8"/>
      <c r="N994" s="9"/>
    </row>
    <row r="995">
      <c r="A995" s="6"/>
      <c r="C995" s="7"/>
      <c r="E995" s="8"/>
      <c r="F995" s="8"/>
      <c r="G995" s="8"/>
      <c r="H995" s="8"/>
      <c r="N995" s="9"/>
    </row>
    <row r="996">
      <c r="A996" s="6"/>
      <c r="C996" s="7"/>
      <c r="E996" s="8"/>
      <c r="F996" s="8"/>
      <c r="G996" s="8"/>
      <c r="H996" s="8"/>
      <c r="N996" s="9"/>
    </row>
    <row r="997">
      <c r="A997" s="6"/>
      <c r="C997" s="7"/>
      <c r="E997" s="8"/>
      <c r="F997" s="8"/>
      <c r="G997" s="8"/>
      <c r="H997" s="8"/>
      <c r="N997" s="9"/>
    </row>
    <row r="998">
      <c r="A998" s="6"/>
      <c r="C998" s="7"/>
      <c r="E998" s="8"/>
      <c r="F998" s="8"/>
      <c r="G998" s="8"/>
      <c r="H998" s="8"/>
      <c r="N998" s="9"/>
    </row>
    <row r="999">
      <c r="A999" s="6"/>
      <c r="C999" s="7"/>
      <c r="E999" s="8"/>
      <c r="F999" s="8"/>
      <c r="G999" s="8"/>
      <c r="H999" s="8"/>
      <c r="N999" s="9"/>
    </row>
    <row r="1000">
      <c r="A1000" s="6"/>
      <c r="C1000" s="7"/>
      <c r="E1000" s="8"/>
      <c r="F1000" s="8"/>
      <c r="G1000" s="8"/>
      <c r="H1000" s="8"/>
      <c r="N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2" width="18.38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>
      <c r="A2" s="1">
        <v>1.0</v>
      </c>
      <c r="B2" s="1">
        <v>1.0</v>
      </c>
      <c r="C2" s="1" t="s">
        <v>38</v>
      </c>
      <c r="D2" s="1">
        <v>4444.0</v>
      </c>
      <c r="E2" s="1" t="s">
        <v>39</v>
      </c>
      <c r="F2" s="1" t="s">
        <v>40</v>
      </c>
      <c r="G2" s="1" t="s">
        <v>41</v>
      </c>
      <c r="H2" s="1" t="s">
        <v>42</v>
      </c>
      <c r="I2" s="1">
        <v>300.0</v>
      </c>
      <c r="J2" s="1">
        <v>300.0</v>
      </c>
      <c r="L2" s="1" t="s">
        <v>43</v>
      </c>
      <c r="M2" s="1" t="s">
        <v>44</v>
      </c>
      <c r="Q2" s="1">
        <v>1.0</v>
      </c>
      <c r="R2" s="1">
        <v>0.0</v>
      </c>
    </row>
    <row r="3">
      <c r="A3" s="10"/>
      <c r="H3" s="10"/>
      <c r="M3" s="10"/>
    </row>
    <row r="4">
      <c r="A4" s="10"/>
      <c r="H4" s="10"/>
      <c r="M4" s="10"/>
    </row>
    <row r="5">
      <c r="A5" s="10"/>
      <c r="H5" s="10"/>
      <c r="M5" s="10"/>
    </row>
    <row r="6">
      <c r="A6" s="10"/>
      <c r="H6" s="10"/>
      <c r="M6" s="10"/>
    </row>
    <row r="7">
      <c r="A7" s="10"/>
      <c r="H7" s="10"/>
      <c r="M7" s="10"/>
    </row>
    <row r="8">
      <c r="A8" s="10"/>
      <c r="H8" s="10"/>
      <c r="M8" s="10"/>
    </row>
    <row r="9">
      <c r="A9" s="10"/>
      <c r="H9" s="10"/>
      <c r="M9" s="10"/>
    </row>
    <row r="10">
      <c r="A10" s="10"/>
      <c r="H10" s="10"/>
      <c r="M10" s="10"/>
    </row>
    <row r="11">
      <c r="A11" s="10"/>
      <c r="H11" s="10"/>
      <c r="M11" s="10"/>
    </row>
    <row r="12">
      <c r="A12" s="10"/>
      <c r="H12" s="10"/>
      <c r="M12" s="10"/>
    </row>
    <row r="13">
      <c r="A13" s="10"/>
      <c r="H13" s="10"/>
      <c r="M13" s="10"/>
    </row>
    <row r="14">
      <c r="A14" s="10"/>
      <c r="H14" s="10"/>
      <c r="M14" s="10"/>
    </row>
    <row r="15">
      <c r="A15" s="10"/>
      <c r="H15" s="10"/>
      <c r="M15" s="10"/>
    </row>
    <row r="16">
      <c r="A16" s="10"/>
      <c r="H16" s="10"/>
      <c r="M16" s="10"/>
    </row>
    <row r="17">
      <c r="A17" s="10"/>
      <c r="H17" s="10"/>
      <c r="M17" s="10"/>
    </row>
    <row r="18">
      <c r="A18" s="10"/>
      <c r="H18" s="10"/>
      <c r="M18" s="10"/>
    </row>
    <row r="19">
      <c r="A19" s="10"/>
      <c r="H19" s="10"/>
      <c r="M19" s="10"/>
    </row>
    <row r="20">
      <c r="A20" s="10"/>
      <c r="H20" s="10"/>
      <c r="M20" s="10"/>
    </row>
    <row r="21">
      <c r="A21" s="10"/>
      <c r="H21" s="10"/>
      <c r="M21" s="10"/>
    </row>
    <row r="22">
      <c r="A22" s="10"/>
      <c r="H22" s="10"/>
      <c r="M22" s="10"/>
    </row>
    <row r="23">
      <c r="A23" s="10"/>
      <c r="H23" s="10"/>
      <c r="M23" s="10"/>
    </row>
    <row r="24">
      <c r="A24" s="10"/>
      <c r="H24" s="10"/>
      <c r="M24" s="10"/>
    </row>
    <row r="25">
      <c r="A25" s="10"/>
      <c r="H25" s="10"/>
      <c r="M25" s="10"/>
    </row>
    <row r="26">
      <c r="A26" s="10"/>
      <c r="H26" s="10"/>
      <c r="M26" s="10"/>
    </row>
    <row r="27">
      <c r="A27" s="10"/>
      <c r="H27" s="10"/>
      <c r="M27" s="10"/>
    </row>
    <row r="28">
      <c r="A28" s="10"/>
      <c r="H28" s="10"/>
      <c r="M28" s="10"/>
    </row>
    <row r="29">
      <c r="A29" s="10"/>
      <c r="H29" s="10"/>
      <c r="M29" s="10"/>
    </row>
    <row r="30">
      <c r="A30" s="10"/>
      <c r="H30" s="10"/>
      <c r="M30" s="10"/>
    </row>
    <row r="31">
      <c r="A31" s="10"/>
      <c r="H31" s="10"/>
      <c r="M31" s="10"/>
    </row>
    <row r="32">
      <c r="A32" s="10"/>
      <c r="H32" s="10"/>
      <c r="M32" s="10"/>
    </row>
    <row r="33">
      <c r="A33" s="10"/>
      <c r="H33" s="10"/>
      <c r="M33" s="10"/>
    </row>
    <row r="34">
      <c r="A34" s="10"/>
      <c r="H34" s="10"/>
      <c r="M34" s="10"/>
    </row>
    <row r="35">
      <c r="A35" s="10"/>
      <c r="H35" s="10"/>
      <c r="M35" s="10"/>
    </row>
    <row r="36">
      <c r="A36" s="10"/>
      <c r="H36" s="10"/>
      <c r="M36" s="10"/>
    </row>
    <row r="37">
      <c r="A37" s="10"/>
      <c r="H37" s="10"/>
      <c r="M37" s="10"/>
    </row>
    <row r="38">
      <c r="A38" s="10"/>
      <c r="H38" s="10"/>
      <c r="M38" s="10"/>
    </row>
    <row r="39">
      <c r="A39" s="10"/>
      <c r="H39" s="10"/>
      <c r="M39" s="10"/>
    </row>
    <row r="40">
      <c r="A40" s="10"/>
      <c r="H40" s="10"/>
      <c r="M40" s="10"/>
    </row>
    <row r="41">
      <c r="A41" s="10"/>
      <c r="H41" s="10"/>
      <c r="M41" s="10"/>
    </row>
    <row r="42">
      <c r="A42" s="10"/>
      <c r="H42" s="10"/>
      <c r="M42" s="10"/>
    </row>
    <row r="43">
      <c r="A43" s="10"/>
      <c r="H43" s="10"/>
      <c r="M43" s="10"/>
    </row>
    <row r="44">
      <c r="A44" s="10"/>
      <c r="H44" s="10"/>
      <c r="M44" s="10"/>
    </row>
    <row r="45">
      <c r="A45" s="10"/>
      <c r="H45" s="10"/>
      <c r="M45" s="10"/>
    </row>
    <row r="46">
      <c r="A46" s="10"/>
      <c r="H46" s="10"/>
      <c r="M46" s="10"/>
    </row>
    <row r="47">
      <c r="A47" s="10"/>
      <c r="H47" s="10"/>
      <c r="M47" s="10"/>
    </row>
    <row r="48">
      <c r="A48" s="10"/>
      <c r="H48" s="10"/>
      <c r="M48" s="10"/>
    </row>
    <row r="49">
      <c r="A49" s="10"/>
      <c r="H49" s="10"/>
      <c r="M49" s="10"/>
    </row>
    <row r="50">
      <c r="A50" s="10"/>
      <c r="H50" s="10"/>
      <c r="M50" s="10"/>
    </row>
    <row r="51">
      <c r="A51" s="10"/>
      <c r="H51" s="10"/>
      <c r="M51" s="10"/>
    </row>
    <row r="52">
      <c r="A52" s="10"/>
      <c r="H52" s="10"/>
      <c r="M52" s="10"/>
    </row>
    <row r="53">
      <c r="A53" s="10"/>
      <c r="H53" s="10"/>
      <c r="M53" s="10"/>
    </row>
    <row r="54">
      <c r="A54" s="10"/>
      <c r="H54" s="10"/>
      <c r="M54" s="10"/>
    </row>
    <row r="55">
      <c r="A55" s="10"/>
      <c r="H55" s="10"/>
      <c r="M55" s="10"/>
    </row>
    <row r="56">
      <c r="A56" s="10"/>
      <c r="H56" s="10"/>
      <c r="M56" s="10"/>
    </row>
    <row r="57">
      <c r="A57" s="10"/>
      <c r="H57" s="10"/>
      <c r="M57" s="10"/>
    </row>
    <row r="58">
      <c r="A58" s="10"/>
      <c r="H58" s="10"/>
      <c r="M58" s="10"/>
    </row>
    <row r="59">
      <c r="A59" s="10"/>
      <c r="H59" s="10"/>
      <c r="M59" s="10"/>
    </row>
    <row r="60">
      <c r="A60" s="10"/>
      <c r="H60" s="10"/>
      <c r="M60" s="10"/>
    </row>
    <row r="61">
      <c r="A61" s="10"/>
      <c r="H61" s="10"/>
      <c r="M61" s="10"/>
    </row>
    <row r="62">
      <c r="A62" s="10"/>
      <c r="H62" s="10"/>
      <c r="M62" s="10"/>
    </row>
    <row r="63">
      <c r="A63" s="10"/>
      <c r="H63" s="10"/>
      <c r="M63" s="10"/>
    </row>
    <row r="64">
      <c r="A64" s="10"/>
      <c r="H64" s="10"/>
      <c r="M64" s="10"/>
    </row>
    <row r="65">
      <c r="A65" s="10"/>
      <c r="H65" s="10"/>
      <c r="M65" s="10"/>
    </row>
    <row r="66">
      <c r="A66" s="10"/>
      <c r="H66" s="10"/>
      <c r="M66" s="10"/>
    </row>
    <row r="67">
      <c r="A67" s="10"/>
      <c r="H67" s="10"/>
      <c r="M67" s="10"/>
    </row>
    <row r="68">
      <c r="A68" s="10"/>
      <c r="H68" s="10"/>
      <c r="M68" s="10"/>
    </row>
    <row r="69">
      <c r="A69" s="10"/>
      <c r="H69" s="10"/>
      <c r="M69" s="10"/>
    </row>
    <row r="70">
      <c r="A70" s="10"/>
      <c r="H70" s="10"/>
      <c r="M70" s="10"/>
    </row>
    <row r="71">
      <c r="A71" s="10"/>
      <c r="H71" s="10"/>
      <c r="M71" s="10"/>
    </row>
    <row r="72">
      <c r="A72" s="10"/>
      <c r="H72" s="10"/>
      <c r="M72" s="10"/>
    </row>
    <row r="73">
      <c r="A73" s="10"/>
      <c r="H73" s="10"/>
      <c r="M73" s="10"/>
    </row>
    <row r="74">
      <c r="A74" s="10"/>
      <c r="H74" s="10"/>
      <c r="M74" s="10"/>
    </row>
    <row r="75">
      <c r="A75" s="10"/>
      <c r="H75" s="10"/>
      <c r="M75" s="10"/>
    </row>
    <row r="76">
      <c r="A76" s="10"/>
      <c r="H76" s="10"/>
      <c r="M76" s="10"/>
    </row>
    <row r="77">
      <c r="A77" s="10"/>
      <c r="H77" s="10"/>
      <c r="M77" s="10"/>
    </row>
    <row r="78">
      <c r="A78" s="10"/>
      <c r="H78" s="10"/>
      <c r="M78" s="10"/>
    </row>
    <row r="79">
      <c r="A79" s="10"/>
      <c r="H79" s="10"/>
      <c r="M79" s="10"/>
    </row>
    <row r="80">
      <c r="A80" s="10"/>
      <c r="H80" s="10"/>
      <c r="M80" s="10"/>
    </row>
    <row r="81">
      <c r="A81" s="10"/>
      <c r="H81" s="10"/>
      <c r="M81" s="10"/>
    </row>
    <row r="82">
      <c r="A82" s="10"/>
      <c r="H82" s="10"/>
      <c r="M82" s="10"/>
    </row>
    <row r="83">
      <c r="A83" s="10"/>
      <c r="H83" s="10"/>
      <c r="M83" s="10"/>
    </row>
    <row r="84">
      <c r="A84" s="10"/>
      <c r="H84" s="10"/>
      <c r="M84" s="10"/>
    </row>
    <row r="85">
      <c r="A85" s="10"/>
      <c r="H85" s="10"/>
      <c r="M85" s="10"/>
    </row>
    <row r="86">
      <c r="A86" s="10"/>
      <c r="H86" s="10"/>
      <c r="M86" s="10"/>
    </row>
    <row r="87">
      <c r="A87" s="10"/>
      <c r="H87" s="10"/>
      <c r="M87" s="10"/>
    </row>
    <row r="88">
      <c r="A88" s="10"/>
      <c r="H88" s="10"/>
      <c r="M88" s="10"/>
    </row>
    <row r="89">
      <c r="A89" s="10"/>
      <c r="H89" s="10"/>
      <c r="M89" s="10"/>
    </row>
    <row r="90">
      <c r="A90" s="10"/>
      <c r="H90" s="10"/>
      <c r="M90" s="10"/>
    </row>
    <row r="91">
      <c r="A91" s="10"/>
      <c r="H91" s="10"/>
      <c r="M91" s="10"/>
    </row>
    <row r="92">
      <c r="A92" s="10"/>
      <c r="H92" s="10"/>
      <c r="M92" s="10"/>
    </row>
    <row r="93">
      <c r="A93" s="10"/>
      <c r="H93" s="10"/>
      <c r="M93" s="10"/>
    </row>
    <row r="94">
      <c r="A94" s="10"/>
      <c r="H94" s="10"/>
      <c r="M94" s="10"/>
    </row>
    <row r="95">
      <c r="A95" s="10"/>
      <c r="H95" s="10"/>
      <c r="M95" s="10"/>
    </row>
    <row r="96">
      <c r="A96" s="10"/>
      <c r="H96" s="10"/>
      <c r="M96" s="10"/>
    </row>
    <row r="97">
      <c r="A97" s="10"/>
      <c r="H97" s="10"/>
      <c r="M97" s="10"/>
    </row>
    <row r="98">
      <c r="A98" s="10"/>
      <c r="H98" s="10"/>
      <c r="M98" s="10"/>
    </row>
    <row r="99">
      <c r="A99" s="10"/>
      <c r="H99" s="10"/>
      <c r="M99" s="10"/>
    </row>
    <row r="100">
      <c r="A100" s="10"/>
      <c r="H100" s="10"/>
      <c r="M100" s="10"/>
    </row>
    <row r="101">
      <c r="A101" s="10"/>
      <c r="H101" s="10"/>
      <c r="M101" s="10"/>
    </row>
    <row r="102">
      <c r="A102" s="10"/>
      <c r="H102" s="10"/>
      <c r="M102" s="10"/>
    </row>
    <row r="103">
      <c r="A103" s="10"/>
      <c r="H103" s="10"/>
      <c r="M103" s="10"/>
    </row>
    <row r="104">
      <c r="A104" s="10"/>
      <c r="H104" s="10"/>
      <c r="M104" s="10"/>
    </row>
    <row r="105">
      <c r="A105" s="10"/>
      <c r="H105" s="10"/>
      <c r="M105" s="10"/>
    </row>
    <row r="106">
      <c r="A106" s="10"/>
      <c r="H106" s="10"/>
      <c r="M106" s="10"/>
    </row>
    <row r="107">
      <c r="A107" s="10"/>
      <c r="H107" s="10"/>
      <c r="M107" s="10"/>
    </row>
    <row r="108">
      <c r="A108" s="10"/>
      <c r="H108" s="10"/>
      <c r="M108" s="10"/>
    </row>
    <row r="109">
      <c r="A109" s="10"/>
      <c r="H109" s="10"/>
      <c r="M109" s="10"/>
    </row>
    <row r="110">
      <c r="A110" s="10"/>
      <c r="H110" s="10"/>
      <c r="M110" s="10"/>
    </row>
    <row r="111">
      <c r="A111" s="10"/>
      <c r="H111" s="10"/>
      <c r="M111" s="10"/>
    </row>
    <row r="112">
      <c r="A112" s="10"/>
      <c r="H112" s="10"/>
      <c r="M112" s="10"/>
    </row>
    <row r="113">
      <c r="A113" s="10"/>
      <c r="H113" s="10"/>
      <c r="M113" s="10"/>
    </row>
    <row r="114">
      <c r="A114" s="10"/>
      <c r="H114" s="10"/>
      <c r="M114" s="10"/>
    </row>
    <row r="115">
      <c r="A115" s="10"/>
      <c r="H115" s="10"/>
      <c r="M115" s="10"/>
    </row>
    <row r="116">
      <c r="A116" s="10"/>
      <c r="H116" s="10"/>
      <c r="M116" s="10"/>
    </row>
    <row r="117">
      <c r="A117" s="10"/>
      <c r="H117" s="10"/>
      <c r="M117" s="10"/>
    </row>
    <row r="118">
      <c r="A118" s="10"/>
      <c r="H118" s="10"/>
      <c r="M118" s="10"/>
    </row>
    <row r="119">
      <c r="A119" s="10"/>
      <c r="H119" s="10"/>
      <c r="M119" s="10"/>
    </row>
    <row r="120">
      <c r="A120" s="10"/>
      <c r="H120" s="10"/>
      <c r="M120" s="10"/>
    </row>
    <row r="121">
      <c r="A121" s="10"/>
      <c r="H121" s="10"/>
      <c r="M121" s="10"/>
    </row>
    <row r="122">
      <c r="A122" s="10"/>
      <c r="H122" s="10"/>
      <c r="M122" s="10"/>
    </row>
    <row r="123">
      <c r="A123" s="10"/>
      <c r="H123" s="10"/>
      <c r="M123" s="10"/>
    </row>
    <row r="124">
      <c r="A124" s="10"/>
      <c r="H124" s="10"/>
      <c r="M124" s="10"/>
    </row>
    <row r="125">
      <c r="A125" s="10"/>
      <c r="H125" s="10"/>
      <c r="M125" s="10"/>
    </row>
    <row r="126">
      <c r="A126" s="10"/>
      <c r="H126" s="10"/>
      <c r="M126" s="10"/>
    </row>
    <row r="127">
      <c r="A127" s="10"/>
      <c r="H127" s="10"/>
      <c r="M127" s="10"/>
    </row>
    <row r="128">
      <c r="A128" s="10"/>
      <c r="H128" s="10"/>
      <c r="M128" s="10"/>
    </row>
    <row r="129">
      <c r="A129" s="10"/>
      <c r="H129" s="10"/>
      <c r="M129" s="10"/>
    </row>
    <row r="130">
      <c r="A130" s="10"/>
      <c r="H130" s="10"/>
      <c r="M130" s="10"/>
    </row>
    <row r="131">
      <c r="A131" s="10"/>
      <c r="H131" s="10"/>
      <c r="M131" s="10"/>
    </row>
    <row r="132">
      <c r="A132" s="10"/>
      <c r="H132" s="10"/>
      <c r="M132" s="10"/>
    </row>
    <row r="133">
      <c r="A133" s="10"/>
      <c r="H133" s="10"/>
      <c r="M133" s="10"/>
    </row>
    <row r="134">
      <c r="A134" s="10"/>
      <c r="H134" s="10"/>
      <c r="M134" s="10"/>
    </row>
    <row r="135">
      <c r="A135" s="10"/>
      <c r="H135" s="10"/>
      <c r="M135" s="10"/>
    </row>
    <row r="136">
      <c r="A136" s="10"/>
      <c r="H136" s="10"/>
      <c r="M136" s="10"/>
    </row>
    <row r="137">
      <c r="A137" s="10"/>
      <c r="H137" s="10"/>
      <c r="M137" s="10"/>
    </row>
    <row r="138">
      <c r="A138" s="10"/>
      <c r="H138" s="10"/>
      <c r="M138" s="10"/>
    </row>
    <row r="139">
      <c r="A139" s="10"/>
      <c r="H139" s="10"/>
      <c r="M139" s="10"/>
    </row>
    <row r="140">
      <c r="A140" s="10"/>
      <c r="H140" s="10"/>
      <c r="M140" s="10"/>
    </row>
    <row r="141">
      <c r="A141" s="10"/>
      <c r="H141" s="10"/>
      <c r="M141" s="10"/>
    </row>
    <row r="142">
      <c r="A142" s="10"/>
      <c r="H142" s="10"/>
      <c r="M142" s="10"/>
    </row>
    <row r="143">
      <c r="A143" s="10"/>
      <c r="H143" s="10"/>
      <c r="M143" s="10"/>
    </row>
    <row r="144">
      <c r="A144" s="10"/>
      <c r="H144" s="10"/>
      <c r="M144" s="10"/>
    </row>
    <row r="145">
      <c r="A145" s="10"/>
      <c r="H145" s="10"/>
      <c r="M145" s="10"/>
    </row>
    <row r="146">
      <c r="A146" s="10"/>
      <c r="H146" s="10"/>
      <c r="M146" s="10"/>
    </row>
    <row r="147">
      <c r="A147" s="10"/>
      <c r="H147" s="10"/>
      <c r="M147" s="10"/>
    </row>
    <row r="148">
      <c r="A148" s="10"/>
      <c r="H148" s="10"/>
      <c r="M148" s="10"/>
    </row>
    <row r="149">
      <c r="A149" s="10"/>
      <c r="H149" s="10"/>
      <c r="M149" s="10"/>
    </row>
    <row r="150">
      <c r="A150" s="10"/>
      <c r="H150" s="10"/>
      <c r="M150" s="10"/>
    </row>
    <row r="151">
      <c r="A151" s="10"/>
      <c r="H151" s="10"/>
      <c r="M151" s="10"/>
    </row>
    <row r="152">
      <c r="A152" s="10"/>
      <c r="H152" s="10"/>
      <c r="M152" s="10"/>
    </row>
    <row r="153">
      <c r="A153" s="10"/>
      <c r="H153" s="10"/>
      <c r="M153" s="10"/>
    </row>
    <row r="154">
      <c r="A154" s="10"/>
      <c r="H154" s="10"/>
      <c r="M154" s="10"/>
    </row>
    <row r="155">
      <c r="A155" s="10"/>
      <c r="H155" s="10"/>
      <c r="M155" s="10"/>
    </row>
    <row r="156">
      <c r="A156" s="10"/>
      <c r="H156" s="10"/>
      <c r="M156" s="10"/>
    </row>
    <row r="157">
      <c r="A157" s="10"/>
      <c r="H157" s="10"/>
      <c r="M157" s="10"/>
    </row>
    <row r="158">
      <c r="A158" s="10"/>
      <c r="H158" s="10"/>
      <c r="M158" s="10"/>
    </row>
    <row r="159">
      <c r="A159" s="10"/>
      <c r="H159" s="10"/>
      <c r="M159" s="10"/>
    </row>
    <row r="160">
      <c r="A160" s="10"/>
      <c r="H160" s="10"/>
      <c r="M160" s="10"/>
    </row>
    <row r="161">
      <c r="A161" s="10"/>
      <c r="H161" s="10"/>
      <c r="M161" s="10"/>
    </row>
    <row r="162">
      <c r="A162" s="10"/>
      <c r="H162" s="10"/>
      <c r="M162" s="10"/>
    </row>
    <row r="163">
      <c r="A163" s="10"/>
      <c r="H163" s="10"/>
      <c r="M163" s="10"/>
    </row>
    <row r="164">
      <c r="A164" s="10"/>
      <c r="H164" s="10"/>
      <c r="M164" s="10"/>
    </row>
    <row r="165">
      <c r="A165" s="10"/>
      <c r="H165" s="10"/>
      <c r="M165" s="10"/>
    </row>
    <row r="166">
      <c r="A166" s="10"/>
      <c r="H166" s="10"/>
      <c r="M166" s="10"/>
    </row>
    <row r="167">
      <c r="A167" s="10"/>
      <c r="H167" s="10"/>
      <c r="M167" s="10"/>
    </row>
    <row r="168">
      <c r="A168" s="10"/>
      <c r="H168" s="10"/>
      <c r="M168" s="10"/>
    </row>
    <row r="169">
      <c r="A169" s="10"/>
      <c r="H169" s="10"/>
      <c r="M169" s="10"/>
    </row>
    <row r="170">
      <c r="A170" s="10"/>
      <c r="H170" s="10"/>
      <c r="M170" s="10"/>
    </row>
    <row r="171">
      <c r="A171" s="10"/>
      <c r="H171" s="10"/>
      <c r="M171" s="10"/>
    </row>
    <row r="172">
      <c r="A172" s="10"/>
      <c r="H172" s="10"/>
      <c r="M172" s="10"/>
    </row>
    <row r="173">
      <c r="A173" s="10"/>
      <c r="H173" s="10"/>
      <c r="M173" s="10"/>
    </row>
    <row r="174">
      <c r="A174" s="10"/>
      <c r="H174" s="10"/>
      <c r="M174" s="10"/>
    </row>
    <row r="175">
      <c r="A175" s="10"/>
      <c r="H175" s="10"/>
      <c r="M175" s="10"/>
    </row>
    <row r="176">
      <c r="A176" s="10"/>
      <c r="H176" s="10"/>
      <c r="M176" s="10"/>
    </row>
    <row r="177">
      <c r="A177" s="10"/>
      <c r="H177" s="10"/>
      <c r="M177" s="10"/>
    </row>
    <row r="178">
      <c r="A178" s="10"/>
      <c r="H178" s="10"/>
      <c r="M178" s="10"/>
    </row>
    <row r="179">
      <c r="A179" s="10"/>
      <c r="H179" s="10"/>
      <c r="M179" s="10"/>
    </row>
    <row r="180">
      <c r="A180" s="10"/>
      <c r="H180" s="10"/>
      <c r="M180" s="10"/>
    </row>
    <row r="181">
      <c r="A181" s="10"/>
      <c r="H181" s="10"/>
      <c r="M181" s="10"/>
    </row>
    <row r="182">
      <c r="A182" s="10"/>
      <c r="H182" s="10"/>
      <c r="M182" s="10"/>
    </row>
    <row r="183">
      <c r="A183" s="10"/>
      <c r="H183" s="10"/>
      <c r="M183" s="10"/>
    </row>
    <row r="184">
      <c r="A184" s="10"/>
      <c r="H184" s="10"/>
      <c r="M184" s="10"/>
    </row>
    <row r="185">
      <c r="A185" s="10"/>
      <c r="H185" s="10"/>
      <c r="M185" s="10"/>
    </row>
    <row r="186">
      <c r="A186" s="10"/>
      <c r="H186" s="10"/>
      <c r="M186" s="10"/>
    </row>
    <row r="187">
      <c r="A187" s="10"/>
      <c r="H187" s="10"/>
      <c r="M187" s="10"/>
    </row>
    <row r="188">
      <c r="A188" s="10"/>
      <c r="H188" s="10"/>
      <c r="M188" s="10"/>
    </row>
    <row r="189">
      <c r="A189" s="10"/>
      <c r="H189" s="10"/>
      <c r="M189" s="10"/>
    </row>
    <row r="190">
      <c r="A190" s="10"/>
      <c r="H190" s="10"/>
      <c r="M190" s="10"/>
    </row>
    <row r="191">
      <c r="A191" s="10"/>
      <c r="H191" s="10"/>
      <c r="M191" s="10"/>
    </row>
    <row r="192">
      <c r="A192" s="10"/>
      <c r="H192" s="10"/>
      <c r="M192" s="10"/>
    </row>
    <row r="193">
      <c r="A193" s="10"/>
      <c r="H193" s="10"/>
      <c r="M193" s="10"/>
    </row>
    <row r="194">
      <c r="A194" s="10"/>
      <c r="H194" s="10"/>
      <c r="M194" s="10"/>
    </row>
    <row r="195">
      <c r="A195" s="10"/>
      <c r="H195" s="10"/>
      <c r="M195" s="10"/>
    </row>
    <row r="196">
      <c r="A196" s="10"/>
      <c r="H196" s="10"/>
      <c r="M196" s="10"/>
    </row>
    <row r="197">
      <c r="A197" s="10"/>
      <c r="H197" s="10"/>
      <c r="M197" s="10"/>
    </row>
    <row r="198">
      <c r="A198" s="10"/>
      <c r="H198" s="10"/>
      <c r="M198" s="10"/>
    </row>
    <row r="199">
      <c r="A199" s="10"/>
      <c r="H199" s="10"/>
      <c r="M199" s="10"/>
    </row>
    <row r="200">
      <c r="A200" s="10"/>
      <c r="H200" s="10"/>
      <c r="M200" s="10"/>
    </row>
    <row r="201">
      <c r="A201" s="10"/>
      <c r="H201" s="10"/>
      <c r="M201" s="10"/>
    </row>
    <row r="202">
      <c r="A202" s="10"/>
      <c r="H202" s="10"/>
      <c r="M202" s="10"/>
    </row>
    <row r="203">
      <c r="A203" s="10"/>
      <c r="H203" s="10"/>
      <c r="M203" s="10"/>
    </row>
    <row r="204">
      <c r="A204" s="10"/>
      <c r="H204" s="10"/>
      <c r="M204" s="10"/>
    </row>
    <row r="205">
      <c r="A205" s="10"/>
      <c r="H205" s="10"/>
      <c r="M205" s="10"/>
    </row>
    <row r="206">
      <c r="A206" s="10"/>
      <c r="H206" s="10"/>
      <c r="M206" s="10"/>
    </row>
    <row r="207">
      <c r="A207" s="10"/>
      <c r="H207" s="10"/>
      <c r="M207" s="10"/>
    </row>
    <row r="208">
      <c r="A208" s="10"/>
      <c r="H208" s="10"/>
      <c r="M208" s="10"/>
    </row>
    <row r="209">
      <c r="A209" s="10"/>
      <c r="H209" s="10"/>
      <c r="M209" s="10"/>
    </row>
    <row r="210">
      <c r="A210" s="10"/>
      <c r="H210" s="10"/>
      <c r="M210" s="10"/>
    </row>
    <row r="211">
      <c r="A211" s="10"/>
      <c r="H211" s="10"/>
      <c r="M211" s="10"/>
    </row>
    <row r="212">
      <c r="A212" s="10"/>
      <c r="H212" s="10"/>
      <c r="M212" s="10"/>
    </row>
    <row r="213">
      <c r="A213" s="10"/>
      <c r="H213" s="10"/>
      <c r="M213" s="10"/>
    </row>
    <row r="214">
      <c r="A214" s="10"/>
      <c r="H214" s="10"/>
      <c r="M214" s="10"/>
    </row>
    <row r="215">
      <c r="A215" s="10"/>
      <c r="H215" s="10"/>
      <c r="M215" s="10"/>
    </row>
    <row r="216">
      <c r="A216" s="10"/>
      <c r="H216" s="10"/>
      <c r="M216" s="10"/>
    </row>
    <row r="217">
      <c r="A217" s="10"/>
      <c r="H217" s="10"/>
      <c r="M217" s="10"/>
    </row>
    <row r="218">
      <c r="A218" s="10"/>
      <c r="H218" s="10"/>
      <c r="M218" s="10"/>
    </row>
    <row r="219">
      <c r="A219" s="10"/>
      <c r="H219" s="10"/>
      <c r="M219" s="10"/>
    </row>
    <row r="220">
      <c r="A220" s="10"/>
      <c r="H220" s="10"/>
      <c r="M220" s="10"/>
    </row>
    <row r="221">
      <c r="A221" s="10"/>
      <c r="H221" s="10"/>
      <c r="M221" s="10"/>
    </row>
    <row r="222">
      <c r="A222" s="10"/>
      <c r="H222" s="10"/>
      <c r="M222" s="10"/>
    </row>
    <row r="223">
      <c r="A223" s="10"/>
      <c r="H223" s="10"/>
      <c r="M223" s="10"/>
    </row>
    <row r="224">
      <c r="A224" s="10"/>
      <c r="H224" s="10"/>
      <c r="M224" s="10"/>
    </row>
    <row r="225">
      <c r="A225" s="10"/>
      <c r="H225" s="10"/>
      <c r="M225" s="10"/>
    </row>
    <row r="226">
      <c r="A226" s="10"/>
      <c r="H226" s="10"/>
      <c r="M226" s="10"/>
    </row>
    <row r="227">
      <c r="A227" s="10"/>
      <c r="H227" s="10"/>
      <c r="M227" s="10"/>
    </row>
    <row r="228">
      <c r="A228" s="10"/>
      <c r="H228" s="10"/>
      <c r="M228" s="10"/>
    </row>
    <row r="229">
      <c r="A229" s="10"/>
      <c r="H229" s="10"/>
      <c r="M229" s="10"/>
    </row>
    <row r="230">
      <c r="A230" s="10"/>
      <c r="H230" s="10"/>
      <c r="M230" s="10"/>
    </row>
    <row r="231">
      <c r="A231" s="10"/>
      <c r="H231" s="10"/>
      <c r="M231" s="10"/>
    </row>
    <row r="232">
      <c r="A232" s="10"/>
      <c r="H232" s="10"/>
      <c r="M232" s="10"/>
    </row>
    <row r="233">
      <c r="A233" s="10"/>
      <c r="H233" s="10"/>
      <c r="M233" s="10"/>
    </row>
    <row r="234">
      <c r="A234" s="10"/>
      <c r="H234" s="10"/>
      <c r="M234" s="10"/>
    </row>
    <row r="235">
      <c r="A235" s="10"/>
      <c r="H235" s="10"/>
      <c r="M235" s="10"/>
    </row>
    <row r="236">
      <c r="A236" s="10"/>
      <c r="H236" s="10"/>
      <c r="M236" s="10"/>
    </row>
    <row r="237">
      <c r="A237" s="10"/>
      <c r="H237" s="10"/>
      <c r="M237" s="10"/>
    </row>
    <row r="238">
      <c r="A238" s="10"/>
      <c r="H238" s="10"/>
      <c r="M238" s="10"/>
    </row>
    <row r="239">
      <c r="A239" s="10"/>
      <c r="H239" s="10"/>
      <c r="M239" s="10"/>
    </row>
    <row r="240">
      <c r="A240" s="10"/>
      <c r="H240" s="10"/>
      <c r="M240" s="10"/>
    </row>
    <row r="241">
      <c r="A241" s="10"/>
      <c r="H241" s="10"/>
      <c r="M241" s="10"/>
    </row>
    <row r="242">
      <c r="A242" s="10"/>
      <c r="H242" s="10"/>
      <c r="M242" s="10"/>
    </row>
    <row r="243">
      <c r="A243" s="10"/>
      <c r="H243" s="10"/>
      <c r="M243" s="10"/>
    </row>
    <row r="244">
      <c r="A244" s="10"/>
      <c r="H244" s="10"/>
      <c r="M244" s="10"/>
    </row>
    <row r="245">
      <c r="A245" s="10"/>
      <c r="H245" s="10"/>
      <c r="M245" s="10"/>
    </row>
    <row r="246">
      <c r="A246" s="10"/>
      <c r="H246" s="10"/>
      <c r="M246" s="10"/>
    </row>
    <row r="247">
      <c r="A247" s="10"/>
      <c r="H247" s="10"/>
      <c r="M247" s="10"/>
    </row>
    <row r="248">
      <c r="A248" s="10"/>
      <c r="H248" s="10"/>
      <c r="M248" s="10"/>
    </row>
    <row r="249">
      <c r="A249" s="10"/>
      <c r="H249" s="10"/>
      <c r="M249" s="10"/>
    </row>
    <row r="250">
      <c r="A250" s="10"/>
      <c r="H250" s="10"/>
      <c r="M250" s="10"/>
    </row>
    <row r="251">
      <c r="A251" s="10"/>
      <c r="H251" s="10"/>
      <c r="M251" s="10"/>
    </row>
    <row r="252">
      <c r="A252" s="10"/>
      <c r="H252" s="10"/>
      <c r="M252" s="10"/>
    </row>
    <row r="253">
      <c r="A253" s="10"/>
      <c r="H253" s="10"/>
      <c r="M253" s="10"/>
    </row>
    <row r="254">
      <c r="A254" s="10"/>
      <c r="H254" s="10"/>
      <c r="M254" s="10"/>
    </row>
    <row r="255">
      <c r="A255" s="10"/>
      <c r="H255" s="10"/>
      <c r="M255" s="10"/>
    </row>
    <row r="256">
      <c r="A256" s="10"/>
      <c r="H256" s="10"/>
      <c r="M256" s="10"/>
    </row>
    <row r="257">
      <c r="A257" s="10"/>
      <c r="H257" s="10"/>
      <c r="M257" s="10"/>
    </row>
    <row r="258">
      <c r="A258" s="10"/>
      <c r="H258" s="10"/>
      <c r="M258" s="10"/>
    </row>
    <row r="259">
      <c r="A259" s="10"/>
      <c r="H259" s="10"/>
      <c r="M259" s="10"/>
    </row>
    <row r="260">
      <c r="A260" s="10"/>
      <c r="H260" s="10"/>
      <c r="M260" s="10"/>
    </row>
    <row r="261">
      <c r="A261" s="10"/>
      <c r="H261" s="10"/>
      <c r="M261" s="10"/>
    </row>
    <row r="262">
      <c r="A262" s="10"/>
      <c r="H262" s="10"/>
      <c r="M262" s="10"/>
    </row>
    <row r="263">
      <c r="A263" s="10"/>
      <c r="H263" s="10"/>
      <c r="M263" s="10"/>
    </row>
    <row r="264">
      <c r="A264" s="10"/>
      <c r="H264" s="10"/>
      <c r="M264" s="10"/>
    </row>
    <row r="265">
      <c r="A265" s="10"/>
      <c r="H265" s="10"/>
      <c r="M265" s="10"/>
    </row>
    <row r="266">
      <c r="A266" s="10"/>
      <c r="H266" s="10"/>
      <c r="M266" s="10"/>
    </row>
    <row r="267">
      <c r="A267" s="10"/>
      <c r="H267" s="10"/>
      <c r="M267" s="10"/>
    </row>
    <row r="268">
      <c r="A268" s="10"/>
      <c r="H268" s="10"/>
      <c r="M268" s="10"/>
    </row>
    <row r="269">
      <c r="A269" s="10"/>
      <c r="H269" s="10"/>
      <c r="M269" s="10"/>
    </row>
    <row r="270">
      <c r="A270" s="10"/>
      <c r="H270" s="10"/>
      <c r="M270" s="10"/>
    </row>
    <row r="271">
      <c r="A271" s="10"/>
      <c r="H271" s="10"/>
      <c r="M271" s="10"/>
    </row>
    <row r="272">
      <c r="A272" s="10"/>
      <c r="H272" s="10"/>
      <c r="M272" s="10"/>
    </row>
    <row r="273">
      <c r="A273" s="10"/>
      <c r="H273" s="10"/>
      <c r="M273" s="10"/>
    </row>
    <row r="274">
      <c r="A274" s="10"/>
      <c r="H274" s="10"/>
      <c r="M274" s="10"/>
    </row>
    <row r="275">
      <c r="A275" s="10"/>
      <c r="H275" s="10"/>
      <c r="M275" s="10"/>
    </row>
    <row r="276">
      <c r="A276" s="10"/>
      <c r="H276" s="10"/>
      <c r="M276" s="10"/>
    </row>
    <row r="277">
      <c r="A277" s="10"/>
      <c r="H277" s="10"/>
      <c r="M277" s="10"/>
    </row>
    <row r="278">
      <c r="A278" s="10"/>
      <c r="H278" s="10"/>
      <c r="M278" s="10"/>
    </row>
    <row r="279">
      <c r="A279" s="10"/>
      <c r="H279" s="10"/>
      <c r="M279" s="10"/>
    </row>
    <row r="280">
      <c r="A280" s="10"/>
      <c r="H280" s="10"/>
      <c r="M280" s="10"/>
    </row>
    <row r="281">
      <c r="A281" s="10"/>
      <c r="H281" s="10"/>
      <c r="M281" s="10"/>
    </row>
    <row r="282">
      <c r="A282" s="10"/>
      <c r="H282" s="10"/>
      <c r="M282" s="10"/>
    </row>
    <row r="283">
      <c r="A283" s="10"/>
      <c r="H283" s="10"/>
      <c r="M283" s="10"/>
    </row>
    <row r="284">
      <c r="A284" s="10"/>
      <c r="H284" s="10"/>
      <c r="M284" s="10"/>
    </row>
    <row r="285">
      <c r="A285" s="10"/>
      <c r="H285" s="10"/>
      <c r="M285" s="10"/>
    </row>
    <row r="286">
      <c r="A286" s="10"/>
      <c r="H286" s="10"/>
      <c r="M286" s="10"/>
    </row>
    <row r="287">
      <c r="A287" s="10"/>
      <c r="H287" s="10"/>
      <c r="M287" s="10"/>
    </row>
    <row r="288">
      <c r="A288" s="10"/>
      <c r="H288" s="10"/>
      <c r="M288" s="10"/>
    </row>
    <row r="289">
      <c r="A289" s="10"/>
      <c r="H289" s="10"/>
      <c r="M289" s="10"/>
    </row>
    <row r="290">
      <c r="A290" s="10"/>
      <c r="H290" s="10"/>
      <c r="M290" s="10"/>
    </row>
    <row r="291">
      <c r="A291" s="10"/>
      <c r="H291" s="10"/>
      <c r="M291" s="10"/>
    </row>
    <row r="292">
      <c r="A292" s="10"/>
      <c r="H292" s="10"/>
      <c r="M292" s="10"/>
    </row>
    <row r="293">
      <c r="A293" s="10"/>
      <c r="H293" s="10"/>
      <c r="M293" s="10"/>
    </row>
    <row r="294">
      <c r="A294" s="10"/>
      <c r="H294" s="10"/>
      <c r="M294" s="10"/>
    </row>
    <row r="295">
      <c r="A295" s="10"/>
      <c r="H295" s="10"/>
      <c r="M295" s="10"/>
    </row>
    <row r="296">
      <c r="A296" s="10"/>
      <c r="H296" s="10"/>
      <c r="M296" s="10"/>
    </row>
    <row r="297">
      <c r="A297" s="10"/>
      <c r="H297" s="10"/>
      <c r="M297" s="10"/>
    </row>
    <row r="298">
      <c r="A298" s="10"/>
      <c r="H298" s="10"/>
      <c r="M298" s="10"/>
    </row>
    <row r="299">
      <c r="A299" s="10"/>
      <c r="H299" s="10"/>
      <c r="M299" s="10"/>
    </row>
    <row r="300">
      <c r="A300" s="10"/>
      <c r="H300" s="10"/>
      <c r="M300" s="10"/>
    </row>
    <row r="301">
      <c r="A301" s="10"/>
      <c r="H301" s="10"/>
      <c r="M301" s="10"/>
    </row>
    <row r="302">
      <c r="A302" s="10"/>
      <c r="H302" s="10"/>
      <c r="M302" s="10"/>
    </row>
    <row r="303">
      <c r="A303" s="10"/>
      <c r="H303" s="10"/>
      <c r="M303" s="10"/>
    </row>
    <row r="304">
      <c r="A304" s="10"/>
      <c r="H304" s="10"/>
      <c r="M304" s="10"/>
    </row>
    <row r="305">
      <c r="A305" s="10"/>
      <c r="H305" s="10"/>
      <c r="M305" s="10"/>
    </row>
    <row r="306">
      <c r="A306" s="10"/>
      <c r="H306" s="10"/>
      <c r="M306" s="10"/>
    </row>
    <row r="307">
      <c r="A307" s="10"/>
      <c r="H307" s="10"/>
      <c r="M307" s="10"/>
    </row>
    <row r="308">
      <c r="A308" s="10"/>
      <c r="H308" s="10"/>
      <c r="M308" s="10"/>
    </row>
    <row r="309">
      <c r="A309" s="10"/>
      <c r="H309" s="10"/>
      <c r="M309" s="10"/>
    </row>
    <row r="310">
      <c r="A310" s="10"/>
      <c r="H310" s="10"/>
      <c r="M310" s="10"/>
    </row>
    <row r="311">
      <c r="A311" s="10"/>
      <c r="H311" s="10"/>
      <c r="M311" s="10"/>
    </row>
    <row r="312">
      <c r="A312" s="10"/>
      <c r="H312" s="10"/>
      <c r="M312" s="10"/>
    </row>
    <row r="313">
      <c r="A313" s="10"/>
      <c r="H313" s="10"/>
      <c r="M313" s="10"/>
    </row>
    <row r="314">
      <c r="A314" s="10"/>
      <c r="H314" s="10"/>
      <c r="M314" s="10"/>
    </row>
    <row r="315">
      <c r="A315" s="10"/>
      <c r="H315" s="10"/>
      <c r="M315" s="10"/>
    </row>
    <row r="316">
      <c r="A316" s="10"/>
      <c r="H316" s="10"/>
      <c r="M316" s="10"/>
    </row>
    <row r="317">
      <c r="A317" s="10"/>
      <c r="H317" s="10"/>
      <c r="M317" s="10"/>
    </row>
    <row r="318">
      <c r="A318" s="10"/>
      <c r="H318" s="10"/>
      <c r="M318" s="10"/>
    </row>
    <row r="319">
      <c r="A319" s="10"/>
      <c r="H319" s="10"/>
      <c r="M319" s="10"/>
    </row>
    <row r="320">
      <c r="A320" s="10"/>
      <c r="H320" s="10"/>
      <c r="M320" s="10"/>
    </row>
    <row r="321">
      <c r="A321" s="10"/>
      <c r="H321" s="10"/>
      <c r="M321" s="10"/>
    </row>
    <row r="322">
      <c r="A322" s="10"/>
      <c r="H322" s="10"/>
      <c r="M322" s="10"/>
    </row>
    <row r="323">
      <c r="A323" s="10"/>
      <c r="H323" s="10"/>
      <c r="M323" s="10"/>
    </row>
    <row r="324">
      <c r="A324" s="10"/>
      <c r="H324" s="10"/>
      <c r="M324" s="10"/>
    </row>
    <row r="325">
      <c r="A325" s="10"/>
      <c r="H325" s="10"/>
      <c r="M325" s="10"/>
    </row>
    <row r="326">
      <c r="A326" s="10"/>
      <c r="H326" s="10"/>
      <c r="M326" s="10"/>
    </row>
    <row r="327">
      <c r="A327" s="10"/>
      <c r="H327" s="10"/>
      <c r="M327" s="10"/>
    </row>
    <row r="328">
      <c r="A328" s="10"/>
      <c r="H328" s="10"/>
      <c r="M328" s="10"/>
    </row>
    <row r="329">
      <c r="A329" s="10"/>
      <c r="H329" s="10"/>
      <c r="M329" s="10"/>
    </row>
    <row r="330">
      <c r="A330" s="10"/>
      <c r="H330" s="10"/>
      <c r="M330" s="10"/>
    </row>
    <row r="331">
      <c r="A331" s="10"/>
      <c r="H331" s="10"/>
      <c r="M331" s="10"/>
    </row>
    <row r="332">
      <c r="A332" s="10"/>
      <c r="H332" s="10"/>
      <c r="M332" s="10"/>
    </row>
    <row r="333">
      <c r="A333" s="10"/>
      <c r="H333" s="10"/>
      <c r="M333" s="10"/>
    </row>
    <row r="334">
      <c r="A334" s="10"/>
      <c r="H334" s="10"/>
      <c r="M334" s="10"/>
    </row>
    <row r="335">
      <c r="A335" s="10"/>
      <c r="H335" s="10"/>
      <c r="M335" s="10"/>
    </row>
    <row r="336">
      <c r="A336" s="10"/>
      <c r="H336" s="10"/>
      <c r="M336" s="10"/>
    </row>
    <row r="337">
      <c r="A337" s="10"/>
      <c r="H337" s="10"/>
      <c r="M337" s="10"/>
    </row>
    <row r="338">
      <c r="A338" s="10"/>
      <c r="H338" s="10"/>
      <c r="M338" s="10"/>
    </row>
    <row r="339">
      <c r="A339" s="10"/>
      <c r="H339" s="10"/>
      <c r="M339" s="10"/>
    </row>
    <row r="340">
      <c r="A340" s="10"/>
      <c r="H340" s="10"/>
      <c r="M340" s="10"/>
    </row>
    <row r="341">
      <c r="A341" s="10"/>
      <c r="H341" s="10"/>
      <c r="M341" s="10"/>
    </row>
    <row r="342">
      <c r="A342" s="10"/>
      <c r="H342" s="10"/>
      <c r="M342" s="10"/>
    </row>
    <row r="343">
      <c r="A343" s="10"/>
      <c r="H343" s="10"/>
      <c r="M343" s="10"/>
    </row>
    <row r="344">
      <c r="A344" s="10"/>
      <c r="H344" s="10"/>
      <c r="M344" s="10"/>
    </row>
    <row r="345">
      <c r="A345" s="10"/>
      <c r="H345" s="10"/>
      <c r="M345" s="10"/>
    </row>
    <row r="346">
      <c r="A346" s="10"/>
      <c r="H346" s="10"/>
      <c r="M346" s="10"/>
    </row>
    <row r="347">
      <c r="A347" s="10"/>
      <c r="H347" s="10"/>
      <c r="M347" s="10"/>
    </row>
    <row r="348">
      <c r="A348" s="10"/>
      <c r="H348" s="10"/>
      <c r="M348" s="10"/>
    </row>
    <row r="349">
      <c r="A349" s="10"/>
      <c r="H349" s="10"/>
      <c r="M349" s="10"/>
    </row>
    <row r="350">
      <c r="A350" s="10"/>
      <c r="H350" s="10"/>
      <c r="M350" s="10"/>
    </row>
    <row r="351">
      <c r="A351" s="10"/>
      <c r="H351" s="10"/>
      <c r="M351" s="10"/>
    </row>
    <row r="352">
      <c r="A352" s="10"/>
      <c r="H352" s="10"/>
      <c r="M352" s="10"/>
    </row>
    <row r="353">
      <c r="A353" s="10"/>
      <c r="H353" s="10"/>
      <c r="M353" s="10"/>
    </row>
    <row r="354">
      <c r="A354" s="10"/>
      <c r="H354" s="10"/>
      <c r="M354" s="10"/>
    </row>
    <row r="355">
      <c r="A355" s="10"/>
      <c r="H355" s="10"/>
      <c r="M355" s="10"/>
    </row>
    <row r="356">
      <c r="A356" s="10"/>
      <c r="H356" s="10"/>
      <c r="M356" s="10"/>
    </row>
    <row r="357">
      <c r="A357" s="10"/>
      <c r="H357" s="10"/>
      <c r="M357" s="10"/>
    </row>
    <row r="358">
      <c r="A358" s="10"/>
      <c r="H358" s="10"/>
      <c r="M358" s="10"/>
    </row>
    <row r="359">
      <c r="A359" s="10"/>
      <c r="H359" s="10"/>
      <c r="M359" s="10"/>
    </row>
    <row r="360">
      <c r="A360" s="10"/>
      <c r="H360" s="10"/>
      <c r="M360" s="10"/>
    </row>
    <row r="361">
      <c r="A361" s="10"/>
      <c r="H361" s="10"/>
      <c r="M361" s="10"/>
    </row>
    <row r="362">
      <c r="A362" s="10"/>
      <c r="H362" s="10"/>
      <c r="M362" s="10"/>
    </row>
    <row r="363">
      <c r="A363" s="10"/>
      <c r="H363" s="10"/>
      <c r="M363" s="10"/>
    </row>
    <row r="364">
      <c r="A364" s="10"/>
      <c r="H364" s="10"/>
      <c r="M364" s="10"/>
    </row>
    <row r="365">
      <c r="A365" s="10"/>
      <c r="H365" s="10"/>
      <c r="M365" s="10"/>
    </row>
    <row r="366">
      <c r="A366" s="10"/>
      <c r="H366" s="10"/>
      <c r="M366" s="10"/>
    </row>
    <row r="367">
      <c r="A367" s="10"/>
      <c r="H367" s="10"/>
      <c r="M367" s="10"/>
    </row>
    <row r="368">
      <c r="A368" s="10"/>
      <c r="H368" s="10"/>
      <c r="M368" s="10"/>
    </row>
    <row r="369">
      <c r="A369" s="10"/>
      <c r="H369" s="10"/>
      <c r="M369" s="10"/>
    </row>
    <row r="370">
      <c r="A370" s="10"/>
      <c r="H370" s="10"/>
      <c r="M370" s="10"/>
    </row>
    <row r="371">
      <c r="A371" s="10"/>
      <c r="H371" s="10"/>
      <c r="M371" s="10"/>
    </row>
    <row r="372">
      <c r="A372" s="10"/>
      <c r="H372" s="10"/>
      <c r="M372" s="10"/>
    </row>
    <row r="373">
      <c r="A373" s="10"/>
      <c r="H373" s="10"/>
      <c r="M373" s="10"/>
    </row>
    <row r="374">
      <c r="A374" s="10"/>
      <c r="H374" s="10"/>
      <c r="M374" s="10"/>
    </row>
    <row r="375">
      <c r="A375" s="10"/>
      <c r="H375" s="10"/>
      <c r="M375" s="10"/>
    </row>
    <row r="376">
      <c r="A376" s="10"/>
      <c r="H376" s="10"/>
      <c r="M376" s="10"/>
    </row>
    <row r="377">
      <c r="A377" s="10"/>
      <c r="H377" s="10"/>
      <c r="M377" s="10"/>
    </row>
    <row r="378">
      <c r="A378" s="10"/>
      <c r="H378" s="10"/>
      <c r="M378" s="10"/>
    </row>
    <row r="379">
      <c r="A379" s="10"/>
      <c r="H379" s="10"/>
      <c r="M379" s="10"/>
    </row>
    <row r="380">
      <c r="A380" s="10"/>
      <c r="H380" s="10"/>
      <c r="M380" s="10"/>
    </row>
    <row r="381">
      <c r="A381" s="10"/>
      <c r="H381" s="10"/>
      <c r="M381" s="10"/>
    </row>
    <row r="382">
      <c r="A382" s="10"/>
      <c r="H382" s="10"/>
      <c r="M382" s="10"/>
    </row>
    <row r="383">
      <c r="A383" s="10"/>
      <c r="H383" s="10"/>
      <c r="M383" s="10"/>
    </row>
    <row r="384">
      <c r="A384" s="10"/>
      <c r="H384" s="10"/>
      <c r="M384" s="10"/>
    </row>
    <row r="385">
      <c r="A385" s="10"/>
      <c r="H385" s="10"/>
      <c r="M385" s="10"/>
    </row>
    <row r="386">
      <c r="A386" s="10"/>
      <c r="H386" s="10"/>
      <c r="M386" s="10"/>
    </row>
    <row r="387">
      <c r="A387" s="10"/>
      <c r="H387" s="10"/>
      <c r="M387" s="10"/>
    </row>
    <row r="388">
      <c r="A388" s="10"/>
      <c r="H388" s="10"/>
      <c r="M388" s="10"/>
    </row>
    <row r="389">
      <c r="A389" s="10"/>
      <c r="H389" s="10"/>
      <c r="M389" s="10"/>
    </row>
    <row r="390">
      <c r="A390" s="10"/>
      <c r="H390" s="10"/>
      <c r="M390" s="10"/>
    </row>
    <row r="391">
      <c r="A391" s="10"/>
      <c r="H391" s="10"/>
      <c r="M391" s="10"/>
    </row>
    <row r="392">
      <c r="A392" s="10"/>
      <c r="H392" s="10"/>
      <c r="M392" s="10"/>
    </row>
    <row r="393">
      <c r="A393" s="10"/>
      <c r="H393" s="10"/>
      <c r="M393" s="10"/>
    </row>
    <row r="394">
      <c r="A394" s="10"/>
      <c r="H394" s="10"/>
      <c r="M394" s="10"/>
    </row>
    <row r="395">
      <c r="A395" s="10"/>
      <c r="H395" s="10"/>
      <c r="M395" s="10"/>
    </row>
    <row r="396">
      <c r="A396" s="10"/>
      <c r="H396" s="10"/>
      <c r="M396" s="10"/>
    </row>
    <row r="397">
      <c r="A397" s="10"/>
      <c r="H397" s="10"/>
      <c r="M397" s="10"/>
    </row>
    <row r="398">
      <c r="A398" s="10"/>
      <c r="H398" s="10"/>
      <c r="M398" s="10"/>
    </row>
    <row r="399">
      <c r="A399" s="10"/>
      <c r="H399" s="10"/>
      <c r="M399" s="10"/>
    </row>
    <row r="400">
      <c r="A400" s="10"/>
      <c r="H400" s="10"/>
      <c r="M400" s="10"/>
    </row>
    <row r="401">
      <c r="A401" s="10"/>
      <c r="H401" s="10"/>
      <c r="M401" s="10"/>
    </row>
    <row r="402">
      <c r="A402" s="10"/>
      <c r="H402" s="10"/>
      <c r="M402" s="10"/>
    </row>
    <row r="403">
      <c r="A403" s="10"/>
      <c r="H403" s="10"/>
      <c r="M403" s="10"/>
    </row>
    <row r="404">
      <c r="A404" s="10"/>
      <c r="H404" s="10"/>
      <c r="M404" s="10"/>
    </row>
    <row r="405">
      <c r="A405" s="10"/>
      <c r="H405" s="10"/>
      <c r="M405" s="10"/>
    </row>
    <row r="406">
      <c r="A406" s="10"/>
      <c r="H406" s="10"/>
      <c r="M406" s="10"/>
    </row>
    <row r="407">
      <c r="A407" s="10"/>
      <c r="H407" s="10"/>
      <c r="M407" s="10"/>
    </row>
    <row r="408">
      <c r="A408" s="10"/>
      <c r="H408" s="10"/>
      <c r="M408" s="10"/>
    </row>
    <row r="409">
      <c r="A409" s="10"/>
      <c r="H409" s="10"/>
      <c r="M409" s="10"/>
    </row>
    <row r="410">
      <c r="A410" s="10"/>
      <c r="H410" s="10"/>
      <c r="M410" s="10"/>
    </row>
    <row r="411">
      <c r="A411" s="10"/>
      <c r="H411" s="10"/>
      <c r="M411" s="10"/>
    </row>
    <row r="412">
      <c r="A412" s="10"/>
      <c r="H412" s="10"/>
      <c r="M412" s="10"/>
    </row>
    <row r="413">
      <c r="A413" s="10"/>
      <c r="H413" s="10"/>
      <c r="M413" s="10"/>
    </row>
    <row r="414">
      <c r="A414" s="10"/>
      <c r="H414" s="10"/>
      <c r="M414" s="10"/>
    </row>
    <row r="415">
      <c r="A415" s="10"/>
      <c r="H415" s="10"/>
      <c r="M415" s="10"/>
    </row>
    <row r="416">
      <c r="A416" s="10"/>
      <c r="H416" s="10"/>
      <c r="M416" s="10"/>
    </row>
    <row r="417">
      <c r="A417" s="10"/>
      <c r="H417" s="10"/>
      <c r="M417" s="10"/>
    </row>
    <row r="418">
      <c r="A418" s="10"/>
      <c r="H418" s="10"/>
      <c r="M418" s="10"/>
    </row>
    <row r="419">
      <c r="A419" s="10"/>
      <c r="H419" s="10"/>
      <c r="M419" s="10"/>
    </row>
    <row r="420">
      <c r="A420" s="10"/>
      <c r="H420" s="10"/>
      <c r="M420" s="10"/>
    </row>
    <row r="421">
      <c r="A421" s="10"/>
      <c r="H421" s="10"/>
      <c r="M421" s="10"/>
    </row>
    <row r="422">
      <c r="A422" s="10"/>
      <c r="H422" s="10"/>
      <c r="M422" s="10"/>
    </row>
    <row r="423">
      <c r="A423" s="10"/>
      <c r="H423" s="10"/>
      <c r="M423" s="10"/>
    </row>
    <row r="424">
      <c r="A424" s="10"/>
      <c r="H424" s="10"/>
      <c r="M424" s="10"/>
    </row>
    <row r="425">
      <c r="A425" s="10"/>
      <c r="H425" s="10"/>
      <c r="M425" s="10"/>
    </row>
    <row r="426">
      <c r="A426" s="10"/>
      <c r="H426" s="10"/>
      <c r="M426" s="10"/>
    </row>
    <row r="427">
      <c r="A427" s="10"/>
      <c r="H427" s="10"/>
      <c r="M427" s="10"/>
    </row>
    <row r="428">
      <c r="A428" s="10"/>
      <c r="H428" s="10"/>
      <c r="M428" s="10"/>
    </row>
    <row r="429">
      <c r="A429" s="10"/>
      <c r="H429" s="10"/>
      <c r="M429" s="10"/>
    </row>
    <row r="430">
      <c r="A430" s="10"/>
      <c r="H430" s="10"/>
      <c r="M430" s="10"/>
    </row>
    <row r="431">
      <c r="A431" s="10"/>
      <c r="H431" s="10"/>
      <c r="M431" s="10"/>
    </row>
    <row r="432">
      <c r="A432" s="10"/>
      <c r="H432" s="10"/>
      <c r="M432" s="10"/>
    </row>
    <row r="433">
      <c r="A433" s="10"/>
      <c r="H433" s="10"/>
      <c r="M433" s="10"/>
    </row>
    <row r="434">
      <c r="A434" s="10"/>
      <c r="H434" s="10"/>
      <c r="M434" s="10"/>
    </row>
    <row r="435">
      <c r="A435" s="10"/>
      <c r="H435" s="10"/>
      <c r="M435" s="10"/>
    </row>
    <row r="436">
      <c r="A436" s="10"/>
      <c r="H436" s="10"/>
      <c r="M436" s="10"/>
    </row>
    <row r="437">
      <c r="A437" s="10"/>
      <c r="H437" s="10"/>
      <c r="M437" s="10"/>
    </row>
    <row r="438">
      <c r="A438" s="10"/>
      <c r="H438" s="10"/>
      <c r="M438" s="10"/>
    </row>
    <row r="439">
      <c r="A439" s="10"/>
      <c r="H439" s="10"/>
      <c r="M439" s="10"/>
    </row>
    <row r="440">
      <c r="A440" s="10"/>
      <c r="H440" s="10"/>
      <c r="M440" s="10"/>
    </row>
    <row r="441">
      <c r="A441" s="10"/>
      <c r="H441" s="10"/>
      <c r="M441" s="10"/>
    </row>
    <row r="442">
      <c r="A442" s="10"/>
      <c r="H442" s="10"/>
      <c r="M442" s="10"/>
    </row>
    <row r="443">
      <c r="A443" s="10"/>
      <c r="H443" s="10"/>
      <c r="M443" s="10"/>
    </row>
    <row r="444">
      <c r="A444" s="10"/>
      <c r="H444" s="10"/>
      <c r="M444" s="10"/>
    </row>
    <row r="445">
      <c r="A445" s="10"/>
      <c r="H445" s="10"/>
      <c r="M445" s="10"/>
    </row>
    <row r="446">
      <c r="A446" s="10"/>
      <c r="H446" s="10"/>
      <c r="M446" s="10"/>
    </row>
    <row r="447">
      <c r="A447" s="10"/>
      <c r="H447" s="10"/>
      <c r="M447" s="10"/>
    </row>
    <row r="448">
      <c r="A448" s="10"/>
      <c r="H448" s="10"/>
      <c r="M448" s="10"/>
    </row>
    <row r="449">
      <c r="A449" s="10"/>
      <c r="H449" s="10"/>
      <c r="M449" s="10"/>
    </row>
    <row r="450">
      <c r="A450" s="10"/>
      <c r="H450" s="10"/>
      <c r="M450" s="10"/>
    </row>
    <row r="451">
      <c r="A451" s="10"/>
      <c r="H451" s="10"/>
      <c r="M451" s="10"/>
    </row>
    <row r="452">
      <c r="A452" s="10"/>
      <c r="H452" s="10"/>
      <c r="M452" s="10"/>
    </row>
    <row r="453">
      <c r="A453" s="10"/>
      <c r="H453" s="10"/>
      <c r="M453" s="10"/>
    </row>
    <row r="454">
      <c r="A454" s="10"/>
      <c r="H454" s="10"/>
      <c r="M454" s="10"/>
    </row>
    <row r="455">
      <c r="A455" s="10"/>
      <c r="H455" s="10"/>
      <c r="M455" s="10"/>
    </row>
    <row r="456">
      <c r="A456" s="10"/>
      <c r="H456" s="10"/>
      <c r="M456" s="10"/>
    </row>
    <row r="457">
      <c r="A457" s="10"/>
      <c r="H457" s="10"/>
      <c r="M457" s="10"/>
    </row>
    <row r="458">
      <c r="A458" s="10"/>
      <c r="H458" s="10"/>
      <c r="M458" s="10"/>
    </row>
    <row r="459">
      <c r="A459" s="10"/>
      <c r="H459" s="10"/>
      <c r="M459" s="10"/>
    </row>
    <row r="460">
      <c r="A460" s="10"/>
      <c r="H460" s="10"/>
      <c r="M460" s="10"/>
    </row>
    <row r="461">
      <c r="A461" s="10"/>
      <c r="H461" s="10"/>
      <c r="M461" s="10"/>
    </row>
    <row r="462">
      <c r="A462" s="10"/>
      <c r="H462" s="10"/>
      <c r="M462" s="10"/>
    </row>
    <row r="463">
      <c r="A463" s="10"/>
      <c r="H463" s="10"/>
      <c r="M463" s="10"/>
    </row>
    <row r="464">
      <c r="A464" s="10"/>
      <c r="H464" s="10"/>
      <c r="M464" s="10"/>
    </row>
    <row r="465">
      <c r="A465" s="10"/>
      <c r="H465" s="10"/>
      <c r="M465" s="10"/>
    </row>
    <row r="466">
      <c r="A466" s="10"/>
      <c r="H466" s="10"/>
      <c r="M466" s="10"/>
    </row>
    <row r="467">
      <c r="A467" s="10"/>
      <c r="H467" s="10"/>
      <c r="M467" s="10"/>
    </row>
    <row r="468">
      <c r="A468" s="10"/>
      <c r="H468" s="10"/>
      <c r="M468" s="10"/>
    </row>
    <row r="469">
      <c r="A469" s="10"/>
      <c r="H469" s="10"/>
      <c r="M469" s="10"/>
    </row>
    <row r="470">
      <c r="A470" s="10"/>
      <c r="H470" s="10"/>
      <c r="M470" s="10"/>
    </row>
    <row r="471">
      <c r="A471" s="10"/>
      <c r="H471" s="10"/>
      <c r="M471" s="10"/>
    </row>
    <row r="472">
      <c r="A472" s="10"/>
      <c r="H472" s="10"/>
      <c r="M472" s="10"/>
    </row>
    <row r="473">
      <c r="A473" s="10"/>
      <c r="H473" s="10"/>
      <c r="M473" s="10"/>
    </row>
    <row r="474">
      <c r="A474" s="10"/>
      <c r="H474" s="10"/>
      <c r="M474" s="10"/>
    </row>
    <row r="475">
      <c r="A475" s="10"/>
      <c r="H475" s="10"/>
      <c r="M475" s="10"/>
    </row>
    <row r="476">
      <c r="A476" s="10"/>
      <c r="H476" s="10"/>
      <c r="M476" s="10"/>
    </row>
    <row r="477">
      <c r="A477" s="10"/>
      <c r="H477" s="10"/>
      <c r="M477" s="10"/>
    </row>
    <row r="478">
      <c r="A478" s="10"/>
      <c r="H478" s="10"/>
      <c r="M478" s="10"/>
    </row>
    <row r="479">
      <c r="A479" s="10"/>
      <c r="H479" s="10"/>
      <c r="M479" s="10"/>
    </row>
    <row r="480">
      <c r="A480" s="10"/>
      <c r="H480" s="10"/>
      <c r="M480" s="10"/>
    </row>
    <row r="481">
      <c r="A481" s="10"/>
      <c r="H481" s="10"/>
      <c r="M481" s="10"/>
    </row>
    <row r="482">
      <c r="A482" s="10"/>
      <c r="H482" s="10"/>
      <c r="M482" s="10"/>
    </row>
    <row r="483">
      <c r="A483" s="10"/>
      <c r="H483" s="10"/>
      <c r="M483" s="10"/>
    </row>
    <row r="484">
      <c r="A484" s="10"/>
      <c r="H484" s="10"/>
      <c r="M484" s="10"/>
    </row>
    <row r="485">
      <c r="A485" s="10"/>
      <c r="H485" s="10"/>
      <c r="M485" s="10"/>
    </row>
    <row r="486">
      <c r="A486" s="10"/>
      <c r="H486" s="10"/>
      <c r="M486" s="10"/>
    </row>
    <row r="487">
      <c r="A487" s="10"/>
      <c r="H487" s="10"/>
      <c r="M487" s="10"/>
    </row>
    <row r="488">
      <c r="A488" s="10"/>
      <c r="H488" s="10"/>
      <c r="M488" s="10"/>
    </row>
    <row r="489">
      <c r="A489" s="10"/>
      <c r="H489" s="10"/>
      <c r="M489" s="10"/>
    </row>
    <row r="490">
      <c r="A490" s="10"/>
      <c r="H490" s="10"/>
      <c r="M490" s="10"/>
    </row>
    <row r="491">
      <c r="A491" s="10"/>
      <c r="H491" s="10"/>
      <c r="M491" s="10"/>
    </row>
    <row r="492">
      <c r="A492" s="10"/>
      <c r="H492" s="10"/>
      <c r="M492" s="10"/>
    </row>
    <row r="493">
      <c r="A493" s="10"/>
      <c r="H493" s="10"/>
      <c r="M493" s="10"/>
    </row>
    <row r="494">
      <c r="A494" s="10"/>
      <c r="H494" s="10"/>
      <c r="M494" s="10"/>
    </row>
    <row r="495">
      <c r="A495" s="10"/>
      <c r="H495" s="10"/>
      <c r="M495" s="10"/>
    </row>
    <row r="496">
      <c r="A496" s="10"/>
      <c r="H496" s="10"/>
      <c r="M496" s="10"/>
    </row>
    <row r="497">
      <c r="A497" s="10"/>
      <c r="H497" s="10"/>
      <c r="M497" s="10"/>
    </row>
    <row r="498">
      <c r="A498" s="10"/>
      <c r="H498" s="10"/>
      <c r="M498" s="10"/>
    </row>
    <row r="499">
      <c r="A499" s="10"/>
      <c r="H499" s="10"/>
      <c r="M499" s="10"/>
    </row>
    <row r="500">
      <c r="A500" s="10"/>
      <c r="H500" s="10"/>
      <c r="M500" s="10"/>
    </row>
    <row r="501">
      <c r="A501" s="10"/>
      <c r="H501" s="10"/>
      <c r="M501" s="10"/>
    </row>
    <row r="502">
      <c r="A502" s="10"/>
      <c r="H502" s="10"/>
      <c r="M502" s="10"/>
    </row>
    <row r="503">
      <c r="A503" s="10"/>
      <c r="H503" s="10"/>
      <c r="M503" s="10"/>
    </row>
    <row r="504">
      <c r="A504" s="10"/>
      <c r="H504" s="10"/>
      <c r="M504" s="10"/>
    </row>
    <row r="505">
      <c r="A505" s="10"/>
      <c r="H505" s="10"/>
      <c r="M505" s="10"/>
    </row>
    <row r="506">
      <c r="A506" s="10"/>
      <c r="H506" s="10"/>
      <c r="M506" s="10"/>
    </row>
    <row r="507">
      <c r="A507" s="10"/>
      <c r="H507" s="10"/>
      <c r="M507" s="10"/>
    </row>
    <row r="508">
      <c r="A508" s="10"/>
      <c r="H508" s="10"/>
      <c r="M508" s="10"/>
    </row>
    <row r="509">
      <c r="A509" s="10"/>
      <c r="H509" s="10"/>
      <c r="M509" s="10"/>
    </row>
    <row r="510">
      <c r="A510" s="10"/>
      <c r="H510" s="10"/>
      <c r="M510" s="10"/>
    </row>
    <row r="511">
      <c r="A511" s="10"/>
      <c r="H511" s="10"/>
      <c r="M511" s="10"/>
    </row>
    <row r="512">
      <c r="A512" s="10"/>
      <c r="H512" s="10"/>
      <c r="M512" s="10"/>
    </row>
    <row r="513">
      <c r="A513" s="10"/>
      <c r="H513" s="10"/>
      <c r="M513" s="10"/>
    </row>
    <row r="514">
      <c r="A514" s="10"/>
      <c r="H514" s="10"/>
      <c r="M514" s="10"/>
    </row>
    <row r="515">
      <c r="A515" s="10"/>
      <c r="H515" s="10"/>
      <c r="M515" s="10"/>
    </row>
    <row r="516">
      <c r="A516" s="10"/>
      <c r="H516" s="10"/>
      <c r="M516" s="10"/>
    </row>
    <row r="517">
      <c r="A517" s="10"/>
      <c r="H517" s="10"/>
      <c r="M517" s="10"/>
    </row>
    <row r="518">
      <c r="A518" s="10"/>
      <c r="H518" s="10"/>
      <c r="M518" s="10"/>
    </row>
    <row r="519">
      <c r="A519" s="10"/>
      <c r="H519" s="10"/>
      <c r="M519" s="10"/>
    </row>
    <row r="520">
      <c r="A520" s="10"/>
      <c r="H520" s="10"/>
      <c r="M520" s="10"/>
    </row>
    <row r="521">
      <c r="A521" s="10"/>
      <c r="H521" s="10"/>
      <c r="M521" s="10"/>
    </row>
    <row r="522">
      <c r="A522" s="10"/>
      <c r="H522" s="10"/>
      <c r="M522" s="10"/>
    </row>
    <row r="523">
      <c r="A523" s="10"/>
      <c r="H523" s="10"/>
      <c r="M523" s="10"/>
    </row>
    <row r="524">
      <c r="A524" s="10"/>
      <c r="H524" s="10"/>
      <c r="M524" s="10"/>
    </row>
    <row r="525">
      <c r="A525" s="10"/>
      <c r="H525" s="10"/>
      <c r="M525" s="10"/>
    </row>
    <row r="526">
      <c r="A526" s="10"/>
      <c r="H526" s="10"/>
      <c r="M526" s="10"/>
    </row>
    <row r="527">
      <c r="A527" s="10"/>
      <c r="H527" s="10"/>
      <c r="M527" s="10"/>
    </row>
    <row r="528">
      <c r="A528" s="10"/>
      <c r="H528" s="10"/>
      <c r="M528" s="10"/>
    </row>
    <row r="529">
      <c r="A529" s="10"/>
      <c r="H529" s="10"/>
      <c r="M529" s="10"/>
    </row>
    <row r="530">
      <c r="A530" s="10"/>
      <c r="H530" s="10"/>
      <c r="M530" s="10"/>
    </row>
    <row r="531">
      <c r="A531" s="10"/>
      <c r="H531" s="10"/>
      <c r="M531" s="10"/>
    </row>
    <row r="532">
      <c r="A532" s="10"/>
      <c r="H532" s="10"/>
      <c r="M532" s="10"/>
    </row>
    <row r="533">
      <c r="A533" s="10"/>
      <c r="H533" s="10"/>
      <c r="M533" s="10"/>
    </row>
    <row r="534">
      <c r="A534" s="10"/>
      <c r="H534" s="10"/>
      <c r="M534" s="10"/>
    </row>
    <row r="535">
      <c r="A535" s="10"/>
      <c r="H535" s="10"/>
      <c r="M535" s="10"/>
    </row>
    <row r="536">
      <c r="A536" s="10"/>
      <c r="H536" s="10"/>
      <c r="M536" s="10"/>
    </row>
    <row r="537">
      <c r="A537" s="10"/>
      <c r="H537" s="10"/>
      <c r="M537" s="10"/>
    </row>
    <row r="538">
      <c r="A538" s="10"/>
      <c r="H538" s="10"/>
      <c r="M538" s="10"/>
    </row>
    <row r="539">
      <c r="A539" s="10"/>
      <c r="H539" s="10"/>
      <c r="M539" s="10"/>
    </row>
    <row r="540">
      <c r="A540" s="10"/>
      <c r="H540" s="10"/>
      <c r="M540" s="10"/>
    </row>
    <row r="541">
      <c r="A541" s="10"/>
      <c r="H541" s="10"/>
      <c r="M541" s="10"/>
    </row>
    <row r="542">
      <c r="A542" s="10"/>
      <c r="H542" s="10"/>
      <c r="M542" s="10"/>
    </row>
    <row r="543">
      <c r="A543" s="10"/>
      <c r="H543" s="10"/>
      <c r="M543" s="10"/>
    </row>
    <row r="544">
      <c r="A544" s="10"/>
      <c r="H544" s="10"/>
      <c r="M544" s="10"/>
    </row>
    <row r="545">
      <c r="A545" s="10"/>
      <c r="H545" s="10"/>
      <c r="M545" s="10"/>
    </row>
    <row r="546">
      <c r="A546" s="10"/>
      <c r="H546" s="10"/>
      <c r="M546" s="10"/>
    </row>
    <row r="547">
      <c r="A547" s="10"/>
      <c r="H547" s="10"/>
      <c r="M547" s="10"/>
    </row>
    <row r="548">
      <c r="A548" s="10"/>
      <c r="H548" s="10"/>
      <c r="M548" s="10"/>
    </row>
    <row r="549">
      <c r="A549" s="10"/>
      <c r="H549" s="10"/>
      <c r="M549" s="10"/>
    </row>
    <row r="550">
      <c r="A550" s="10"/>
      <c r="H550" s="10"/>
      <c r="M550" s="10"/>
    </row>
    <row r="551">
      <c r="A551" s="10"/>
      <c r="H551" s="10"/>
      <c r="M551" s="10"/>
    </row>
    <row r="552">
      <c r="A552" s="10"/>
      <c r="H552" s="10"/>
      <c r="M552" s="10"/>
    </row>
    <row r="553">
      <c r="A553" s="10"/>
      <c r="H553" s="10"/>
      <c r="M553" s="10"/>
    </row>
    <row r="554">
      <c r="A554" s="10"/>
      <c r="H554" s="10"/>
      <c r="M554" s="10"/>
    </row>
    <row r="555">
      <c r="A555" s="10"/>
      <c r="H555" s="10"/>
      <c r="M555" s="10"/>
    </row>
    <row r="556">
      <c r="A556" s="10"/>
      <c r="H556" s="10"/>
      <c r="M556" s="10"/>
    </row>
    <row r="557">
      <c r="A557" s="10"/>
      <c r="H557" s="10"/>
      <c r="M557" s="10"/>
    </row>
    <row r="558">
      <c r="A558" s="10"/>
      <c r="H558" s="10"/>
      <c r="M558" s="10"/>
    </row>
    <row r="559">
      <c r="A559" s="10"/>
      <c r="H559" s="10"/>
      <c r="M559" s="10"/>
    </row>
    <row r="560">
      <c r="A560" s="10"/>
      <c r="H560" s="10"/>
      <c r="M560" s="10"/>
    </row>
    <row r="561">
      <c r="A561" s="10"/>
      <c r="H561" s="10"/>
      <c r="M561" s="10"/>
    </row>
    <row r="562">
      <c r="A562" s="10"/>
      <c r="H562" s="10"/>
      <c r="M562" s="10"/>
    </row>
    <row r="563">
      <c r="A563" s="10"/>
      <c r="H563" s="10"/>
      <c r="M563" s="10"/>
    </row>
    <row r="564">
      <c r="A564" s="10"/>
      <c r="H564" s="10"/>
      <c r="M564" s="10"/>
    </row>
    <row r="565">
      <c r="A565" s="10"/>
      <c r="H565" s="10"/>
      <c r="M565" s="10"/>
    </row>
    <row r="566">
      <c r="A566" s="10"/>
      <c r="H566" s="10"/>
      <c r="M566" s="10"/>
    </row>
    <row r="567">
      <c r="A567" s="10"/>
      <c r="H567" s="10"/>
      <c r="M567" s="10"/>
    </row>
    <row r="568">
      <c r="A568" s="10"/>
      <c r="H568" s="10"/>
      <c r="M568" s="10"/>
    </row>
    <row r="569">
      <c r="A569" s="10"/>
      <c r="H569" s="10"/>
      <c r="M569" s="10"/>
    </row>
    <row r="570">
      <c r="A570" s="10"/>
      <c r="H570" s="10"/>
      <c r="M570" s="10"/>
    </row>
    <row r="571">
      <c r="A571" s="10"/>
      <c r="H571" s="10"/>
      <c r="M571" s="10"/>
    </row>
    <row r="572">
      <c r="A572" s="10"/>
      <c r="H572" s="10"/>
      <c r="M572" s="10"/>
    </row>
    <row r="573">
      <c r="A573" s="10"/>
      <c r="H573" s="10"/>
      <c r="M573" s="10"/>
    </row>
    <row r="574">
      <c r="A574" s="10"/>
      <c r="H574" s="10"/>
      <c r="M574" s="10"/>
    </row>
    <row r="575">
      <c r="A575" s="10"/>
      <c r="H575" s="10"/>
      <c r="M575" s="10"/>
    </row>
    <row r="576">
      <c r="A576" s="10"/>
      <c r="H576" s="10"/>
      <c r="M576" s="10"/>
    </row>
    <row r="577">
      <c r="A577" s="10"/>
      <c r="H577" s="10"/>
      <c r="M577" s="10"/>
    </row>
    <row r="578">
      <c r="A578" s="10"/>
      <c r="H578" s="10"/>
      <c r="M578" s="10"/>
    </row>
    <row r="579">
      <c r="A579" s="10"/>
      <c r="H579" s="10"/>
      <c r="M579" s="10"/>
    </row>
    <row r="580">
      <c r="A580" s="10"/>
      <c r="H580" s="10"/>
      <c r="M580" s="10"/>
    </row>
    <row r="581">
      <c r="A581" s="10"/>
      <c r="H581" s="10"/>
      <c r="M581" s="10"/>
    </row>
    <row r="582">
      <c r="A582" s="10"/>
      <c r="H582" s="10"/>
      <c r="M582" s="10"/>
    </row>
    <row r="583">
      <c r="A583" s="10"/>
      <c r="H583" s="10"/>
      <c r="M583" s="10"/>
    </row>
    <row r="584">
      <c r="A584" s="10"/>
      <c r="H584" s="10"/>
      <c r="M584" s="10"/>
    </row>
    <row r="585">
      <c r="A585" s="10"/>
      <c r="H585" s="10"/>
      <c r="M585" s="10"/>
    </row>
    <row r="586">
      <c r="A586" s="10"/>
      <c r="H586" s="10"/>
      <c r="M586" s="10"/>
    </row>
    <row r="587">
      <c r="A587" s="10"/>
      <c r="H587" s="10"/>
      <c r="M587" s="10"/>
    </row>
    <row r="588">
      <c r="A588" s="10"/>
      <c r="H588" s="10"/>
      <c r="M588" s="10"/>
    </row>
    <row r="589">
      <c r="A589" s="10"/>
      <c r="H589" s="10"/>
      <c r="M589" s="10"/>
    </row>
    <row r="590">
      <c r="A590" s="10"/>
      <c r="H590" s="10"/>
      <c r="M590" s="10"/>
    </row>
    <row r="591">
      <c r="A591" s="10"/>
      <c r="H591" s="10"/>
      <c r="M591" s="10"/>
    </row>
    <row r="592">
      <c r="A592" s="10"/>
      <c r="H592" s="10"/>
      <c r="M592" s="10"/>
    </row>
    <row r="593">
      <c r="A593" s="10"/>
      <c r="H593" s="10"/>
      <c r="M593" s="10"/>
    </row>
    <row r="594">
      <c r="A594" s="10"/>
      <c r="H594" s="10"/>
      <c r="M594" s="10"/>
    </row>
    <row r="595">
      <c r="A595" s="10"/>
      <c r="H595" s="10"/>
      <c r="M595" s="10"/>
    </row>
    <row r="596">
      <c r="A596" s="10"/>
      <c r="H596" s="10"/>
      <c r="M596" s="10"/>
    </row>
    <row r="597">
      <c r="A597" s="10"/>
      <c r="H597" s="10"/>
      <c r="M597" s="10"/>
    </row>
    <row r="598">
      <c r="A598" s="10"/>
      <c r="H598" s="10"/>
      <c r="M598" s="10"/>
    </row>
    <row r="599">
      <c r="A599" s="10"/>
      <c r="H599" s="10"/>
      <c r="M599" s="10"/>
    </row>
    <row r="600">
      <c r="A600" s="10"/>
      <c r="H600" s="10"/>
      <c r="M600" s="10"/>
    </row>
    <row r="601">
      <c r="A601" s="10"/>
      <c r="H601" s="10"/>
      <c r="M601" s="10"/>
    </row>
    <row r="602">
      <c r="A602" s="10"/>
      <c r="H602" s="10"/>
      <c r="M602" s="10"/>
    </row>
    <row r="603">
      <c r="A603" s="10"/>
      <c r="H603" s="10"/>
      <c r="M603" s="10"/>
    </row>
    <row r="604">
      <c r="A604" s="10"/>
      <c r="H604" s="10"/>
      <c r="M604" s="10"/>
    </row>
    <row r="605">
      <c r="A605" s="10"/>
      <c r="H605" s="10"/>
      <c r="M605" s="10"/>
    </row>
    <row r="606">
      <c r="A606" s="10"/>
      <c r="H606" s="10"/>
      <c r="M606" s="10"/>
    </row>
    <row r="607">
      <c r="A607" s="10"/>
      <c r="H607" s="10"/>
      <c r="M607" s="10"/>
    </row>
    <row r="608">
      <c r="A608" s="10"/>
      <c r="H608" s="10"/>
      <c r="M608" s="10"/>
    </row>
    <row r="609">
      <c r="A609" s="10"/>
      <c r="H609" s="10"/>
      <c r="M609" s="10"/>
    </row>
    <row r="610">
      <c r="A610" s="10"/>
      <c r="H610" s="10"/>
      <c r="M610" s="10"/>
    </row>
    <row r="611">
      <c r="A611" s="10"/>
      <c r="H611" s="10"/>
      <c r="M611" s="10"/>
    </row>
    <row r="612">
      <c r="A612" s="10"/>
      <c r="H612" s="10"/>
      <c r="M612" s="10"/>
    </row>
    <row r="613">
      <c r="A613" s="10"/>
      <c r="H613" s="10"/>
      <c r="M613" s="10"/>
    </row>
    <row r="614">
      <c r="A614" s="10"/>
      <c r="H614" s="10"/>
      <c r="M614" s="10"/>
    </row>
    <row r="615">
      <c r="A615" s="10"/>
      <c r="H615" s="10"/>
      <c r="M615" s="10"/>
    </row>
    <row r="616">
      <c r="A616" s="10"/>
      <c r="H616" s="10"/>
      <c r="M616" s="10"/>
    </row>
    <row r="617">
      <c r="A617" s="10"/>
      <c r="H617" s="10"/>
      <c r="M617" s="10"/>
    </row>
    <row r="618">
      <c r="A618" s="10"/>
      <c r="H618" s="10"/>
      <c r="M618" s="10"/>
    </row>
    <row r="619">
      <c r="A619" s="10"/>
      <c r="H619" s="10"/>
      <c r="M619" s="10"/>
    </row>
    <row r="620">
      <c r="A620" s="10"/>
      <c r="H620" s="10"/>
      <c r="M620" s="10"/>
    </row>
    <row r="621">
      <c r="A621" s="10"/>
      <c r="H621" s="10"/>
      <c r="M621" s="10"/>
    </row>
    <row r="622">
      <c r="A622" s="10"/>
      <c r="H622" s="10"/>
      <c r="M622" s="10"/>
    </row>
    <row r="623">
      <c r="A623" s="10"/>
      <c r="H623" s="10"/>
      <c r="M623" s="10"/>
    </row>
    <row r="624">
      <c r="A624" s="10"/>
      <c r="H624" s="10"/>
      <c r="M624" s="10"/>
    </row>
    <row r="625">
      <c r="A625" s="10"/>
      <c r="H625" s="10"/>
      <c r="M625" s="10"/>
    </row>
    <row r="626">
      <c r="A626" s="10"/>
      <c r="H626" s="10"/>
      <c r="M626" s="10"/>
    </row>
    <row r="627">
      <c r="A627" s="10"/>
      <c r="H627" s="10"/>
      <c r="M627" s="10"/>
    </row>
    <row r="628">
      <c r="A628" s="10"/>
      <c r="H628" s="10"/>
      <c r="M628" s="10"/>
    </row>
    <row r="629">
      <c r="A629" s="10"/>
      <c r="H629" s="10"/>
      <c r="M629" s="10"/>
    </row>
    <row r="630">
      <c r="A630" s="10"/>
      <c r="H630" s="10"/>
      <c r="M630" s="10"/>
    </row>
    <row r="631">
      <c r="A631" s="10"/>
      <c r="H631" s="10"/>
      <c r="M631" s="10"/>
    </row>
    <row r="632">
      <c r="A632" s="10"/>
      <c r="H632" s="10"/>
      <c r="M632" s="10"/>
    </row>
    <row r="633">
      <c r="A633" s="10"/>
      <c r="H633" s="10"/>
      <c r="M633" s="10"/>
    </row>
    <row r="634">
      <c r="A634" s="10"/>
      <c r="H634" s="10"/>
      <c r="M634" s="10"/>
    </row>
    <row r="635">
      <c r="A635" s="10"/>
      <c r="H635" s="10"/>
      <c r="M635" s="10"/>
    </row>
    <row r="636">
      <c r="A636" s="10"/>
      <c r="H636" s="10"/>
      <c r="M636" s="10"/>
    </row>
    <row r="637">
      <c r="A637" s="10"/>
      <c r="H637" s="10"/>
      <c r="M637" s="10"/>
    </row>
    <row r="638">
      <c r="A638" s="10"/>
      <c r="H638" s="10"/>
      <c r="M638" s="10"/>
    </row>
    <row r="639">
      <c r="A639" s="10"/>
      <c r="H639" s="10"/>
      <c r="M639" s="10"/>
    </row>
    <row r="640">
      <c r="A640" s="10"/>
      <c r="H640" s="10"/>
      <c r="M640" s="10"/>
    </row>
    <row r="641">
      <c r="A641" s="10"/>
      <c r="H641" s="10"/>
      <c r="M641" s="10"/>
    </row>
    <row r="642">
      <c r="A642" s="10"/>
      <c r="H642" s="10"/>
      <c r="M642" s="10"/>
    </row>
    <row r="643">
      <c r="A643" s="10"/>
      <c r="H643" s="10"/>
      <c r="M643" s="10"/>
    </row>
    <row r="644">
      <c r="A644" s="10"/>
      <c r="H644" s="10"/>
      <c r="M644" s="10"/>
    </row>
    <row r="645">
      <c r="A645" s="10"/>
      <c r="H645" s="10"/>
      <c r="M645" s="10"/>
    </row>
    <row r="646">
      <c r="A646" s="10"/>
      <c r="H646" s="10"/>
      <c r="M646" s="10"/>
    </row>
    <row r="647">
      <c r="A647" s="10"/>
      <c r="H647" s="10"/>
      <c r="M647" s="10"/>
    </row>
    <row r="648">
      <c r="A648" s="10"/>
      <c r="H648" s="10"/>
      <c r="M648" s="10"/>
    </row>
    <row r="649">
      <c r="A649" s="10"/>
      <c r="H649" s="10"/>
      <c r="M649" s="10"/>
    </row>
    <row r="650">
      <c r="A650" s="10"/>
      <c r="H650" s="10"/>
      <c r="M650" s="10"/>
    </row>
    <row r="651">
      <c r="A651" s="10"/>
      <c r="H651" s="10"/>
      <c r="M651" s="10"/>
    </row>
    <row r="652">
      <c r="A652" s="10"/>
      <c r="H652" s="10"/>
      <c r="M652" s="10"/>
    </row>
    <row r="653">
      <c r="A653" s="10"/>
      <c r="H653" s="10"/>
      <c r="M653" s="10"/>
    </row>
    <row r="654">
      <c r="A654" s="10"/>
      <c r="H654" s="10"/>
      <c r="M654" s="10"/>
    </row>
    <row r="655">
      <c r="A655" s="10"/>
      <c r="H655" s="10"/>
      <c r="M655" s="10"/>
    </row>
    <row r="656">
      <c r="A656" s="10"/>
      <c r="H656" s="10"/>
      <c r="M656" s="10"/>
    </row>
    <row r="657">
      <c r="A657" s="10"/>
      <c r="H657" s="10"/>
      <c r="M657" s="10"/>
    </row>
    <row r="658">
      <c r="A658" s="10"/>
      <c r="H658" s="10"/>
      <c r="M658" s="10"/>
    </row>
    <row r="659">
      <c r="A659" s="10"/>
      <c r="H659" s="10"/>
      <c r="M659" s="10"/>
    </row>
    <row r="660">
      <c r="A660" s="10"/>
      <c r="H660" s="10"/>
      <c r="M660" s="10"/>
    </row>
    <row r="661">
      <c r="A661" s="10"/>
      <c r="H661" s="10"/>
      <c r="M661" s="10"/>
    </row>
    <row r="662">
      <c r="A662" s="10"/>
      <c r="H662" s="10"/>
      <c r="M662" s="10"/>
    </row>
    <row r="663">
      <c r="A663" s="10"/>
      <c r="H663" s="10"/>
      <c r="M663" s="10"/>
    </row>
    <row r="664">
      <c r="A664" s="10"/>
      <c r="H664" s="10"/>
      <c r="M664" s="10"/>
    </row>
    <row r="665">
      <c r="A665" s="10"/>
      <c r="H665" s="10"/>
      <c r="M665" s="10"/>
    </row>
    <row r="666">
      <c r="A666" s="10"/>
      <c r="H666" s="10"/>
      <c r="M666" s="10"/>
    </row>
    <row r="667">
      <c r="A667" s="10"/>
      <c r="H667" s="10"/>
      <c r="M667" s="10"/>
    </row>
    <row r="668">
      <c r="A668" s="10"/>
      <c r="H668" s="10"/>
      <c r="M668" s="10"/>
    </row>
    <row r="669">
      <c r="A669" s="10"/>
      <c r="H669" s="10"/>
      <c r="M669" s="10"/>
    </row>
    <row r="670">
      <c r="A670" s="10"/>
      <c r="H670" s="10"/>
      <c r="M670" s="10"/>
    </row>
    <row r="671">
      <c r="A671" s="10"/>
      <c r="H671" s="10"/>
      <c r="M671" s="10"/>
    </row>
    <row r="672">
      <c r="A672" s="10"/>
      <c r="H672" s="10"/>
      <c r="M672" s="10"/>
    </row>
    <row r="673">
      <c r="A673" s="10"/>
      <c r="H673" s="10"/>
      <c r="M673" s="10"/>
    </row>
    <row r="674">
      <c r="A674" s="10"/>
      <c r="H674" s="10"/>
      <c r="M674" s="10"/>
    </row>
    <row r="675">
      <c r="A675" s="10"/>
      <c r="H675" s="10"/>
      <c r="M675" s="10"/>
    </row>
    <row r="676">
      <c r="A676" s="10"/>
      <c r="H676" s="10"/>
      <c r="M676" s="10"/>
    </row>
    <row r="677">
      <c r="A677" s="10"/>
      <c r="H677" s="10"/>
      <c r="M677" s="10"/>
    </row>
    <row r="678">
      <c r="A678" s="10"/>
      <c r="H678" s="10"/>
      <c r="M678" s="10"/>
    </row>
    <row r="679">
      <c r="A679" s="10"/>
      <c r="H679" s="10"/>
      <c r="M679" s="10"/>
    </row>
    <row r="680">
      <c r="A680" s="10"/>
      <c r="H680" s="10"/>
      <c r="M680" s="10"/>
    </row>
    <row r="681">
      <c r="A681" s="10"/>
      <c r="H681" s="10"/>
      <c r="M681" s="10"/>
    </row>
    <row r="682">
      <c r="A682" s="10"/>
      <c r="H682" s="10"/>
      <c r="M682" s="10"/>
    </row>
    <row r="683">
      <c r="A683" s="10"/>
      <c r="H683" s="10"/>
      <c r="M683" s="10"/>
    </row>
    <row r="684">
      <c r="A684" s="10"/>
      <c r="H684" s="10"/>
      <c r="M684" s="10"/>
    </row>
    <row r="685">
      <c r="A685" s="10"/>
      <c r="H685" s="10"/>
      <c r="M685" s="10"/>
    </row>
    <row r="686">
      <c r="A686" s="10"/>
      <c r="H686" s="10"/>
      <c r="M686" s="10"/>
    </row>
    <row r="687">
      <c r="A687" s="10"/>
      <c r="H687" s="10"/>
      <c r="M687" s="10"/>
    </row>
    <row r="688">
      <c r="A688" s="10"/>
      <c r="H688" s="10"/>
      <c r="M688" s="10"/>
    </row>
    <row r="689">
      <c r="A689" s="10"/>
      <c r="H689" s="10"/>
      <c r="M689" s="10"/>
    </row>
    <row r="690">
      <c r="A690" s="10"/>
      <c r="H690" s="10"/>
      <c r="M690" s="10"/>
    </row>
    <row r="691">
      <c r="A691" s="10"/>
      <c r="H691" s="10"/>
      <c r="M691" s="10"/>
    </row>
    <row r="692">
      <c r="A692" s="10"/>
      <c r="H692" s="10"/>
      <c r="M692" s="10"/>
    </row>
    <row r="693">
      <c r="A693" s="10"/>
      <c r="H693" s="10"/>
      <c r="M693" s="10"/>
    </row>
    <row r="694">
      <c r="A694" s="10"/>
      <c r="H694" s="10"/>
      <c r="M694" s="10"/>
    </row>
    <row r="695">
      <c r="A695" s="10"/>
      <c r="H695" s="10"/>
      <c r="M695" s="10"/>
    </row>
    <row r="696">
      <c r="A696" s="10"/>
      <c r="H696" s="10"/>
      <c r="M696" s="10"/>
    </row>
    <row r="697">
      <c r="A697" s="10"/>
      <c r="H697" s="10"/>
      <c r="M697" s="10"/>
    </row>
    <row r="698">
      <c r="A698" s="10"/>
      <c r="H698" s="10"/>
      <c r="M698" s="10"/>
    </row>
    <row r="699">
      <c r="A699" s="10"/>
      <c r="H699" s="10"/>
      <c r="M699" s="10"/>
    </row>
    <row r="700">
      <c r="A700" s="10"/>
      <c r="H700" s="10"/>
      <c r="M700" s="10"/>
    </row>
    <row r="701">
      <c r="A701" s="10"/>
      <c r="H701" s="10"/>
      <c r="M701" s="10"/>
    </row>
    <row r="702">
      <c r="A702" s="10"/>
      <c r="H702" s="10"/>
      <c r="M702" s="10"/>
    </row>
    <row r="703">
      <c r="A703" s="10"/>
      <c r="H703" s="10"/>
      <c r="M703" s="10"/>
    </row>
    <row r="704">
      <c r="A704" s="10"/>
      <c r="H704" s="10"/>
      <c r="M704" s="10"/>
    </row>
    <row r="705">
      <c r="A705" s="10"/>
      <c r="H705" s="10"/>
      <c r="M705" s="10"/>
    </row>
    <row r="706">
      <c r="A706" s="10"/>
      <c r="H706" s="10"/>
      <c r="M706" s="10"/>
    </row>
    <row r="707">
      <c r="A707" s="10"/>
      <c r="H707" s="10"/>
      <c r="M707" s="10"/>
    </row>
    <row r="708">
      <c r="A708" s="10"/>
      <c r="H708" s="10"/>
      <c r="M708" s="10"/>
    </row>
    <row r="709">
      <c r="A709" s="10"/>
      <c r="H709" s="10"/>
      <c r="M709" s="10"/>
    </row>
    <row r="710">
      <c r="A710" s="10"/>
      <c r="H710" s="10"/>
      <c r="M710" s="10"/>
    </row>
    <row r="711">
      <c r="A711" s="10"/>
      <c r="H711" s="10"/>
      <c r="M711" s="10"/>
    </row>
    <row r="712">
      <c r="A712" s="10"/>
      <c r="H712" s="10"/>
      <c r="M712" s="10"/>
    </row>
    <row r="713">
      <c r="A713" s="10"/>
      <c r="H713" s="10"/>
      <c r="M713" s="10"/>
    </row>
    <row r="714">
      <c r="A714" s="10"/>
      <c r="H714" s="10"/>
      <c r="M714" s="10"/>
    </row>
    <row r="715">
      <c r="A715" s="10"/>
      <c r="H715" s="10"/>
      <c r="M715" s="10"/>
    </row>
    <row r="716">
      <c r="A716" s="10"/>
      <c r="H716" s="10"/>
      <c r="M716" s="10"/>
    </row>
    <row r="717">
      <c r="A717" s="10"/>
      <c r="H717" s="10"/>
      <c r="M717" s="10"/>
    </row>
    <row r="718">
      <c r="A718" s="10"/>
      <c r="H718" s="10"/>
      <c r="M718" s="10"/>
    </row>
    <row r="719">
      <c r="A719" s="10"/>
      <c r="H719" s="10"/>
      <c r="M719" s="10"/>
    </row>
    <row r="720">
      <c r="A720" s="10"/>
      <c r="H720" s="10"/>
      <c r="M720" s="10"/>
    </row>
    <row r="721">
      <c r="A721" s="10"/>
      <c r="H721" s="10"/>
      <c r="M721" s="10"/>
    </row>
    <row r="722">
      <c r="A722" s="10"/>
      <c r="H722" s="10"/>
      <c r="M722" s="10"/>
    </row>
    <row r="723">
      <c r="A723" s="10"/>
      <c r="H723" s="10"/>
      <c r="M723" s="10"/>
    </row>
    <row r="724">
      <c r="A724" s="10"/>
      <c r="H724" s="10"/>
      <c r="M724" s="10"/>
    </row>
    <row r="725">
      <c r="A725" s="10"/>
      <c r="H725" s="10"/>
      <c r="M725" s="10"/>
    </row>
    <row r="726">
      <c r="A726" s="10"/>
      <c r="H726" s="10"/>
      <c r="M726" s="10"/>
    </row>
    <row r="727">
      <c r="A727" s="10"/>
      <c r="H727" s="10"/>
      <c r="M727" s="10"/>
    </row>
    <row r="728">
      <c r="A728" s="10"/>
      <c r="H728" s="10"/>
      <c r="M728" s="10"/>
    </row>
    <row r="729">
      <c r="A729" s="10"/>
      <c r="H729" s="10"/>
      <c r="M729" s="10"/>
    </row>
    <row r="730">
      <c r="A730" s="10"/>
      <c r="H730" s="10"/>
      <c r="M730" s="10"/>
    </row>
    <row r="731">
      <c r="A731" s="10"/>
      <c r="H731" s="10"/>
      <c r="M731" s="10"/>
    </row>
    <row r="732">
      <c r="A732" s="10"/>
      <c r="H732" s="10"/>
      <c r="M732" s="10"/>
    </row>
    <row r="733">
      <c r="A733" s="10"/>
      <c r="H733" s="10"/>
      <c r="M733" s="10"/>
    </row>
    <row r="734">
      <c r="A734" s="10"/>
      <c r="H734" s="10"/>
      <c r="M734" s="10"/>
    </row>
    <row r="735">
      <c r="A735" s="10"/>
      <c r="H735" s="10"/>
      <c r="M735" s="10"/>
    </row>
    <row r="736">
      <c r="A736" s="10"/>
      <c r="H736" s="10"/>
      <c r="M736" s="10"/>
    </row>
    <row r="737">
      <c r="A737" s="10"/>
      <c r="H737" s="10"/>
      <c r="M737" s="10"/>
    </row>
    <row r="738">
      <c r="A738" s="10"/>
      <c r="H738" s="10"/>
      <c r="M738" s="10"/>
    </row>
    <row r="739">
      <c r="A739" s="10"/>
      <c r="H739" s="10"/>
      <c r="M739" s="10"/>
    </row>
    <row r="740">
      <c r="A740" s="10"/>
      <c r="H740" s="10"/>
      <c r="M740" s="10"/>
    </row>
    <row r="741">
      <c r="A741" s="10"/>
      <c r="H741" s="10"/>
      <c r="M741" s="10"/>
    </row>
    <row r="742">
      <c r="A742" s="10"/>
      <c r="H742" s="10"/>
      <c r="M742" s="10"/>
    </row>
    <row r="743">
      <c r="A743" s="10"/>
      <c r="H743" s="10"/>
      <c r="M743" s="10"/>
    </row>
    <row r="744">
      <c r="A744" s="10"/>
      <c r="H744" s="10"/>
      <c r="M744" s="10"/>
    </row>
    <row r="745">
      <c r="A745" s="10"/>
      <c r="H745" s="10"/>
      <c r="M745" s="10"/>
    </row>
    <row r="746">
      <c r="A746" s="10"/>
      <c r="H746" s="10"/>
      <c r="M746" s="10"/>
    </row>
    <row r="747">
      <c r="A747" s="10"/>
      <c r="H747" s="10"/>
      <c r="M747" s="10"/>
    </row>
    <row r="748">
      <c r="A748" s="10"/>
      <c r="H748" s="10"/>
      <c r="M748" s="10"/>
    </row>
    <row r="749">
      <c r="A749" s="10"/>
      <c r="H749" s="10"/>
      <c r="M749" s="10"/>
    </row>
    <row r="750">
      <c r="A750" s="10"/>
      <c r="H750" s="10"/>
      <c r="M750" s="10"/>
    </row>
    <row r="751">
      <c r="A751" s="10"/>
      <c r="H751" s="10"/>
      <c r="M751" s="10"/>
    </row>
    <row r="752">
      <c r="A752" s="10"/>
      <c r="H752" s="10"/>
      <c r="M752" s="10"/>
    </row>
    <row r="753">
      <c r="A753" s="10"/>
      <c r="H753" s="10"/>
      <c r="M753" s="10"/>
    </row>
    <row r="754">
      <c r="A754" s="10"/>
      <c r="H754" s="10"/>
      <c r="M754" s="10"/>
    </row>
    <row r="755">
      <c r="A755" s="10"/>
      <c r="H755" s="10"/>
      <c r="M755" s="10"/>
    </row>
    <row r="756">
      <c r="A756" s="10"/>
      <c r="H756" s="10"/>
      <c r="M756" s="10"/>
    </row>
    <row r="757">
      <c r="A757" s="10"/>
      <c r="H757" s="10"/>
      <c r="M757" s="10"/>
    </row>
    <row r="758">
      <c r="A758" s="10"/>
      <c r="H758" s="10"/>
      <c r="M758" s="10"/>
    </row>
    <row r="759">
      <c r="A759" s="10"/>
      <c r="H759" s="10"/>
      <c r="M759" s="10"/>
    </row>
    <row r="760">
      <c r="A760" s="10"/>
      <c r="H760" s="10"/>
      <c r="M760" s="10"/>
    </row>
    <row r="761">
      <c r="A761" s="10"/>
      <c r="H761" s="10"/>
      <c r="M761" s="10"/>
    </row>
    <row r="762">
      <c r="A762" s="10"/>
      <c r="H762" s="10"/>
      <c r="M762" s="10"/>
    </row>
    <row r="763">
      <c r="A763" s="10"/>
      <c r="H763" s="10"/>
      <c r="M763" s="10"/>
    </row>
    <row r="764">
      <c r="A764" s="10"/>
      <c r="H764" s="10"/>
      <c r="M764" s="10"/>
    </row>
    <row r="765">
      <c r="A765" s="10"/>
      <c r="H765" s="10"/>
      <c r="M765" s="10"/>
    </row>
    <row r="766">
      <c r="A766" s="10"/>
      <c r="H766" s="10"/>
      <c r="M766" s="10"/>
    </row>
    <row r="767">
      <c r="A767" s="10"/>
      <c r="H767" s="10"/>
      <c r="M767" s="10"/>
    </row>
    <row r="768">
      <c r="A768" s="10"/>
      <c r="H768" s="10"/>
      <c r="M768" s="10"/>
    </row>
    <row r="769">
      <c r="A769" s="10"/>
      <c r="H769" s="10"/>
      <c r="M769" s="10"/>
    </row>
    <row r="770">
      <c r="A770" s="10"/>
      <c r="H770" s="10"/>
      <c r="M770" s="10"/>
    </row>
    <row r="771">
      <c r="A771" s="10"/>
      <c r="H771" s="10"/>
      <c r="M771" s="10"/>
    </row>
    <row r="772">
      <c r="A772" s="10"/>
      <c r="H772" s="10"/>
      <c r="M772" s="10"/>
    </row>
    <row r="773">
      <c r="A773" s="10"/>
      <c r="H773" s="10"/>
      <c r="M773" s="10"/>
    </row>
    <row r="774">
      <c r="A774" s="10"/>
      <c r="H774" s="10"/>
      <c r="M774" s="10"/>
    </row>
    <row r="775">
      <c r="A775" s="10"/>
      <c r="H775" s="10"/>
      <c r="M775" s="10"/>
    </row>
    <row r="776">
      <c r="A776" s="10"/>
      <c r="H776" s="10"/>
      <c r="M776" s="10"/>
    </row>
    <row r="777">
      <c r="A777" s="10"/>
      <c r="H777" s="10"/>
      <c r="M777" s="10"/>
    </row>
    <row r="778">
      <c r="A778" s="10"/>
      <c r="H778" s="10"/>
      <c r="M778" s="10"/>
    </row>
    <row r="779">
      <c r="A779" s="10"/>
      <c r="H779" s="10"/>
      <c r="M779" s="10"/>
    </row>
    <row r="780">
      <c r="A780" s="10"/>
      <c r="H780" s="10"/>
      <c r="M780" s="10"/>
    </row>
    <row r="781">
      <c r="A781" s="10"/>
      <c r="H781" s="10"/>
      <c r="M781" s="10"/>
    </row>
    <row r="782">
      <c r="A782" s="10"/>
      <c r="H782" s="10"/>
      <c r="M782" s="10"/>
    </row>
    <row r="783">
      <c r="A783" s="10"/>
      <c r="H783" s="10"/>
      <c r="M783" s="10"/>
    </row>
    <row r="784">
      <c r="A784" s="10"/>
      <c r="H784" s="10"/>
      <c r="M784" s="10"/>
    </row>
    <row r="785">
      <c r="A785" s="10"/>
      <c r="H785" s="10"/>
      <c r="M785" s="10"/>
    </row>
    <row r="786">
      <c r="A786" s="10"/>
      <c r="H786" s="10"/>
      <c r="M786" s="10"/>
    </row>
    <row r="787">
      <c r="A787" s="10"/>
      <c r="H787" s="10"/>
      <c r="M787" s="10"/>
    </row>
    <row r="788">
      <c r="A788" s="10"/>
      <c r="H788" s="10"/>
      <c r="M788" s="10"/>
    </row>
    <row r="789">
      <c r="A789" s="10"/>
      <c r="H789" s="10"/>
      <c r="M789" s="10"/>
    </row>
    <row r="790">
      <c r="A790" s="10"/>
      <c r="H790" s="10"/>
      <c r="M790" s="10"/>
    </row>
    <row r="791">
      <c r="A791" s="10"/>
      <c r="H791" s="10"/>
      <c r="M791" s="10"/>
    </row>
    <row r="792">
      <c r="A792" s="10"/>
      <c r="H792" s="10"/>
      <c r="M792" s="10"/>
    </row>
    <row r="793">
      <c r="A793" s="10"/>
      <c r="H793" s="10"/>
      <c r="M793" s="10"/>
    </row>
    <row r="794">
      <c r="A794" s="10"/>
      <c r="H794" s="10"/>
      <c r="M794" s="10"/>
    </row>
    <row r="795">
      <c r="A795" s="10"/>
      <c r="H795" s="10"/>
      <c r="M795" s="10"/>
    </row>
    <row r="796">
      <c r="A796" s="10"/>
      <c r="H796" s="10"/>
      <c r="M796" s="10"/>
    </row>
    <row r="797">
      <c r="A797" s="10"/>
      <c r="H797" s="10"/>
      <c r="M797" s="10"/>
    </row>
    <row r="798">
      <c r="A798" s="10"/>
      <c r="H798" s="10"/>
      <c r="M798" s="10"/>
    </row>
    <row r="799">
      <c r="A799" s="10"/>
      <c r="H799" s="10"/>
      <c r="M799" s="10"/>
    </row>
    <row r="800">
      <c r="A800" s="10"/>
      <c r="H800" s="10"/>
      <c r="M800" s="10"/>
    </row>
    <row r="801">
      <c r="A801" s="10"/>
      <c r="H801" s="10"/>
      <c r="M801" s="10"/>
    </row>
    <row r="802">
      <c r="A802" s="10"/>
      <c r="H802" s="10"/>
      <c r="M802" s="10"/>
    </row>
    <row r="803">
      <c r="A803" s="10"/>
      <c r="H803" s="10"/>
      <c r="M803" s="10"/>
    </row>
    <row r="804">
      <c r="A804" s="10"/>
      <c r="H804" s="10"/>
      <c r="M804" s="10"/>
    </row>
    <row r="805">
      <c r="A805" s="10"/>
      <c r="H805" s="10"/>
      <c r="M805" s="10"/>
    </row>
    <row r="806">
      <c r="A806" s="10"/>
      <c r="H806" s="10"/>
      <c r="M806" s="10"/>
    </row>
    <row r="807">
      <c r="A807" s="10"/>
      <c r="H807" s="10"/>
      <c r="M807" s="10"/>
    </row>
    <row r="808">
      <c r="A808" s="10"/>
      <c r="H808" s="10"/>
      <c r="M808" s="10"/>
    </row>
    <row r="809">
      <c r="A809" s="10"/>
      <c r="H809" s="10"/>
      <c r="M809" s="10"/>
    </row>
    <row r="810">
      <c r="A810" s="10"/>
      <c r="H810" s="10"/>
      <c r="M810" s="10"/>
    </row>
    <row r="811">
      <c r="A811" s="10"/>
      <c r="H811" s="10"/>
      <c r="M811" s="10"/>
    </row>
    <row r="812">
      <c r="A812" s="10"/>
      <c r="H812" s="10"/>
      <c r="M812" s="10"/>
    </row>
    <row r="813">
      <c r="A813" s="10"/>
      <c r="H813" s="10"/>
      <c r="M813" s="10"/>
    </row>
    <row r="814">
      <c r="A814" s="10"/>
      <c r="H814" s="10"/>
      <c r="M814" s="10"/>
    </row>
    <row r="815">
      <c r="A815" s="10"/>
      <c r="H815" s="10"/>
      <c r="M815" s="10"/>
    </row>
    <row r="816">
      <c r="A816" s="10"/>
      <c r="H816" s="10"/>
      <c r="M816" s="10"/>
    </row>
    <row r="817">
      <c r="A817" s="10"/>
      <c r="H817" s="10"/>
      <c r="M817" s="10"/>
    </row>
    <row r="818">
      <c r="A818" s="10"/>
      <c r="H818" s="10"/>
      <c r="M818" s="10"/>
    </row>
    <row r="819">
      <c r="A819" s="10"/>
      <c r="H819" s="10"/>
      <c r="M819" s="10"/>
    </row>
    <row r="820">
      <c r="A820" s="10"/>
      <c r="H820" s="10"/>
      <c r="M820" s="10"/>
    </row>
    <row r="821">
      <c r="A821" s="10"/>
      <c r="H821" s="10"/>
      <c r="M821" s="10"/>
    </row>
    <row r="822">
      <c r="A822" s="10"/>
      <c r="H822" s="10"/>
      <c r="M822" s="10"/>
    </row>
    <row r="823">
      <c r="A823" s="10"/>
      <c r="H823" s="10"/>
      <c r="M823" s="10"/>
    </row>
    <row r="824">
      <c r="A824" s="10"/>
      <c r="H824" s="10"/>
      <c r="M824" s="10"/>
    </row>
    <row r="825">
      <c r="A825" s="10"/>
      <c r="H825" s="10"/>
      <c r="M825" s="10"/>
    </row>
    <row r="826">
      <c r="A826" s="10"/>
      <c r="H826" s="10"/>
      <c r="M826" s="10"/>
    </row>
    <row r="827">
      <c r="A827" s="10"/>
      <c r="H827" s="10"/>
      <c r="M827" s="10"/>
    </row>
    <row r="828">
      <c r="A828" s="10"/>
      <c r="H828" s="10"/>
      <c r="M828" s="10"/>
    </row>
    <row r="829">
      <c r="A829" s="10"/>
      <c r="H829" s="10"/>
      <c r="M829" s="10"/>
    </row>
    <row r="830">
      <c r="A830" s="10"/>
      <c r="H830" s="10"/>
      <c r="M830" s="10"/>
    </row>
    <row r="831">
      <c r="A831" s="10"/>
      <c r="H831" s="10"/>
      <c r="M831" s="10"/>
    </row>
    <row r="832">
      <c r="A832" s="10"/>
      <c r="H832" s="10"/>
      <c r="M832" s="10"/>
    </row>
    <row r="833">
      <c r="A833" s="10"/>
      <c r="H833" s="10"/>
      <c r="M833" s="10"/>
    </row>
    <row r="834">
      <c r="A834" s="10"/>
      <c r="H834" s="10"/>
      <c r="M834" s="10"/>
    </row>
    <row r="835">
      <c r="A835" s="10"/>
      <c r="H835" s="10"/>
      <c r="M835" s="10"/>
    </row>
    <row r="836">
      <c r="A836" s="10"/>
      <c r="H836" s="10"/>
      <c r="M836" s="10"/>
    </row>
    <row r="837">
      <c r="A837" s="10"/>
      <c r="H837" s="10"/>
      <c r="M837" s="10"/>
    </row>
    <row r="838">
      <c r="A838" s="10"/>
      <c r="H838" s="10"/>
      <c r="M838" s="10"/>
    </row>
    <row r="839">
      <c r="A839" s="10"/>
      <c r="H839" s="10"/>
      <c r="M839" s="10"/>
    </row>
    <row r="840">
      <c r="A840" s="10"/>
      <c r="H840" s="10"/>
      <c r="M840" s="10"/>
    </row>
    <row r="841">
      <c r="A841" s="10"/>
      <c r="H841" s="10"/>
      <c r="M841" s="10"/>
    </row>
    <row r="842">
      <c r="A842" s="10"/>
      <c r="H842" s="10"/>
      <c r="M842" s="10"/>
    </row>
    <row r="843">
      <c r="A843" s="10"/>
      <c r="H843" s="10"/>
      <c r="M843" s="10"/>
    </row>
    <row r="844">
      <c r="A844" s="10"/>
      <c r="H844" s="10"/>
      <c r="M844" s="10"/>
    </row>
    <row r="845">
      <c r="A845" s="10"/>
      <c r="H845" s="10"/>
      <c r="M845" s="10"/>
    </row>
    <row r="846">
      <c r="A846" s="10"/>
      <c r="H846" s="10"/>
      <c r="M846" s="10"/>
    </row>
    <row r="847">
      <c r="A847" s="10"/>
      <c r="H847" s="10"/>
      <c r="M847" s="10"/>
    </row>
    <row r="848">
      <c r="A848" s="10"/>
      <c r="H848" s="10"/>
      <c r="M848" s="10"/>
    </row>
    <row r="849">
      <c r="A849" s="10"/>
      <c r="H849" s="10"/>
      <c r="M849" s="10"/>
    </row>
    <row r="850">
      <c r="A850" s="10"/>
      <c r="H850" s="10"/>
      <c r="M850" s="10"/>
    </row>
    <row r="851">
      <c r="A851" s="10"/>
      <c r="H851" s="10"/>
      <c r="M851" s="10"/>
    </row>
    <row r="852">
      <c r="A852" s="10"/>
      <c r="H852" s="10"/>
      <c r="M852" s="10"/>
    </row>
    <row r="853">
      <c r="A853" s="10"/>
      <c r="H853" s="10"/>
      <c r="M853" s="10"/>
    </row>
    <row r="854">
      <c r="A854" s="10"/>
      <c r="H854" s="10"/>
      <c r="M854" s="10"/>
    </row>
    <row r="855">
      <c r="A855" s="10"/>
      <c r="H855" s="10"/>
      <c r="M855" s="10"/>
    </row>
    <row r="856">
      <c r="A856" s="10"/>
      <c r="H856" s="10"/>
      <c r="M856" s="10"/>
    </row>
    <row r="857">
      <c r="A857" s="10"/>
      <c r="H857" s="10"/>
      <c r="M857" s="10"/>
    </row>
    <row r="858">
      <c r="A858" s="10"/>
      <c r="H858" s="10"/>
      <c r="M858" s="10"/>
    </row>
    <row r="859">
      <c r="A859" s="10"/>
      <c r="H859" s="10"/>
      <c r="M859" s="10"/>
    </row>
    <row r="860">
      <c r="A860" s="10"/>
      <c r="H860" s="10"/>
      <c r="M860" s="10"/>
    </row>
    <row r="861">
      <c r="A861" s="10"/>
      <c r="H861" s="10"/>
      <c r="M861" s="10"/>
    </row>
    <row r="862">
      <c r="A862" s="10"/>
      <c r="H862" s="10"/>
      <c r="M862" s="10"/>
    </row>
    <row r="863">
      <c r="A863" s="10"/>
      <c r="H863" s="10"/>
      <c r="M863" s="10"/>
    </row>
    <row r="864">
      <c r="A864" s="10"/>
      <c r="H864" s="10"/>
      <c r="M864" s="10"/>
    </row>
    <row r="865">
      <c r="A865" s="10"/>
      <c r="H865" s="10"/>
      <c r="M865" s="10"/>
    </row>
    <row r="866">
      <c r="A866" s="10"/>
      <c r="H866" s="10"/>
      <c r="M866" s="10"/>
    </row>
    <row r="867">
      <c r="A867" s="10"/>
      <c r="H867" s="10"/>
      <c r="M867" s="10"/>
    </row>
    <row r="868">
      <c r="A868" s="10"/>
      <c r="H868" s="10"/>
      <c r="M868" s="10"/>
    </row>
    <row r="869">
      <c r="A869" s="10"/>
      <c r="H869" s="10"/>
      <c r="M869" s="10"/>
    </row>
    <row r="870">
      <c r="A870" s="10"/>
      <c r="H870" s="10"/>
      <c r="M870" s="10"/>
    </row>
    <row r="871">
      <c r="A871" s="10"/>
      <c r="H871" s="10"/>
      <c r="M871" s="10"/>
    </row>
    <row r="872">
      <c r="A872" s="10"/>
      <c r="H872" s="10"/>
      <c r="M872" s="10"/>
    </row>
    <row r="873">
      <c r="A873" s="10"/>
      <c r="H873" s="10"/>
      <c r="M873" s="10"/>
    </row>
    <row r="874">
      <c r="A874" s="10"/>
      <c r="H874" s="10"/>
      <c r="M874" s="10"/>
    </row>
    <row r="875">
      <c r="A875" s="10"/>
      <c r="H875" s="10"/>
      <c r="M875" s="10"/>
    </row>
    <row r="876">
      <c r="A876" s="10"/>
      <c r="H876" s="10"/>
      <c r="M876" s="10"/>
    </row>
    <row r="877">
      <c r="A877" s="10"/>
      <c r="H877" s="10"/>
      <c r="M877" s="10"/>
    </row>
    <row r="878">
      <c r="A878" s="10"/>
      <c r="H878" s="10"/>
      <c r="M878" s="10"/>
    </row>
    <row r="879">
      <c r="A879" s="10"/>
      <c r="H879" s="10"/>
      <c r="M879" s="10"/>
    </row>
    <row r="880">
      <c r="A880" s="10"/>
      <c r="H880" s="10"/>
      <c r="M880" s="10"/>
    </row>
    <row r="881">
      <c r="A881" s="10"/>
      <c r="H881" s="10"/>
      <c r="M881" s="10"/>
    </row>
    <row r="882">
      <c r="A882" s="10"/>
      <c r="H882" s="10"/>
      <c r="M882" s="10"/>
    </row>
    <row r="883">
      <c r="A883" s="10"/>
      <c r="H883" s="10"/>
      <c r="M883" s="10"/>
    </row>
    <row r="884">
      <c r="A884" s="10"/>
      <c r="H884" s="10"/>
      <c r="M884" s="10"/>
    </row>
    <row r="885">
      <c r="A885" s="10"/>
      <c r="H885" s="10"/>
      <c r="M885" s="10"/>
    </row>
    <row r="886">
      <c r="A886" s="10"/>
      <c r="H886" s="10"/>
      <c r="M886" s="10"/>
    </row>
    <row r="887">
      <c r="A887" s="10"/>
      <c r="H887" s="10"/>
      <c r="M887" s="10"/>
    </row>
    <row r="888">
      <c r="A888" s="10"/>
      <c r="H888" s="10"/>
      <c r="M888" s="10"/>
    </row>
    <row r="889">
      <c r="A889" s="10"/>
      <c r="H889" s="10"/>
      <c r="M889" s="10"/>
    </row>
    <row r="890">
      <c r="A890" s="10"/>
      <c r="H890" s="10"/>
      <c r="M890" s="10"/>
    </row>
    <row r="891">
      <c r="A891" s="10"/>
      <c r="H891" s="10"/>
      <c r="M891" s="10"/>
    </row>
    <row r="892">
      <c r="A892" s="10"/>
      <c r="H892" s="10"/>
      <c r="M892" s="10"/>
    </row>
    <row r="893">
      <c r="A893" s="10"/>
      <c r="H893" s="10"/>
      <c r="M893" s="10"/>
    </row>
    <row r="894">
      <c r="A894" s="10"/>
      <c r="H894" s="10"/>
      <c r="M894" s="10"/>
    </row>
    <row r="895">
      <c r="A895" s="10"/>
      <c r="H895" s="10"/>
      <c r="M895" s="10"/>
    </row>
    <row r="896">
      <c r="A896" s="10"/>
      <c r="H896" s="10"/>
      <c r="M896" s="10"/>
    </row>
    <row r="897">
      <c r="A897" s="10"/>
      <c r="H897" s="10"/>
      <c r="M897" s="10"/>
    </row>
    <row r="898">
      <c r="A898" s="10"/>
      <c r="H898" s="10"/>
      <c r="M898" s="10"/>
    </row>
    <row r="899">
      <c r="A899" s="10"/>
      <c r="H899" s="10"/>
      <c r="M899" s="10"/>
    </row>
    <row r="900">
      <c r="A900" s="10"/>
      <c r="H900" s="10"/>
      <c r="M900" s="10"/>
    </row>
    <row r="901">
      <c r="A901" s="10"/>
      <c r="H901" s="10"/>
      <c r="M901" s="10"/>
    </row>
    <row r="902">
      <c r="A902" s="10"/>
      <c r="H902" s="10"/>
      <c r="M902" s="10"/>
    </row>
    <row r="903">
      <c r="A903" s="10"/>
      <c r="H903" s="10"/>
      <c r="M903" s="10"/>
    </row>
    <row r="904">
      <c r="A904" s="10"/>
      <c r="H904" s="10"/>
      <c r="M904" s="10"/>
    </row>
    <row r="905">
      <c r="A905" s="10"/>
      <c r="H905" s="10"/>
      <c r="M905" s="10"/>
    </row>
    <row r="906">
      <c r="A906" s="10"/>
      <c r="H906" s="10"/>
      <c r="M906" s="10"/>
    </row>
    <row r="907">
      <c r="A907" s="10"/>
      <c r="H907" s="10"/>
      <c r="M907" s="10"/>
    </row>
    <row r="908">
      <c r="A908" s="10"/>
      <c r="H908" s="10"/>
      <c r="M908" s="10"/>
    </row>
    <row r="909">
      <c r="A909" s="10"/>
      <c r="H909" s="10"/>
      <c r="M909" s="10"/>
    </row>
    <row r="910">
      <c r="A910" s="10"/>
      <c r="H910" s="10"/>
      <c r="M910" s="10"/>
    </row>
    <row r="911">
      <c r="A911" s="10"/>
      <c r="H911" s="10"/>
      <c r="M911" s="10"/>
    </row>
    <row r="912">
      <c r="A912" s="10"/>
      <c r="H912" s="10"/>
      <c r="M912" s="10"/>
    </row>
    <row r="913">
      <c r="A913" s="10"/>
      <c r="H913" s="10"/>
      <c r="M913" s="10"/>
    </row>
    <row r="914">
      <c r="A914" s="10"/>
      <c r="H914" s="10"/>
      <c r="M914" s="10"/>
    </row>
    <row r="915">
      <c r="A915" s="10"/>
      <c r="H915" s="10"/>
      <c r="M915" s="10"/>
    </row>
    <row r="916">
      <c r="A916" s="10"/>
      <c r="H916" s="10"/>
      <c r="M916" s="10"/>
    </row>
    <row r="917">
      <c r="A917" s="10"/>
      <c r="H917" s="10"/>
      <c r="M917" s="10"/>
    </row>
    <row r="918">
      <c r="A918" s="10"/>
      <c r="H918" s="10"/>
      <c r="M918" s="10"/>
    </row>
    <row r="919">
      <c r="A919" s="10"/>
      <c r="H919" s="10"/>
      <c r="M919" s="10"/>
    </row>
    <row r="920">
      <c r="A920" s="10"/>
      <c r="H920" s="10"/>
      <c r="M920" s="10"/>
    </row>
    <row r="921">
      <c r="A921" s="10"/>
      <c r="H921" s="10"/>
      <c r="M921" s="10"/>
    </row>
    <row r="922">
      <c r="A922" s="10"/>
      <c r="H922" s="10"/>
      <c r="M922" s="10"/>
    </row>
    <row r="923">
      <c r="A923" s="10"/>
      <c r="H923" s="10"/>
      <c r="M923" s="10"/>
    </row>
    <row r="924">
      <c r="A924" s="10"/>
      <c r="H924" s="10"/>
      <c r="M924" s="10"/>
    </row>
    <row r="925">
      <c r="A925" s="10"/>
      <c r="H925" s="10"/>
      <c r="M925" s="10"/>
    </row>
    <row r="926">
      <c r="A926" s="10"/>
      <c r="H926" s="10"/>
      <c r="M926" s="10"/>
    </row>
    <row r="927">
      <c r="A927" s="10"/>
      <c r="H927" s="10"/>
      <c r="M927" s="10"/>
    </row>
    <row r="928">
      <c r="A928" s="10"/>
      <c r="H928" s="10"/>
      <c r="M928" s="10"/>
    </row>
    <row r="929">
      <c r="A929" s="10"/>
      <c r="H929" s="10"/>
      <c r="M929" s="10"/>
    </row>
    <row r="930">
      <c r="A930" s="10"/>
      <c r="H930" s="10"/>
      <c r="M930" s="10"/>
    </row>
    <row r="931">
      <c r="A931" s="10"/>
      <c r="H931" s="10"/>
      <c r="M931" s="10"/>
    </row>
    <row r="932">
      <c r="A932" s="10"/>
      <c r="H932" s="10"/>
      <c r="M932" s="10"/>
    </row>
    <row r="933">
      <c r="A933" s="10"/>
      <c r="H933" s="10"/>
      <c r="M933" s="10"/>
    </row>
    <row r="934">
      <c r="A934" s="10"/>
      <c r="H934" s="10"/>
      <c r="M934" s="10"/>
    </row>
    <row r="935">
      <c r="A935" s="10"/>
      <c r="H935" s="10"/>
      <c r="M935" s="10"/>
    </row>
    <row r="936">
      <c r="A936" s="10"/>
      <c r="H936" s="10"/>
      <c r="M936" s="10"/>
    </row>
    <row r="937">
      <c r="A937" s="10"/>
      <c r="H937" s="10"/>
      <c r="M937" s="10"/>
    </row>
    <row r="938">
      <c r="A938" s="10"/>
      <c r="H938" s="10"/>
      <c r="M938" s="10"/>
    </row>
    <row r="939">
      <c r="A939" s="10"/>
      <c r="H939" s="10"/>
      <c r="M939" s="10"/>
    </row>
    <row r="940">
      <c r="A940" s="10"/>
      <c r="H940" s="10"/>
      <c r="M940" s="10"/>
    </row>
    <row r="941">
      <c r="A941" s="10"/>
      <c r="H941" s="10"/>
      <c r="M941" s="10"/>
    </row>
    <row r="942">
      <c r="A942" s="10"/>
      <c r="H942" s="10"/>
      <c r="M942" s="10"/>
    </row>
    <row r="943">
      <c r="A943" s="10"/>
      <c r="H943" s="10"/>
      <c r="M943" s="10"/>
    </row>
    <row r="944">
      <c r="A944" s="10"/>
      <c r="H944" s="10"/>
      <c r="M944" s="10"/>
    </row>
    <row r="945">
      <c r="A945" s="10"/>
      <c r="H945" s="10"/>
      <c r="M945" s="10"/>
    </row>
    <row r="946">
      <c r="A946" s="10"/>
      <c r="H946" s="10"/>
      <c r="M946" s="10"/>
    </row>
    <row r="947">
      <c r="A947" s="10"/>
      <c r="H947" s="10"/>
      <c r="M947" s="10"/>
    </row>
    <row r="948">
      <c r="A948" s="10"/>
      <c r="H948" s="10"/>
      <c r="M948" s="10"/>
    </row>
    <row r="949">
      <c r="A949" s="10"/>
      <c r="H949" s="10"/>
      <c r="M949" s="10"/>
    </row>
    <row r="950">
      <c r="A950" s="10"/>
      <c r="H950" s="10"/>
      <c r="M950" s="10"/>
    </row>
    <row r="951">
      <c r="A951" s="10"/>
      <c r="H951" s="10"/>
      <c r="M951" s="10"/>
    </row>
    <row r="952">
      <c r="A952" s="10"/>
      <c r="H952" s="10"/>
      <c r="M952" s="10"/>
    </row>
    <row r="953">
      <c r="A953" s="10"/>
      <c r="H953" s="10"/>
      <c r="M953" s="10"/>
    </row>
    <row r="954">
      <c r="A954" s="10"/>
      <c r="H954" s="10"/>
      <c r="M954" s="10"/>
    </row>
    <row r="955">
      <c r="A955" s="10"/>
      <c r="H955" s="10"/>
      <c r="M955" s="10"/>
    </row>
    <row r="956">
      <c r="A956" s="10"/>
      <c r="H956" s="10"/>
      <c r="M956" s="10"/>
    </row>
    <row r="957">
      <c r="A957" s="10"/>
      <c r="H957" s="10"/>
      <c r="M957" s="10"/>
    </row>
    <row r="958">
      <c r="A958" s="10"/>
      <c r="H958" s="10"/>
      <c r="M958" s="10"/>
    </row>
    <row r="959">
      <c r="A959" s="10"/>
      <c r="H959" s="10"/>
      <c r="M959" s="10"/>
    </row>
    <row r="960">
      <c r="A960" s="10"/>
      <c r="H960" s="10"/>
      <c r="M960" s="10"/>
    </row>
    <row r="961">
      <c r="A961" s="10"/>
      <c r="H961" s="10"/>
      <c r="M961" s="10"/>
    </row>
    <row r="962">
      <c r="A962" s="10"/>
      <c r="H962" s="10"/>
      <c r="M962" s="10"/>
    </row>
    <row r="963">
      <c r="A963" s="10"/>
      <c r="H963" s="10"/>
      <c r="M963" s="10"/>
    </row>
    <row r="964">
      <c r="A964" s="10"/>
      <c r="H964" s="10"/>
      <c r="M964" s="10"/>
    </row>
    <row r="965">
      <c r="A965" s="10"/>
      <c r="H965" s="10"/>
      <c r="M965" s="10"/>
    </row>
    <row r="966">
      <c r="A966" s="10"/>
      <c r="H966" s="10"/>
      <c r="M966" s="10"/>
    </row>
    <row r="967">
      <c r="A967" s="10"/>
      <c r="H967" s="10"/>
      <c r="M967" s="10"/>
    </row>
    <row r="968">
      <c r="A968" s="10"/>
      <c r="H968" s="10"/>
      <c r="M968" s="10"/>
    </row>
    <row r="969">
      <c r="A969" s="10"/>
      <c r="H969" s="10"/>
      <c r="M969" s="10"/>
    </row>
    <row r="970">
      <c r="A970" s="10"/>
      <c r="H970" s="10"/>
      <c r="M970" s="10"/>
    </row>
    <row r="971">
      <c r="A971" s="10"/>
      <c r="H971" s="10"/>
      <c r="M971" s="10"/>
    </row>
    <row r="972">
      <c r="A972" s="10"/>
      <c r="H972" s="10"/>
      <c r="M972" s="10"/>
    </row>
    <row r="973">
      <c r="A973" s="10"/>
      <c r="H973" s="10"/>
      <c r="M973" s="10"/>
    </row>
    <row r="974">
      <c r="A974" s="10"/>
      <c r="H974" s="10"/>
      <c r="M974" s="10"/>
    </row>
    <row r="975">
      <c r="A975" s="10"/>
      <c r="H975" s="10"/>
      <c r="M975" s="10"/>
    </row>
    <row r="976">
      <c r="A976" s="10"/>
      <c r="H976" s="10"/>
      <c r="M976" s="10"/>
    </row>
    <row r="977">
      <c r="A977" s="10"/>
      <c r="H977" s="10"/>
      <c r="M977" s="10"/>
    </row>
    <row r="978">
      <c r="A978" s="10"/>
      <c r="H978" s="10"/>
      <c r="M978" s="10"/>
    </row>
    <row r="979">
      <c r="A979" s="10"/>
      <c r="H979" s="10"/>
      <c r="M979" s="10"/>
    </row>
    <row r="980">
      <c r="A980" s="10"/>
      <c r="H980" s="10"/>
      <c r="M980" s="10"/>
    </row>
    <row r="981">
      <c r="A981" s="10"/>
      <c r="H981" s="10"/>
      <c r="M981" s="10"/>
    </row>
    <row r="982">
      <c r="A982" s="10"/>
      <c r="H982" s="10"/>
      <c r="M982" s="10"/>
    </row>
    <row r="983">
      <c r="A983" s="10"/>
      <c r="H983" s="10"/>
      <c r="M983" s="10"/>
    </row>
    <row r="984">
      <c r="A984" s="10"/>
      <c r="H984" s="10"/>
      <c r="M984" s="10"/>
    </row>
    <row r="985">
      <c r="A985" s="10"/>
      <c r="H985" s="10"/>
      <c r="M985" s="10"/>
    </row>
    <row r="986">
      <c r="A986" s="10"/>
      <c r="H986" s="10"/>
      <c r="M986" s="10"/>
    </row>
    <row r="987">
      <c r="A987" s="10"/>
      <c r="H987" s="10"/>
      <c r="M987" s="10"/>
    </row>
    <row r="988">
      <c r="A988" s="10"/>
      <c r="H988" s="10"/>
      <c r="M988" s="10"/>
    </row>
    <row r="989">
      <c r="A989" s="10"/>
      <c r="H989" s="10"/>
      <c r="M989" s="10"/>
    </row>
    <row r="990">
      <c r="A990" s="10"/>
      <c r="H990" s="10"/>
      <c r="M990" s="10"/>
    </row>
    <row r="991">
      <c r="A991" s="10"/>
      <c r="H991" s="10"/>
      <c r="M991" s="10"/>
    </row>
    <row r="992">
      <c r="A992" s="10"/>
      <c r="H992" s="10"/>
      <c r="M992" s="10"/>
    </row>
    <row r="993">
      <c r="A993" s="10"/>
      <c r="H993" s="10"/>
      <c r="M993" s="10"/>
    </row>
    <row r="994">
      <c r="A994" s="10"/>
      <c r="H994" s="10"/>
      <c r="M994" s="10"/>
    </row>
    <row r="995">
      <c r="A995" s="10"/>
      <c r="H995" s="10"/>
      <c r="M995" s="10"/>
    </row>
    <row r="996">
      <c r="A996" s="10"/>
      <c r="H996" s="10"/>
      <c r="M996" s="10"/>
    </row>
    <row r="997">
      <c r="A997" s="10"/>
      <c r="H997" s="10"/>
      <c r="M997" s="10"/>
    </row>
    <row r="998">
      <c r="A998" s="10"/>
      <c r="H998" s="10"/>
      <c r="M998" s="10"/>
    </row>
    <row r="999">
      <c r="A999" s="10"/>
      <c r="H999" s="10"/>
      <c r="M999" s="10"/>
    </row>
    <row r="1000">
      <c r="A1000" s="10"/>
      <c r="H1000" s="10"/>
      <c r="M1000" s="10"/>
    </row>
  </sheetData>
  <dataValidations>
    <dataValidation type="list" allowBlank="1" showErrorMessage="1" sqref="A2:A1000">
      <formula1>exerc!$A$2:$A1000</formula1>
    </dataValidation>
    <dataValidation type="list" allowBlank="1" showErrorMessage="1" sqref="H2:H1000">
      <formula1>'lista procedimentos'!$A:$A</formula1>
    </dataValidation>
    <dataValidation type="list" allowBlank="1" showErrorMessage="1" sqref="M2:M1000">
      <formula1>FIX!$A$2:$A1000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>
      <c r="A2" s="10">
        <f t="array" ref="A2:G1000">'acft-exerc'!A2:G1000</f>
        <v>1</v>
      </c>
      <c r="B2" s="10">
        <v>1.0</v>
      </c>
      <c r="C2" s="10" t="s">
        <v>38</v>
      </c>
      <c r="D2" s="10">
        <v>4444.0</v>
      </c>
      <c r="E2" s="10" t="s">
        <v>39</v>
      </c>
      <c r="F2" s="10" t="s">
        <v>40</v>
      </c>
      <c r="G2" s="10" t="s">
        <v>41</v>
      </c>
      <c r="H2" s="10" t="str">
        <f>VLOOKUP('acft-exerc'!H2,'lista procedimentos'!A1:B1000,2, FALSE)</f>
        <v>TRJ0073</v>
      </c>
      <c r="I2" s="10">
        <f t="array" ref="I2:L1000">'acft-exerc'!I2:L1000</f>
        <v>300</v>
      </c>
      <c r="J2" s="10">
        <v>300.0</v>
      </c>
      <c r="K2" s="10"/>
      <c r="L2" s="10" t="s">
        <v>43</v>
      </c>
      <c r="M2" s="10">
        <f>ifna(VLOOKUP('acft-exerc'!$M2,FIX!$A$2:$D1000,4, false),"")</f>
        <v>47</v>
      </c>
      <c r="N2" s="10" t="str">
        <f t="array" ref="N2:V1000">'acft-exerc'!N2:V1000</f>
        <v/>
      </c>
      <c r="O2" s="10"/>
      <c r="P2" s="10"/>
      <c r="Q2" s="10">
        <v>1.0</v>
      </c>
      <c r="R2" s="10">
        <v>0.0</v>
      </c>
      <c r="S2" s="10"/>
      <c r="T2" s="10"/>
      <c r="U2" s="10"/>
      <c r="V2" s="10"/>
    </row>
    <row r="3">
      <c r="A3" s="10"/>
      <c r="B3" s="10"/>
      <c r="C3" s="10"/>
      <c r="D3" s="10"/>
      <c r="E3" s="10"/>
      <c r="F3" s="10"/>
      <c r="G3" s="10"/>
      <c r="I3" s="10"/>
      <c r="J3" s="10"/>
      <c r="K3" s="10"/>
      <c r="L3" s="10"/>
      <c r="M3" s="10" t="str">
        <f>ifna(VLOOKUP('acft-exerc'!$M3,FIX!$A$2:$D1000,4, false),"")</f>
        <v/>
      </c>
      <c r="N3" s="10"/>
      <c r="O3" s="10"/>
      <c r="P3" s="10"/>
      <c r="Q3" s="10"/>
      <c r="R3" s="10"/>
      <c r="S3" s="10"/>
      <c r="T3" s="10"/>
      <c r="U3" s="10"/>
      <c r="V3" s="10"/>
    </row>
    <row r="4">
      <c r="A4" s="10"/>
      <c r="B4" s="10"/>
      <c r="C4" s="10"/>
      <c r="D4" s="10"/>
      <c r="E4" s="10"/>
      <c r="F4" s="10"/>
      <c r="G4" s="10"/>
      <c r="I4" s="10"/>
      <c r="J4" s="10"/>
      <c r="K4" s="10"/>
      <c r="L4" s="10"/>
      <c r="M4" s="10" t="str">
        <f>ifna(VLOOKUP('acft-exerc'!$M4,FIX!$A$2:$D1000,4, false),"")</f>
        <v/>
      </c>
      <c r="N4" s="10"/>
      <c r="O4" s="10"/>
      <c r="P4" s="10"/>
      <c r="Q4" s="10"/>
      <c r="R4" s="10"/>
      <c r="S4" s="10"/>
      <c r="T4" s="10"/>
      <c r="U4" s="10"/>
      <c r="V4" s="10"/>
    </row>
    <row r="5">
      <c r="A5" s="10"/>
      <c r="B5" s="10"/>
      <c r="C5" s="10"/>
      <c r="D5" s="10"/>
      <c r="E5" s="10"/>
      <c r="F5" s="10"/>
      <c r="G5" s="10"/>
      <c r="I5" s="10"/>
      <c r="J5" s="10"/>
      <c r="K5" s="10"/>
      <c r="L5" s="10"/>
      <c r="M5" s="10" t="str">
        <f>ifna(VLOOKUP('acft-exerc'!$M5,FIX!$A$2:$D1000,4, false),"")</f>
        <v/>
      </c>
      <c r="N5" s="10"/>
      <c r="O5" s="10"/>
      <c r="P5" s="10"/>
      <c r="Q5" s="10"/>
      <c r="R5" s="10"/>
      <c r="S5" s="10"/>
      <c r="T5" s="10"/>
      <c r="U5" s="10"/>
      <c r="V5" s="10"/>
    </row>
    <row r="6">
      <c r="A6" s="10"/>
      <c r="B6" s="10"/>
      <c r="C6" s="10"/>
      <c r="D6" s="10"/>
      <c r="E6" s="10"/>
      <c r="F6" s="10"/>
      <c r="G6" s="10"/>
      <c r="I6" s="10"/>
      <c r="J6" s="10"/>
      <c r="K6" s="10"/>
      <c r="L6" s="10"/>
      <c r="M6" s="10" t="str">
        <f>ifna(VLOOKUP('acft-exerc'!$M6,FIX!$A$2:$D1000,4, false),"")</f>
        <v/>
      </c>
      <c r="N6" s="10"/>
      <c r="O6" s="10"/>
      <c r="P6" s="10"/>
      <c r="Q6" s="10"/>
      <c r="R6" s="10"/>
      <c r="S6" s="10"/>
      <c r="T6" s="10"/>
      <c r="U6" s="10"/>
      <c r="V6" s="10"/>
    </row>
    <row r="7">
      <c r="A7" s="10"/>
      <c r="B7" s="10"/>
      <c r="C7" s="10"/>
      <c r="D7" s="10"/>
      <c r="E7" s="10"/>
      <c r="F7" s="10"/>
      <c r="G7" s="10"/>
      <c r="I7" s="10"/>
      <c r="J7" s="10"/>
      <c r="K7" s="10"/>
      <c r="L7" s="10"/>
      <c r="M7" s="10" t="str">
        <f>ifna(VLOOKUP('acft-exerc'!$M7,FIX!$A$2:$D1000,4, false),"")</f>
        <v/>
      </c>
      <c r="N7" s="10"/>
      <c r="O7" s="10"/>
      <c r="P7" s="10"/>
      <c r="Q7" s="10"/>
      <c r="R7" s="10"/>
      <c r="S7" s="10"/>
      <c r="T7" s="10"/>
      <c r="U7" s="10"/>
      <c r="V7" s="10"/>
    </row>
    <row r="8">
      <c r="A8" s="10"/>
      <c r="B8" s="10"/>
      <c r="C8" s="10"/>
      <c r="D8" s="10"/>
      <c r="E8" s="10"/>
      <c r="F8" s="10"/>
      <c r="G8" s="10"/>
      <c r="I8" s="10"/>
      <c r="J8" s="10"/>
      <c r="K8" s="10"/>
      <c r="L8" s="10"/>
      <c r="M8" s="10" t="str">
        <f>ifna(VLOOKUP('acft-exerc'!$M8,FIX!$A$2:$D1000,4, false),"")</f>
        <v/>
      </c>
      <c r="N8" s="10"/>
      <c r="O8" s="10"/>
      <c r="P8" s="10"/>
      <c r="Q8" s="10"/>
      <c r="R8" s="10"/>
      <c r="S8" s="10"/>
      <c r="T8" s="10"/>
      <c r="U8" s="10"/>
      <c r="V8" s="10"/>
    </row>
    <row r="9">
      <c r="A9" s="10"/>
      <c r="B9" s="10"/>
      <c r="C9" s="10"/>
      <c r="D9" s="10"/>
      <c r="E9" s="10"/>
      <c r="F9" s="10"/>
      <c r="G9" s="10"/>
      <c r="I9" s="10"/>
      <c r="J9" s="10"/>
      <c r="K9" s="10"/>
      <c r="L9" s="10"/>
      <c r="M9" s="10" t="str">
        <f>ifna(VLOOKUP('acft-exerc'!$M9,FIX!$A$2:$D1000,4, false),"")</f>
        <v/>
      </c>
      <c r="N9" s="10"/>
      <c r="O9" s="10"/>
      <c r="P9" s="10"/>
      <c r="Q9" s="10"/>
      <c r="R9" s="10"/>
      <c r="S9" s="10"/>
      <c r="T9" s="10"/>
      <c r="U9" s="10"/>
      <c r="V9" s="10"/>
    </row>
    <row r="10">
      <c r="A10" s="10"/>
      <c r="B10" s="10"/>
      <c r="C10" s="10"/>
      <c r="D10" s="10"/>
      <c r="E10" s="10"/>
      <c r="F10" s="10"/>
      <c r="G10" s="10"/>
      <c r="I10" s="10"/>
      <c r="J10" s="10"/>
      <c r="K10" s="10"/>
      <c r="L10" s="10"/>
      <c r="M10" s="10" t="str">
        <f>ifna(VLOOKUP('acft-exerc'!$M10,FIX!$A$2:$D1000,4, false),"")</f>
        <v/>
      </c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10"/>
      <c r="B11" s="10"/>
      <c r="C11" s="10"/>
      <c r="D11" s="10"/>
      <c r="E11" s="10"/>
      <c r="F11" s="10"/>
      <c r="G11" s="10"/>
      <c r="I11" s="10"/>
      <c r="J11" s="10"/>
      <c r="K11" s="10"/>
      <c r="L11" s="10"/>
      <c r="M11" s="10" t="str">
        <f>ifna(VLOOKUP('acft-exerc'!$M11,FIX!$A$2:$D1000,4, false),"")</f>
        <v/>
      </c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10"/>
      <c r="B12" s="10"/>
      <c r="C12" s="10"/>
      <c r="D12" s="10"/>
      <c r="E12" s="10"/>
      <c r="F12" s="10"/>
      <c r="G12" s="10"/>
      <c r="I12" s="10"/>
      <c r="J12" s="10"/>
      <c r="K12" s="10"/>
      <c r="L12" s="10"/>
      <c r="M12" s="10" t="str">
        <f>ifna(VLOOKUP('acft-exerc'!$M12,FIX!$A$2:$D1000,4, false),"")</f>
        <v/>
      </c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0"/>
      <c r="B13" s="10"/>
      <c r="C13" s="10"/>
      <c r="D13" s="10"/>
      <c r="E13" s="10"/>
      <c r="F13" s="10"/>
      <c r="G13" s="10"/>
      <c r="I13" s="10"/>
      <c r="J13" s="10"/>
      <c r="K13" s="10"/>
      <c r="L13" s="10"/>
      <c r="M13" s="10" t="str">
        <f>ifna(VLOOKUP('acft-exerc'!$M13,FIX!$A$2:$D1000,4, false),"")</f>
        <v/>
      </c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0"/>
      <c r="B14" s="10"/>
      <c r="C14" s="10"/>
      <c r="D14" s="10"/>
      <c r="E14" s="10"/>
      <c r="F14" s="10"/>
      <c r="G14" s="10"/>
      <c r="I14" s="10"/>
      <c r="J14" s="10"/>
      <c r="K14" s="10"/>
      <c r="L14" s="10"/>
      <c r="M14" s="10" t="str">
        <f>ifna(VLOOKUP('acft-exerc'!$M14,FIX!$A$2:$D1000,4, false),"")</f>
        <v/>
      </c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0"/>
      <c r="B15" s="10"/>
      <c r="C15" s="10"/>
      <c r="D15" s="10"/>
      <c r="E15" s="10"/>
      <c r="F15" s="10"/>
      <c r="G15" s="10"/>
      <c r="I15" s="10"/>
      <c r="J15" s="10"/>
      <c r="K15" s="10"/>
      <c r="L15" s="10"/>
      <c r="M15" s="10" t="str">
        <f>ifna(VLOOKUP('acft-exerc'!$M15,FIX!$A$2:$D1000,4, false),"")</f>
        <v/>
      </c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10"/>
      <c r="B16" s="10"/>
      <c r="C16" s="10"/>
      <c r="D16" s="10"/>
      <c r="E16" s="10"/>
      <c r="F16" s="10"/>
      <c r="G16" s="10"/>
      <c r="I16" s="10"/>
      <c r="J16" s="10"/>
      <c r="K16" s="10"/>
      <c r="L16" s="10"/>
      <c r="M16" s="10" t="str">
        <f>ifna(VLOOKUP('acft-exerc'!$M16,FIX!$A$2:$D1000,4, false),"")</f>
        <v/>
      </c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10"/>
      <c r="B17" s="10"/>
      <c r="C17" s="10"/>
      <c r="D17" s="10"/>
      <c r="E17" s="10"/>
      <c r="F17" s="10"/>
      <c r="G17" s="10"/>
      <c r="I17" s="10"/>
      <c r="J17" s="10"/>
      <c r="K17" s="10"/>
      <c r="L17" s="10"/>
      <c r="M17" s="10" t="str">
        <f>ifna(VLOOKUP('acft-exerc'!$M17,FIX!$A$2:$D1000,4, false),"")</f>
        <v/>
      </c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0"/>
      <c r="B18" s="10"/>
      <c r="C18" s="10"/>
      <c r="D18" s="10"/>
      <c r="E18" s="10"/>
      <c r="F18" s="10"/>
      <c r="G18" s="10"/>
      <c r="I18" s="10"/>
      <c r="J18" s="10"/>
      <c r="K18" s="10"/>
      <c r="L18" s="10"/>
      <c r="M18" s="10" t="str">
        <f>ifna(VLOOKUP('acft-exerc'!$M18,FIX!$A$2:$D1000,4, false),"")</f>
        <v/>
      </c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0"/>
      <c r="B19" s="10"/>
      <c r="C19" s="10"/>
      <c r="D19" s="10"/>
      <c r="E19" s="10"/>
      <c r="F19" s="10"/>
      <c r="G19" s="10"/>
      <c r="I19" s="10"/>
      <c r="J19" s="10"/>
      <c r="K19" s="10"/>
      <c r="L19" s="10"/>
      <c r="M19" s="10" t="str">
        <f>ifna(VLOOKUP('acft-exerc'!$M19,FIX!$A$2:$D1000,4, false),"")</f>
        <v/>
      </c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10"/>
      <c r="B20" s="10"/>
      <c r="C20" s="10"/>
      <c r="D20" s="10"/>
      <c r="E20" s="10"/>
      <c r="F20" s="10"/>
      <c r="G20" s="10"/>
      <c r="I20" s="10"/>
      <c r="J20" s="10"/>
      <c r="K20" s="10"/>
      <c r="L20" s="10"/>
      <c r="M20" s="10" t="str">
        <f>ifna(VLOOKUP('acft-exerc'!$M20,FIX!$A$2:$D1000,4, false),"")</f>
        <v/>
      </c>
      <c r="N20" s="10"/>
      <c r="O20" s="10"/>
      <c r="P20" s="10"/>
      <c r="Q20" s="10"/>
      <c r="R20" s="10"/>
      <c r="S20" s="10"/>
      <c r="T20" s="10"/>
      <c r="U20" s="10"/>
      <c r="V20" s="10"/>
    </row>
    <row r="21">
      <c r="A21" s="10"/>
      <c r="B21" s="10"/>
      <c r="C21" s="10"/>
      <c r="D21" s="10"/>
      <c r="E21" s="10"/>
      <c r="F21" s="10"/>
      <c r="G21" s="10"/>
      <c r="I21" s="10"/>
      <c r="J21" s="10"/>
      <c r="K21" s="10"/>
      <c r="L21" s="10"/>
      <c r="M21" s="10" t="str">
        <f>ifna(VLOOKUP('acft-exerc'!$M21,FIX!$A$2:$D1000,4, false),"")</f>
        <v/>
      </c>
      <c r="N21" s="10"/>
      <c r="O21" s="10"/>
      <c r="P21" s="10"/>
      <c r="Q21" s="10"/>
      <c r="R21" s="10"/>
      <c r="S21" s="10"/>
      <c r="T21" s="10"/>
      <c r="U21" s="10"/>
      <c r="V21" s="10"/>
    </row>
    <row r="22">
      <c r="A22" s="10"/>
      <c r="B22" s="10"/>
      <c r="C22" s="10"/>
      <c r="D22" s="10"/>
      <c r="E22" s="10"/>
      <c r="F22" s="10"/>
      <c r="G22" s="10"/>
      <c r="I22" s="10"/>
      <c r="J22" s="10"/>
      <c r="K22" s="10"/>
      <c r="L22" s="10"/>
      <c r="M22" s="10" t="str">
        <f>ifna(VLOOKUP('acft-exerc'!$M22,FIX!$A$2:$D1000,4, false),"")</f>
        <v/>
      </c>
      <c r="N22" s="10"/>
      <c r="O22" s="10"/>
      <c r="P22" s="10"/>
      <c r="Q22" s="10"/>
      <c r="R22" s="10"/>
      <c r="S22" s="10"/>
      <c r="T22" s="10"/>
      <c r="U22" s="10"/>
      <c r="V22" s="10"/>
    </row>
    <row r="23">
      <c r="A23" s="10"/>
      <c r="B23" s="10"/>
      <c r="C23" s="10"/>
      <c r="D23" s="10"/>
      <c r="E23" s="10"/>
      <c r="F23" s="10"/>
      <c r="G23" s="10"/>
      <c r="I23" s="10"/>
      <c r="J23" s="10"/>
      <c r="K23" s="10"/>
      <c r="L23" s="10"/>
      <c r="M23" s="10" t="str">
        <f>ifna(VLOOKUP('acft-exerc'!$M23,FIX!$A$2:$D1000,4, false),"")</f>
        <v/>
      </c>
      <c r="N23" s="10"/>
      <c r="O23" s="10"/>
      <c r="P23" s="10"/>
      <c r="Q23" s="10"/>
      <c r="R23" s="10"/>
      <c r="S23" s="10"/>
      <c r="T23" s="10"/>
      <c r="U23" s="10"/>
      <c r="V23" s="10"/>
    </row>
    <row r="24">
      <c r="A24" s="10"/>
      <c r="B24" s="10"/>
      <c r="C24" s="10"/>
      <c r="D24" s="10"/>
      <c r="E24" s="10"/>
      <c r="F24" s="10"/>
      <c r="G24" s="10"/>
      <c r="I24" s="10"/>
      <c r="J24" s="10"/>
      <c r="K24" s="10"/>
      <c r="L24" s="10"/>
      <c r="M24" s="10" t="str">
        <f>ifna(VLOOKUP('acft-exerc'!$M24,FIX!$A$2:$D1000,4, false),"")</f>
        <v/>
      </c>
      <c r="N24" s="10"/>
      <c r="O24" s="10"/>
      <c r="P24" s="10"/>
      <c r="Q24" s="10"/>
      <c r="R24" s="10"/>
      <c r="S24" s="10"/>
      <c r="T24" s="10"/>
      <c r="U24" s="10"/>
      <c r="V24" s="10"/>
    </row>
    <row r="25">
      <c r="A25" s="10"/>
      <c r="B25" s="10"/>
      <c r="C25" s="10"/>
      <c r="D25" s="10"/>
      <c r="E25" s="10"/>
      <c r="F25" s="10"/>
      <c r="G25" s="10"/>
      <c r="I25" s="10"/>
      <c r="J25" s="10"/>
      <c r="K25" s="10"/>
      <c r="L25" s="10"/>
      <c r="M25" s="10" t="str">
        <f>ifna(VLOOKUP('acft-exerc'!$M25,FIX!$A$2:$D1000,4, false),"")</f>
        <v/>
      </c>
      <c r="N25" s="10"/>
      <c r="O25" s="10"/>
      <c r="P25" s="10"/>
      <c r="Q25" s="10"/>
      <c r="R25" s="10"/>
      <c r="S25" s="10"/>
      <c r="T25" s="10"/>
      <c r="U25" s="10"/>
      <c r="V25" s="10"/>
    </row>
    <row r="26">
      <c r="A26" s="10"/>
      <c r="B26" s="10"/>
      <c r="C26" s="10"/>
      <c r="D26" s="10"/>
      <c r="E26" s="10"/>
      <c r="F26" s="10"/>
      <c r="G26" s="10"/>
      <c r="I26" s="10"/>
      <c r="J26" s="10"/>
      <c r="K26" s="10"/>
      <c r="L26" s="10"/>
      <c r="M26" s="10" t="str">
        <f>ifna(VLOOKUP('acft-exerc'!$M26,FIX!$A$2:$D1000,4, false),"")</f>
        <v/>
      </c>
      <c r="N26" s="10"/>
      <c r="O26" s="10"/>
      <c r="P26" s="10"/>
      <c r="Q26" s="10"/>
      <c r="R26" s="10"/>
      <c r="S26" s="10"/>
      <c r="T26" s="10"/>
      <c r="U26" s="10"/>
      <c r="V26" s="10"/>
    </row>
    <row r="27">
      <c r="A27" s="10"/>
      <c r="B27" s="10"/>
      <c r="C27" s="10"/>
      <c r="D27" s="10"/>
      <c r="E27" s="10"/>
      <c r="F27" s="10"/>
      <c r="G27" s="10"/>
      <c r="I27" s="10"/>
      <c r="J27" s="10"/>
      <c r="K27" s="10"/>
      <c r="L27" s="10"/>
      <c r="M27" s="10" t="str">
        <f>ifna(VLOOKUP('acft-exerc'!$M27,FIX!$A$2:$D1000,4, false),"")</f>
        <v/>
      </c>
      <c r="N27" s="10"/>
      <c r="O27" s="10"/>
      <c r="P27" s="10"/>
      <c r="Q27" s="10"/>
      <c r="R27" s="10"/>
      <c r="S27" s="10"/>
      <c r="T27" s="10"/>
      <c r="U27" s="10"/>
      <c r="V27" s="10"/>
    </row>
    <row r="28">
      <c r="A28" s="10"/>
      <c r="B28" s="10"/>
      <c r="C28" s="10"/>
      <c r="D28" s="10"/>
      <c r="E28" s="10"/>
      <c r="F28" s="10"/>
      <c r="G28" s="10"/>
      <c r="I28" s="10"/>
      <c r="J28" s="10"/>
      <c r="K28" s="10"/>
      <c r="L28" s="10"/>
      <c r="M28" s="10" t="str">
        <f>ifna(VLOOKUP('acft-exerc'!$M28,FIX!$A$2:$D1000,4, false),"")</f>
        <v/>
      </c>
      <c r="N28" s="10"/>
      <c r="O28" s="10"/>
      <c r="P28" s="10"/>
      <c r="Q28" s="10"/>
      <c r="R28" s="10"/>
      <c r="S28" s="10"/>
      <c r="T28" s="10"/>
      <c r="U28" s="10"/>
      <c r="V28" s="10"/>
    </row>
    <row r="29">
      <c r="A29" s="10"/>
      <c r="B29" s="10"/>
      <c r="C29" s="10"/>
      <c r="D29" s="10"/>
      <c r="E29" s="10"/>
      <c r="F29" s="10"/>
      <c r="G29" s="10"/>
      <c r="I29" s="10"/>
      <c r="J29" s="10"/>
      <c r="K29" s="10"/>
      <c r="L29" s="10"/>
      <c r="M29" s="10" t="str">
        <f>ifna(VLOOKUP('acft-exerc'!$M29,FIX!$A$2:$D1000,4, false),"")</f>
        <v/>
      </c>
      <c r="N29" s="10"/>
      <c r="O29" s="10"/>
      <c r="P29" s="10"/>
      <c r="Q29" s="10"/>
      <c r="R29" s="10"/>
      <c r="S29" s="10"/>
      <c r="T29" s="10"/>
      <c r="U29" s="10"/>
      <c r="V29" s="10"/>
    </row>
    <row r="30">
      <c r="A30" s="10"/>
      <c r="B30" s="10"/>
      <c r="C30" s="10"/>
      <c r="D30" s="10"/>
      <c r="E30" s="10"/>
      <c r="F30" s="10"/>
      <c r="G30" s="10"/>
      <c r="I30" s="10"/>
      <c r="J30" s="10"/>
      <c r="K30" s="10"/>
      <c r="L30" s="10"/>
      <c r="M30" s="10" t="str">
        <f>ifna(VLOOKUP('acft-exerc'!$M30,FIX!$A$2:$D1000,4, false),"")</f>
        <v/>
      </c>
      <c r="N30" s="10"/>
      <c r="O30" s="10"/>
      <c r="P30" s="10"/>
      <c r="Q30" s="10"/>
      <c r="R30" s="10"/>
      <c r="S30" s="10"/>
      <c r="T30" s="10"/>
      <c r="U30" s="10"/>
      <c r="V30" s="10"/>
    </row>
    <row r="31">
      <c r="A31" s="10"/>
      <c r="B31" s="10"/>
      <c r="C31" s="10"/>
      <c r="D31" s="10"/>
      <c r="E31" s="10"/>
      <c r="F31" s="10"/>
      <c r="G31" s="10"/>
      <c r="I31" s="10"/>
      <c r="J31" s="10"/>
      <c r="K31" s="10"/>
      <c r="L31" s="10"/>
      <c r="M31" s="10" t="str">
        <f>ifna(VLOOKUP('acft-exerc'!$M31,FIX!$A$2:$D1000,4, false),"")</f>
        <v/>
      </c>
      <c r="N31" s="10"/>
      <c r="O31" s="10"/>
      <c r="P31" s="10"/>
      <c r="Q31" s="10"/>
      <c r="R31" s="10"/>
      <c r="S31" s="10"/>
      <c r="T31" s="10"/>
      <c r="U31" s="10"/>
      <c r="V31" s="10"/>
    </row>
    <row r="32">
      <c r="A32" s="10"/>
      <c r="B32" s="10"/>
      <c r="C32" s="10"/>
      <c r="D32" s="10"/>
      <c r="E32" s="10"/>
      <c r="F32" s="10"/>
      <c r="G32" s="10"/>
      <c r="I32" s="10"/>
      <c r="J32" s="10"/>
      <c r="K32" s="10"/>
      <c r="L32" s="10"/>
      <c r="M32" s="10" t="str">
        <f>ifna(VLOOKUP('acft-exerc'!$M32,FIX!$A$2:$D1000,4, false),"")</f>
        <v/>
      </c>
      <c r="N32" s="10"/>
      <c r="O32" s="10"/>
      <c r="P32" s="10"/>
      <c r="Q32" s="10"/>
      <c r="R32" s="10"/>
      <c r="S32" s="10"/>
      <c r="T32" s="10"/>
      <c r="U32" s="10"/>
      <c r="V32" s="10"/>
    </row>
    <row r="33">
      <c r="A33" s="10"/>
      <c r="B33" s="10"/>
      <c r="C33" s="10"/>
      <c r="D33" s="10"/>
      <c r="E33" s="10"/>
      <c r="F33" s="10"/>
      <c r="G33" s="10"/>
      <c r="I33" s="10"/>
      <c r="J33" s="10"/>
      <c r="K33" s="10"/>
      <c r="L33" s="10"/>
      <c r="M33" s="10" t="str">
        <f>ifna(VLOOKUP('acft-exerc'!$M33,FIX!$A$2:$D1000,4, false),"")</f>
        <v/>
      </c>
      <c r="N33" s="10"/>
      <c r="O33" s="10"/>
      <c r="P33" s="10"/>
      <c r="Q33" s="10"/>
      <c r="R33" s="10"/>
      <c r="S33" s="10"/>
      <c r="T33" s="10"/>
      <c r="U33" s="10"/>
      <c r="V33" s="10"/>
    </row>
    <row r="34">
      <c r="A34" s="10"/>
      <c r="B34" s="10"/>
      <c r="C34" s="10"/>
      <c r="D34" s="10"/>
      <c r="E34" s="10"/>
      <c r="F34" s="10"/>
      <c r="G34" s="10"/>
      <c r="I34" s="10"/>
      <c r="J34" s="10"/>
      <c r="K34" s="10"/>
      <c r="L34" s="10"/>
      <c r="M34" s="10" t="str">
        <f>ifna(VLOOKUP('acft-exerc'!$M34,FIX!$A$2:$D1000,4, false),"")</f>
        <v/>
      </c>
      <c r="N34" s="10"/>
      <c r="O34" s="10"/>
      <c r="P34" s="10"/>
      <c r="Q34" s="10"/>
      <c r="R34" s="10"/>
      <c r="S34" s="10"/>
      <c r="T34" s="10"/>
      <c r="U34" s="10"/>
      <c r="V34" s="10"/>
    </row>
    <row r="35">
      <c r="A35" s="10"/>
      <c r="B35" s="10"/>
      <c r="C35" s="10"/>
      <c r="D35" s="10"/>
      <c r="E35" s="10"/>
      <c r="F35" s="10"/>
      <c r="G35" s="10"/>
      <c r="I35" s="10"/>
      <c r="J35" s="10"/>
      <c r="K35" s="10"/>
      <c r="L35" s="10"/>
      <c r="M35" s="10" t="str">
        <f>ifna(VLOOKUP('acft-exerc'!$M35,FIX!$A$2:$D1000,4, false),"")</f>
        <v/>
      </c>
      <c r="N35" s="10"/>
      <c r="O35" s="10"/>
      <c r="P35" s="10"/>
      <c r="Q35" s="10"/>
      <c r="R35" s="10"/>
      <c r="S35" s="10"/>
      <c r="T35" s="10"/>
      <c r="U35" s="10"/>
      <c r="V35" s="10"/>
    </row>
    <row r="36">
      <c r="A36" s="10"/>
      <c r="B36" s="10"/>
      <c r="C36" s="10"/>
      <c r="D36" s="10"/>
      <c r="E36" s="10"/>
      <c r="F36" s="10"/>
      <c r="G36" s="10"/>
      <c r="I36" s="10"/>
      <c r="J36" s="10"/>
      <c r="K36" s="10"/>
      <c r="L36" s="10"/>
      <c r="M36" s="10" t="str">
        <f>ifna(VLOOKUP('acft-exerc'!$M36,FIX!$A$2:$D1000,4, false),"")</f>
        <v/>
      </c>
      <c r="N36" s="10"/>
      <c r="O36" s="10"/>
      <c r="P36" s="10"/>
      <c r="Q36" s="10"/>
      <c r="R36" s="10"/>
      <c r="S36" s="10"/>
      <c r="T36" s="10"/>
      <c r="U36" s="10"/>
      <c r="V36" s="10"/>
    </row>
    <row r="37">
      <c r="A37" s="10"/>
      <c r="B37" s="10"/>
      <c r="C37" s="10"/>
      <c r="D37" s="10"/>
      <c r="E37" s="10"/>
      <c r="F37" s="10"/>
      <c r="G37" s="10"/>
      <c r="I37" s="10"/>
      <c r="J37" s="10"/>
      <c r="K37" s="10"/>
      <c r="L37" s="10"/>
      <c r="M37" s="10" t="str">
        <f>ifna(VLOOKUP('acft-exerc'!$M37,FIX!$A$2:$D1000,4, false),"")</f>
        <v/>
      </c>
      <c r="N37" s="10"/>
      <c r="O37" s="10"/>
      <c r="P37" s="10"/>
      <c r="Q37" s="10"/>
      <c r="R37" s="10"/>
      <c r="S37" s="10"/>
      <c r="T37" s="10"/>
      <c r="U37" s="10"/>
      <c r="V37" s="10"/>
    </row>
    <row r="38">
      <c r="A38" s="10"/>
      <c r="B38" s="10"/>
      <c r="C38" s="10"/>
      <c r="D38" s="10"/>
      <c r="E38" s="10"/>
      <c r="F38" s="10"/>
      <c r="G38" s="10"/>
      <c r="I38" s="10"/>
      <c r="J38" s="10"/>
      <c r="K38" s="10"/>
      <c r="L38" s="10"/>
      <c r="M38" s="10" t="str">
        <f>ifna(VLOOKUP('acft-exerc'!$M38,FIX!$A$2:$D1000,4, false),"")</f>
        <v/>
      </c>
      <c r="N38" s="10"/>
      <c r="O38" s="10"/>
      <c r="P38" s="10"/>
      <c r="Q38" s="10"/>
      <c r="R38" s="10"/>
      <c r="S38" s="10"/>
      <c r="T38" s="10"/>
      <c r="U38" s="10"/>
      <c r="V38" s="10"/>
    </row>
    <row r="39">
      <c r="A39" s="10"/>
      <c r="B39" s="10"/>
      <c r="C39" s="10"/>
      <c r="D39" s="10"/>
      <c r="E39" s="10"/>
      <c r="F39" s="10"/>
      <c r="G39" s="10"/>
      <c r="I39" s="10"/>
      <c r="J39" s="10"/>
      <c r="K39" s="10"/>
      <c r="L39" s="10"/>
      <c r="M39" s="10" t="str">
        <f>ifna(VLOOKUP('acft-exerc'!$M39,FIX!$A$2:$D1000,4, false),"")</f>
        <v/>
      </c>
      <c r="N39" s="10"/>
      <c r="O39" s="10"/>
      <c r="P39" s="10"/>
      <c r="Q39" s="10"/>
      <c r="R39" s="10"/>
      <c r="S39" s="10"/>
      <c r="T39" s="10"/>
      <c r="U39" s="10"/>
      <c r="V39" s="10"/>
    </row>
    <row r="40">
      <c r="A40" s="10"/>
      <c r="B40" s="10"/>
      <c r="C40" s="10"/>
      <c r="D40" s="10"/>
      <c r="E40" s="10"/>
      <c r="F40" s="10"/>
      <c r="G40" s="10"/>
      <c r="I40" s="10"/>
      <c r="J40" s="10"/>
      <c r="K40" s="10"/>
      <c r="L40" s="10"/>
      <c r="M40" s="10" t="str">
        <f>ifna(VLOOKUP('acft-exerc'!$M40,FIX!$A$2:$D1000,4, false),"")</f>
        <v/>
      </c>
      <c r="N40" s="10"/>
      <c r="O40" s="10"/>
      <c r="P40" s="10"/>
      <c r="Q40" s="10"/>
      <c r="R40" s="10"/>
      <c r="S40" s="10"/>
      <c r="T40" s="10"/>
      <c r="U40" s="10"/>
      <c r="V40" s="10"/>
    </row>
    <row r="41">
      <c r="A41" s="10"/>
      <c r="B41" s="10"/>
      <c r="C41" s="10"/>
      <c r="D41" s="10"/>
      <c r="E41" s="10"/>
      <c r="F41" s="10"/>
      <c r="G41" s="10"/>
      <c r="I41" s="10"/>
      <c r="J41" s="10"/>
      <c r="K41" s="10"/>
      <c r="L41" s="10"/>
      <c r="M41" s="10" t="str">
        <f>ifna(VLOOKUP('acft-exerc'!$M41,FIX!$A$2:$D1000,4, false),"")</f>
        <v/>
      </c>
      <c r="N41" s="10"/>
      <c r="O41" s="10"/>
      <c r="P41" s="10"/>
      <c r="Q41" s="10"/>
      <c r="R41" s="10"/>
      <c r="S41" s="10"/>
      <c r="T41" s="10"/>
      <c r="U41" s="10"/>
      <c r="V41" s="10"/>
    </row>
    <row r="42">
      <c r="A42" s="10"/>
      <c r="B42" s="10"/>
      <c r="C42" s="10"/>
      <c r="D42" s="10"/>
      <c r="E42" s="10"/>
      <c r="F42" s="10"/>
      <c r="G42" s="10"/>
      <c r="I42" s="10"/>
      <c r="J42" s="10"/>
      <c r="K42" s="10"/>
      <c r="L42" s="10"/>
      <c r="M42" s="10" t="str">
        <f>ifna(VLOOKUP('acft-exerc'!$M42,FIX!$A$2:$D1000,4, false),"")</f>
        <v/>
      </c>
      <c r="N42" s="10"/>
      <c r="O42" s="10"/>
      <c r="P42" s="10"/>
      <c r="Q42" s="10"/>
      <c r="R42" s="10"/>
      <c r="S42" s="10"/>
      <c r="T42" s="10"/>
      <c r="U42" s="10"/>
      <c r="V42" s="10"/>
    </row>
    <row r="43">
      <c r="A43" s="10"/>
      <c r="B43" s="10"/>
      <c r="C43" s="10"/>
      <c r="D43" s="10"/>
      <c r="E43" s="10"/>
      <c r="F43" s="10"/>
      <c r="G43" s="10"/>
      <c r="I43" s="10"/>
      <c r="J43" s="10"/>
      <c r="K43" s="10"/>
      <c r="L43" s="10"/>
      <c r="M43" s="10" t="str">
        <f>ifna(VLOOKUP('acft-exerc'!$M43,FIX!$A$2:$D1000,4, false),"")</f>
        <v/>
      </c>
      <c r="N43" s="10"/>
      <c r="O43" s="10"/>
      <c r="P43" s="10"/>
      <c r="Q43" s="10"/>
      <c r="R43" s="10"/>
      <c r="S43" s="10"/>
      <c r="T43" s="10"/>
      <c r="U43" s="10"/>
      <c r="V43" s="10"/>
    </row>
    <row r="44">
      <c r="A44" s="10"/>
      <c r="B44" s="10"/>
      <c r="C44" s="10"/>
      <c r="D44" s="10"/>
      <c r="E44" s="10"/>
      <c r="F44" s="10"/>
      <c r="G44" s="10"/>
      <c r="I44" s="10"/>
      <c r="J44" s="10"/>
      <c r="K44" s="10"/>
      <c r="L44" s="10"/>
      <c r="M44" s="10" t="str">
        <f>ifna(VLOOKUP('acft-exerc'!$M44,FIX!$A$2:$D1000,4, false),"")</f>
        <v/>
      </c>
      <c r="N44" s="10"/>
      <c r="O44" s="10"/>
      <c r="P44" s="10"/>
      <c r="Q44" s="10"/>
      <c r="R44" s="10"/>
      <c r="S44" s="10"/>
      <c r="T44" s="10"/>
      <c r="U44" s="10"/>
      <c r="V44" s="10"/>
    </row>
    <row r="45">
      <c r="A45" s="10"/>
      <c r="B45" s="10"/>
      <c r="C45" s="10"/>
      <c r="D45" s="10"/>
      <c r="E45" s="10"/>
      <c r="F45" s="10"/>
      <c r="G45" s="10"/>
      <c r="I45" s="10"/>
      <c r="J45" s="10"/>
      <c r="K45" s="10"/>
      <c r="L45" s="10"/>
      <c r="M45" s="10" t="str">
        <f>ifna(VLOOKUP('acft-exerc'!$M45,FIX!$A$2:$D1000,4, false),"")</f>
        <v/>
      </c>
      <c r="N45" s="10"/>
      <c r="O45" s="10"/>
      <c r="P45" s="10"/>
      <c r="Q45" s="10"/>
      <c r="R45" s="10"/>
      <c r="S45" s="10"/>
      <c r="T45" s="10"/>
      <c r="U45" s="10"/>
      <c r="V45" s="10"/>
    </row>
    <row r="46">
      <c r="A46" s="10"/>
      <c r="B46" s="10"/>
      <c r="C46" s="10"/>
      <c r="D46" s="10"/>
      <c r="E46" s="10"/>
      <c r="F46" s="10"/>
      <c r="G46" s="10"/>
      <c r="I46" s="10"/>
      <c r="J46" s="10"/>
      <c r="K46" s="10"/>
      <c r="L46" s="10"/>
      <c r="M46" s="10" t="str">
        <f>ifna(VLOOKUP('acft-exerc'!$M46,FIX!$A$2:$D1000,4, false),"")</f>
        <v/>
      </c>
      <c r="N46" s="10"/>
      <c r="O46" s="10"/>
      <c r="P46" s="10"/>
      <c r="Q46" s="10"/>
      <c r="R46" s="10"/>
      <c r="S46" s="10"/>
      <c r="T46" s="10"/>
      <c r="U46" s="10"/>
      <c r="V46" s="10"/>
    </row>
    <row r="47">
      <c r="A47" s="10"/>
      <c r="B47" s="10"/>
      <c r="C47" s="10"/>
      <c r="D47" s="10"/>
      <c r="E47" s="10"/>
      <c r="F47" s="10"/>
      <c r="G47" s="10"/>
      <c r="I47" s="10"/>
      <c r="J47" s="10"/>
      <c r="K47" s="10"/>
      <c r="L47" s="10"/>
      <c r="M47" s="10" t="str">
        <f>ifna(VLOOKUP('acft-exerc'!$M47,FIX!$A$2:$D1000,4, false),"")</f>
        <v/>
      </c>
      <c r="N47" s="10"/>
      <c r="O47" s="10"/>
      <c r="P47" s="10"/>
      <c r="Q47" s="10"/>
      <c r="R47" s="10"/>
      <c r="S47" s="10"/>
      <c r="T47" s="10"/>
      <c r="U47" s="10"/>
      <c r="V47" s="10"/>
    </row>
    <row r="48">
      <c r="A48" s="10"/>
      <c r="B48" s="10"/>
      <c r="C48" s="10"/>
      <c r="D48" s="10"/>
      <c r="E48" s="10"/>
      <c r="F48" s="10"/>
      <c r="G48" s="10"/>
      <c r="I48" s="10"/>
      <c r="J48" s="10"/>
      <c r="K48" s="10"/>
      <c r="L48" s="10"/>
      <c r="M48" s="10" t="str">
        <f>ifna(VLOOKUP('acft-exerc'!$M48,FIX!$A$2:$D1000,4, false),"")</f>
        <v/>
      </c>
      <c r="N48" s="10"/>
      <c r="O48" s="10"/>
      <c r="P48" s="10"/>
      <c r="Q48" s="10"/>
      <c r="R48" s="10"/>
      <c r="S48" s="10"/>
      <c r="T48" s="10"/>
      <c r="U48" s="10"/>
      <c r="V48" s="10"/>
    </row>
    <row r="49">
      <c r="A49" s="10"/>
      <c r="B49" s="10"/>
      <c r="C49" s="10"/>
      <c r="D49" s="10"/>
      <c r="E49" s="10"/>
      <c r="F49" s="10"/>
      <c r="G49" s="10"/>
      <c r="I49" s="10"/>
      <c r="J49" s="10"/>
      <c r="K49" s="10"/>
      <c r="L49" s="10"/>
      <c r="M49" s="10" t="str">
        <f>ifna(VLOOKUP('acft-exerc'!$M49,FIX!$A$2:$D1000,4, false),"")</f>
        <v/>
      </c>
      <c r="N49" s="10"/>
      <c r="O49" s="10"/>
      <c r="P49" s="10"/>
      <c r="Q49" s="10"/>
      <c r="R49" s="10"/>
      <c r="S49" s="10"/>
      <c r="T49" s="10"/>
      <c r="U49" s="10"/>
      <c r="V49" s="10"/>
    </row>
    <row r="50">
      <c r="A50" s="10"/>
      <c r="B50" s="10"/>
      <c r="C50" s="10"/>
      <c r="D50" s="10"/>
      <c r="E50" s="10"/>
      <c r="F50" s="10"/>
      <c r="G50" s="10"/>
      <c r="I50" s="10"/>
      <c r="J50" s="10"/>
      <c r="K50" s="10"/>
      <c r="L50" s="10"/>
      <c r="M50" s="10" t="str">
        <f>ifna(VLOOKUP('acft-exerc'!$M50,FIX!$A$2:$D1000,4, false),"")</f>
        <v/>
      </c>
      <c r="N50" s="10"/>
      <c r="O50" s="10"/>
      <c r="P50" s="10"/>
      <c r="Q50" s="10"/>
      <c r="R50" s="10"/>
      <c r="S50" s="10"/>
      <c r="T50" s="10"/>
      <c r="U50" s="10"/>
      <c r="V50" s="10"/>
    </row>
    <row r="51">
      <c r="A51" s="10"/>
      <c r="B51" s="10"/>
      <c r="C51" s="10"/>
      <c r="D51" s="10"/>
      <c r="E51" s="10"/>
      <c r="F51" s="10"/>
      <c r="G51" s="10"/>
      <c r="I51" s="10"/>
      <c r="J51" s="10"/>
      <c r="K51" s="10"/>
      <c r="L51" s="10"/>
      <c r="M51" s="10" t="str">
        <f>ifna(VLOOKUP('acft-exerc'!$M51,FIX!$A$2:$D1000,4, false),"")</f>
        <v/>
      </c>
      <c r="N51" s="10"/>
      <c r="O51" s="10"/>
      <c r="P51" s="10"/>
      <c r="Q51" s="10"/>
      <c r="R51" s="10"/>
      <c r="S51" s="10"/>
      <c r="T51" s="10"/>
      <c r="U51" s="10"/>
      <c r="V51" s="10"/>
    </row>
    <row r="52">
      <c r="A52" s="10"/>
      <c r="B52" s="10"/>
      <c r="C52" s="10"/>
      <c r="D52" s="10"/>
      <c r="E52" s="10"/>
      <c r="F52" s="10"/>
      <c r="G52" s="10"/>
      <c r="I52" s="10"/>
      <c r="J52" s="10"/>
      <c r="K52" s="10"/>
      <c r="L52" s="10"/>
      <c r="M52" s="10" t="str">
        <f>ifna(VLOOKUP('acft-exerc'!$M52,FIX!$A$2:$D1000,4, false),"")</f>
        <v/>
      </c>
      <c r="N52" s="10"/>
      <c r="O52" s="10"/>
      <c r="P52" s="10"/>
      <c r="Q52" s="10"/>
      <c r="R52" s="10"/>
      <c r="S52" s="10"/>
      <c r="T52" s="10"/>
      <c r="U52" s="10"/>
      <c r="V52" s="10"/>
    </row>
    <row r="53">
      <c r="A53" s="10"/>
      <c r="B53" s="10"/>
      <c r="C53" s="10"/>
      <c r="D53" s="10"/>
      <c r="E53" s="10"/>
      <c r="F53" s="10"/>
      <c r="G53" s="10"/>
      <c r="I53" s="10"/>
      <c r="J53" s="10"/>
      <c r="K53" s="10"/>
      <c r="L53" s="10"/>
      <c r="M53" s="10" t="str">
        <f>ifna(VLOOKUP('acft-exerc'!$M53,FIX!$A$2:$D1000,4, false),"")</f>
        <v/>
      </c>
      <c r="N53" s="10"/>
      <c r="O53" s="10"/>
      <c r="P53" s="10"/>
      <c r="Q53" s="10"/>
      <c r="R53" s="10"/>
      <c r="S53" s="10"/>
      <c r="T53" s="10"/>
      <c r="U53" s="10"/>
      <c r="V53" s="10"/>
    </row>
    <row r="54">
      <c r="A54" s="10"/>
      <c r="B54" s="10"/>
      <c r="C54" s="10"/>
      <c r="D54" s="10"/>
      <c r="E54" s="10"/>
      <c r="F54" s="10"/>
      <c r="G54" s="10"/>
      <c r="I54" s="10"/>
      <c r="J54" s="10"/>
      <c r="K54" s="10"/>
      <c r="L54" s="10"/>
      <c r="M54" s="10" t="str">
        <f>ifna(VLOOKUP('acft-exerc'!$M54,FIX!$A$2:$D1000,4, false),"")</f>
        <v/>
      </c>
      <c r="N54" s="10"/>
      <c r="O54" s="10"/>
      <c r="P54" s="10"/>
      <c r="Q54" s="10"/>
      <c r="R54" s="10"/>
      <c r="S54" s="10"/>
      <c r="T54" s="10"/>
      <c r="U54" s="10"/>
      <c r="V54" s="10"/>
    </row>
    <row r="55">
      <c r="A55" s="10"/>
      <c r="B55" s="10"/>
      <c r="C55" s="10"/>
      <c r="D55" s="10"/>
      <c r="E55" s="10"/>
      <c r="F55" s="10"/>
      <c r="G55" s="10"/>
      <c r="I55" s="10"/>
      <c r="J55" s="10"/>
      <c r="K55" s="10"/>
      <c r="L55" s="10"/>
      <c r="M55" s="10" t="str">
        <f>ifna(VLOOKUP('acft-exerc'!$M55,FIX!$A$2:$D1000,4, false),"")</f>
        <v/>
      </c>
      <c r="N55" s="10"/>
      <c r="O55" s="10"/>
      <c r="P55" s="10"/>
      <c r="Q55" s="10"/>
      <c r="R55" s="10"/>
      <c r="S55" s="10"/>
      <c r="T55" s="10"/>
      <c r="U55" s="10"/>
      <c r="V55" s="10"/>
    </row>
    <row r="56">
      <c r="A56" s="10"/>
      <c r="B56" s="10"/>
      <c r="C56" s="10"/>
      <c r="D56" s="10"/>
      <c r="E56" s="10"/>
      <c r="F56" s="10"/>
      <c r="G56" s="10"/>
      <c r="I56" s="10"/>
      <c r="J56" s="10"/>
      <c r="K56" s="10"/>
      <c r="L56" s="10"/>
      <c r="M56" s="10" t="str">
        <f>ifna(VLOOKUP('acft-exerc'!$M56,FIX!$A$2:$D1000,4, false),"")</f>
        <v/>
      </c>
      <c r="N56" s="10"/>
      <c r="O56" s="10"/>
      <c r="P56" s="10"/>
      <c r="Q56" s="10"/>
      <c r="R56" s="10"/>
      <c r="S56" s="10"/>
      <c r="T56" s="10"/>
      <c r="U56" s="10"/>
      <c r="V56" s="10"/>
    </row>
    <row r="57">
      <c r="A57" s="10"/>
      <c r="B57" s="10"/>
      <c r="C57" s="10"/>
      <c r="D57" s="10"/>
      <c r="E57" s="10"/>
      <c r="F57" s="10"/>
      <c r="G57" s="10"/>
      <c r="I57" s="10"/>
      <c r="J57" s="10"/>
      <c r="K57" s="10"/>
      <c r="L57" s="10"/>
      <c r="M57" s="10" t="str">
        <f>ifna(VLOOKUP('acft-exerc'!$M57,FIX!$A$2:$D1000,4, false),"")</f>
        <v/>
      </c>
      <c r="N57" s="10"/>
      <c r="O57" s="10"/>
      <c r="P57" s="10"/>
      <c r="Q57" s="10"/>
      <c r="R57" s="10"/>
      <c r="S57" s="10"/>
      <c r="T57" s="10"/>
      <c r="U57" s="10"/>
      <c r="V57" s="10"/>
    </row>
    <row r="58">
      <c r="A58" s="10"/>
      <c r="B58" s="10"/>
      <c r="C58" s="10"/>
      <c r="D58" s="10"/>
      <c r="E58" s="10"/>
      <c r="F58" s="10"/>
      <c r="G58" s="10"/>
      <c r="I58" s="10"/>
      <c r="J58" s="10"/>
      <c r="K58" s="10"/>
      <c r="L58" s="10"/>
      <c r="M58" s="10" t="str">
        <f>ifna(VLOOKUP('acft-exerc'!$M58,FIX!$A$2:$D1000,4, false),"")</f>
        <v/>
      </c>
      <c r="N58" s="10"/>
      <c r="O58" s="10"/>
      <c r="P58" s="10"/>
      <c r="Q58" s="10"/>
      <c r="R58" s="10"/>
      <c r="S58" s="10"/>
      <c r="T58" s="10"/>
      <c r="U58" s="10"/>
      <c r="V58" s="10"/>
    </row>
    <row r="59">
      <c r="A59" s="10"/>
      <c r="B59" s="10"/>
      <c r="C59" s="10"/>
      <c r="D59" s="10"/>
      <c r="E59" s="10"/>
      <c r="F59" s="10"/>
      <c r="G59" s="10"/>
      <c r="I59" s="10"/>
      <c r="J59" s="10"/>
      <c r="K59" s="10"/>
      <c r="L59" s="10"/>
      <c r="M59" s="10" t="str">
        <f>ifna(VLOOKUP('acft-exerc'!$M59,FIX!$A$2:$D1000,4, false),"")</f>
        <v/>
      </c>
      <c r="N59" s="10"/>
      <c r="O59" s="10"/>
      <c r="P59" s="10"/>
      <c r="Q59" s="10"/>
      <c r="R59" s="10"/>
      <c r="S59" s="10"/>
      <c r="T59" s="10"/>
      <c r="U59" s="10"/>
      <c r="V59" s="10"/>
    </row>
    <row r="60">
      <c r="A60" s="10"/>
      <c r="B60" s="10"/>
      <c r="C60" s="10"/>
      <c r="D60" s="10"/>
      <c r="E60" s="10"/>
      <c r="F60" s="10"/>
      <c r="G60" s="10"/>
      <c r="I60" s="10"/>
      <c r="J60" s="10"/>
      <c r="K60" s="10"/>
      <c r="L60" s="10"/>
      <c r="M60" s="10" t="str">
        <f>ifna(VLOOKUP('acft-exerc'!$M60,FIX!$A$2:$D1000,4, false),"")</f>
        <v/>
      </c>
      <c r="N60" s="10"/>
      <c r="O60" s="10"/>
      <c r="P60" s="10"/>
      <c r="Q60" s="10"/>
      <c r="R60" s="10"/>
      <c r="S60" s="10"/>
      <c r="T60" s="10"/>
      <c r="U60" s="10"/>
      <c r="V60" s="10"/>
    </row>
    <row r="61">
      <c r="A61" s="10"/>
      <c r="B61" s="10"/>
      <c r="C61" s="10"/>
      <c r="D61" s="10"/>
      <c r="E61" s="10"/>
      <c r="F61" s="10"/>
      <c r="G61" s="10"/>
      <c r="I61" s="10"/>
      <c r="J61" s="10"/>
      <c r="K61" s="10"/>
      <c r="L61" s="10"/>
      <c r="M61" s="10" t="str">
        <f>ifna(VLOOKUP('acft-exerc'!$M61,FIX!$A$2:$D1000,4, false),"")</f>
        <v/>
      </c>
      <c r="N61" s="10"/>
      <c r="O61" s="10"/>
      <c r="P61" s="10"/>
      <c r="Q61" s="10"/>
      <c r="R61" s="10"/>
      <c r="S61" s="10"/>
      <c r="T61" s="10"/>
      <c r="U61" s="10"/>
      <c r="V61" s="10"/>
    </row>
    <row r="62">
      <c r="A62" s="10"/>
      <c r="B62" s="10"/>
      <c r="C62" s="10"/>
      <c r="D62" s="10"/>
      <c r="E62" s="10"/>
      <c r="F62" s="10"/>
      <c r="G62" s="10"/>
      <c r="I62" s="10"/>
      <c r="J62" s="10"/>
      <c r="K62" s="10"/>
      <c r="L62" s="10"/>
      <c r="M62" s="10" t="str">
        <f>ifna(VLOOKUP('acft-exerc'!$M62,FIX!$A$2:$D1000,4, false),"")</f>
        <v/>
      </c>
      <c r="N62" s="10"/>
      <c r="O62" s="10"/>
      <c r="P62" s="10"/>
      <c r="Q62" s="10"/>
      <c r="R62" s="10"/>
      <c r="S62" s="10"/>
      <c r="T62" s="10"/>
      <c r="U62" s="10"/>
      <c r="V62" s="10"/>
    </row>
    <row r="63">
      <c r="A63" s="10"/>
      <c r="B63" s="10"/>
      <c r="C63" s="10"/>
      <c r="D63" s="10"/>
      <c r="E63" s="10"/>
      <c r="F63" s="10"/>
      <c r="G63" s="10"/>
      <c r="I63" s="10"/>
      <c r="J63" s="10"/>
      <c r="K63" s="10"/>
      <c r="L63" s="10"/>
      <c r="M63" s="10" t="str">
        <f>ifna(VLOOKUP('acft-exerc'!$M63,FIX!$A$2:$D1000,4, false),"")</f>
        <v/>
      </c>
      <c r="N63" s="10"/>
      <c r="O63" s="10"/>
      <c r="P63" s="10"/>
      <c r="Q63" s="10"/>
      <c r="R63" s="10"/>
      <c r="S63" s="10"/>
      <c r="T63" s="10"/>
      <c r="U63" s="10"/>
      <c r="V63" s="10"/>
    </row>
    <row r="64">
      <c r="A64" s="10"/>
      <c r="B64" s="10"/>
      <c r="C64" s="10"/>
      <c r="D64" s="10"/>
      <c r="E64" s="10"/>
      <c r="F64" s="10"/>
      <c r="G64" s="10"/>
      <c r="I64" s="10"/>
      <c r="J64" s="10"/>
      <c r="K64" s="10"/>
      <c r="L64" s="10"/>
      <c r="M64" s="10" t="str">
        <f>ifna(VLOOKUP('acft-exerc'!$M64,FIX!$A$2:$D1000,4, false),"")</f>
        <v/>
      </c>
      <c r="N64" s="10"/>
      <c r="O64" s="10"/>
      <c r="P64" s="10"/>
      <c r="Q64" s="10"/>
      <c r="R64" s="10"/>
      <c r="S64" s="10"/>
      <c r="T64" s="10"/>
      <c r="U64" s="10"/>
      <c r="V64" s="10"/>
    </row>
    <row r="65">
      <c r="A65" s="10"/>
      <c r="B65" s="10"/>
      <c r="C65" s="10"/>
      <c r="D65" s="10"/>
      <c r="E65" s="10"/>
      <c r="F65" s="10"/>
      <c r="G65" s="10"/>
      <c r="I65" s="10"/>
      <c r="J65" s="10"/>
      <c r="K65" s="10"/>
      <c r="L65" s="10"/>
      <c r="M65" s="10" t="str">
        <f>ifna(VLOOKUP('acft-exerc'!$M65,FIX!$A$2:$D1000,4, false),"")</f>
        <v/>
      </c>
      <c r="N65" s="10"/>
      <c r="O65" s="10"/>
      <c r="P65" s="10"/>
      <c r="Q65" s="10"/>
      <c r="R65" s="10"/>
      <c r="S65" s="10"/>
      <c r="T65" s="10"/>
      <c r="U65" s="10"/>
      <c r="V65" s="10"/>
    </row>
    <row r="66">
      <c r="A66" s="10"/>
      <c r="B66" s="10"/>
      <c r="C66" s="10"/>
      <c r="D66" s="10"/>
      <c r="E66" s="10"/>
      <c r="F66" s="10"/>
      <c r="G66" s="10"/>
      <c r="I66" s="10"/>
      <c r="J66" s="10"/>
      <c r="K66" s="10"/>
      <c r="L66" s="10"/>
      <c r="M66" s="10" t="str">
        <f>ifna(VLOOKUP('acft-exerc'!$M66,FIX!$A$2:$D1000,4, false),"")</f>
        <v/>
      </c>
      <c r="N66" s="10"/>
      <c r="O66" s="10"/>
      <c r="P66" s="10"/>
      <c r="Q66" s="10"/>
      <c r="R66" s="10"/>
      <c r="S66" s="10"/>
      <c r="T66" s="10"/>
      <c r="U66" s="10"/>
      <c r="V66" s="10"/>
    </row>
    <row r="67">
      <c r="A67" s="10"/>
      <c r="B67" s="10"/>
      <c r="C67" s="10"/>
      <c r="D67" s="10"/>
      <c r="E67" s="10"/>
      <c r="F67" s="10"/>
      <c r="G67" s="10"/>
      <c r="I67" s="10"/>
      <c r="J67" s="10"/>
      <c r="K67" s="10"/>
      <c r="L67" s="10"/>
      <c r="M67" s="10" t="str">
        <f>ifna(VLOOKUP('acft-exerc'!$M67,FIX!$A$2:$D1000,4, false),"")</f>
        <v/>
      </c>
      <c r="N67" s="10"/>
      <c r="O67" s="10"/>
      <c r="P67" s="10"/>
      <c r="Q67" s="10"/>
      <c r="R67" s="10"/>
      <c r="S67" s="10"/>
      <c r="T67" s="10"/>
      <c r="U67" s="10"/>
      <c r="V67" s="10"/>
    </row>
    <row r="68">
      <c r="A68" s="10"/>
      <c r="B68" s="10"/>
      <c r="C68" s="10"/>
      <c r="D68" s="10"/>
      <c r="E68" s="10"/>
      <c r="F68" s="10"/>
      <c r="G68" s="10"/>
      <c r="I68" s="10"/>
      <c r="J68" s="10"/>
      <c r="K68" s="10"/>
      <c r="L68" s="10"/>
      <c r="M68" s="10" t="str">
        <f>ifna(VLOOKUP('acft-exerc'!$M68,FIX!$A$2:$D1000,4, false),"")</f>
        <v/>
      </c>
      <c r="N68" s="10"/>
      <c r="O68" s="10"/>
      <c r="P68" s="10"/>
      <c r="Q68" s="10"/>
      <c r="R68" s="10"/>
      <c r="S68" s="10"/>
      <c r="T68" s="10"/>
      <c r="U68" s="10"/>
      <c r="V68" s="10"/>
    </row>
    <row r="69">
      <c r="A69" s="10"/>
      <c r="B69" s="10"/>
      <c r="C69" s="10"/>
      <c r="D69" s="10"/>
      <c r="E69" s="10"/>
      <c r="F69" s="10"/>
      <c r="G69" s="10"/>
      <c r="I69" s="10"/>
      <c r="J69" s="10"/>
      <c r="K69" s="10"/>
      <c r="L69" s="10"/>
      <c r="M69" s="10" t="str">
        <f>ifna(VLOOKUP('acft-exerc'!$M69,FIX!$A$2:$D1000,4, false),"")</f>
        <v/>
      </c>
      <c r="N69" s="10"/>
      <c r="O69" s="10"/>
      <c r="P69" s="10"/>
      <c r="Q69" s="10"/>
      <c r="R69" s="10"/>
      <c r="S69" s="10"/>
      <c r="T69" s="10"/>
      <c r="U69" s="10"/>
      <c r="V69" s="10"/>
    </row>
    <row r="70">
      <c r="A70" s="10"/>
      <c r="B70" s="10"/>
      <c r="C70" s="10"/>
      <c r="D70" s="10"/>
      <c r="E70" s="10"/>
      <c r="F70" s="10"/>
      <c r="G70" s="10"/>
      <c r="I70" s="10"/>
      <c r="J70" s="10"/>
      <c r="K70" s="10"/>
      <c r="L70" s="10"/>
      <c r="M70" s="10" t="str">
        <f>ifna(VLOOKUP('acft-exerc'!$M70,FIX!$A$2:$D1000,4, false),"")</f>
        <v/>
      </c>
      <c r="N70" s="10"/>
      <c r="O70" s="10"/>
      <c r="P70" s="10"/>
      <c r="Q70" s="10"/>
      <c r="R70" s="10"/>
      <c r="S70" s="10"/>
      <c r="T70" s="10"/>
      <c r="U70" s="10"/>
      <c r="V70" s="10"/>
    </row>
    <row r="71">
      <c r="A71" s="10"/>
      <c r="B71" s="10"/>
      <c r="C71" s="10"/>
      <c r="D71" s="10"/>
      <c r="E71" s="10"/>
      <c r="F71" s="10"/>
      <c r="G71" s="10"/>
      <c r="I71" s="10"/>
      <c r="J71" s="10"/>
      <c r="K71" s="10"/>
      <c r="L71" s="10"/>
      <c r="M71" s="10" t="str">
        <f>ifna(VLOOKUP('acft-exerc'!$M71,FIX!$A$2:$D1000,4, false),"")</f>
        <v/>
      </c>
      <c r="N71" s="10"/>
      <c r="O71" s="10"/>
      <c r="P71" s="10"/>
      <c r="Q71" s="10"/>
      <c r="R71" s="10"/>
      <c r="S71" s="10"/>
      <c r="T71" s="10"/>
      <c r="U71" s="10"/>
      <c r="V71" s="10"/>
    </row>
    <row r="72">
      <c r="A72" s="10"/>
      <c r="B72" s="10"/>
      <c r="C72" s="10"/>
      <c r="D72" s="10"/>
      <c r="E72" s="10"/>
      <c r="F72" s="10"/>
      <c r="G72" s="10"/>
      <c r="I72" s="10"/>
      <c r="J72" s="10"/>
      <c r="K72" s="10"/>
      <c r="L72" s="10"/>
      <c r="M72" s="10" t="str">
        <f>ifna(VLOOKUP('acft-exerc'!$M72,FIX!$A$2:$D1000,4, false),"")</f>
        <v/>
      </c>
      <c r="N72" s="10"/>
      <c r="O72" s="10"/>
      <c r="P72" s="10"/>
      <c r="Q72" s="10"/>
      <c r="R72" s="10"/>
      <c r="S72" s="10"/>
      <c r="T72" s="10"/>
      <c r="U72" s="10"/>
      <c r="V72" s="10"/>
    </row>
    <row r="73">
      <c r="A73" s="10"/>
      <c r="B73" s="10"/>
      <c r="C73" s="10"/>
      <c r="D73" s="10"/>
      <c r="E73" s="10"/>
      <c r="F73" s="10"/>
      <c r="G73" s="10"/>
      <c r="I73" s="10"/>
      <c r="J73" s="10"/>
      <c r="K73" s="10"/>
      <c r="L73" s="10"/>
      <c r="M73" s="10" t="str">
        <f>ifna(VLOOKUP('acft-exerc'!$M73,FIX!$A$2:$D1000,4, false),"")</f>
        <v/>
      </c>
      <c r="N73" s="10"/>
      <c r="O73" s="10"/>
      <c r="P73" s="10"/>
      <c r="Q73" s="10"/>
      <c r="R73" s="10"/>
      <c r="S73" s="10"/>
      <c r="T73" s="10"/>
      <c r="U73" s="10"/>
      <c r="V73" s="10"/>
    </row>
    <row r="74">
      <c r="A74" s="10"/>
      <c r="B74" s="10"/>
      <c r="C74" s="10"/>
      <c r="D74" s="10"/>
      <c r="E74" s="10"/>
      <c r="F74" s="10"/>
      <c r="G74" s="10"/>
      <c r="I74" s="10"/>
      <c r="J74" s="10"/>
      <c r="K74" s="10"/>
      <c r="L74" s="10"/>
      <c r="M74" s="10" t="str">
        <f>ifna(VLOOKUP('acft-exerc'!$M74,FIX!$A$2:$D1000,4, false),"")</f>
        <v/>
      </c>
      <c r="N74" s="10"/>
      <c r="O74" s="10"/>
      <c r="P74" s="10"/>
      <c r="Q74" s="10"/>
      <c r="R74" s="10"/>
      <c r="S74" s="10"/>
      <c r="T74" s="10"/>
      <c r="U74" s="10"/>
      <c r="V74" s="10"/>
    </row>
    <row r="75">
      <c r="A75" s="10"/>
      <c r="B75" s="10"/>
      <c r="C75" s="10"/>
      <c r="D75" s="10"/>
      <c r="E75" s="10"/>
      <c r="F75" s="10"/>
      <c r="G75" s="10"/>
      <c r="I75" s="10"/>
      <c r="J75" s="10"/>
      <c r="K75" s="10"/>
      <c r="L75" s="10"/>
      <c r="M75" s="10" t="str">
        <f>ifna(VLOOKUP('acft-exerc'!$M75,FIX!$A$2:$D1000,4, false),"")</f>
        <v/>
      </c>
      <c r="N75" s="10"/>
      <c r="O75" s="10"/>
      <c r="P75" s="10"/>
      <c r="Q75" s="10"/>
      <c r="R75" s="10"/>
      <c r="S75" s="10"/>
      <c r="T75" s="10"/>
      <c r="U75" s="10"/>
      <c r="V75" s="10"/>
    </row>
    <row r="76">
      <c r="A76" s="10"/>
      <c r="B76" s="10"/>
      <c r="C76" s="10"/>
      <c r="D76" s="10"/>
      <c r="E76" s="10"/>
      <c r="F76" s="10"/>
      <c r="G76" s="10"/>
      <c r="I76" s="10"/>
      <c r="J76" s="10"/>
      <c r="K76" s="10"/>
      <c r="L76" s="10"/>
      <c r="M76" s="10" t="str">
        <f>ifna(VLOOKUP('acft-exerc'!$M76,FIX!$A$2:$D1000,4, false),"")</f>
        <v/>
      </c>
      <c r="N76" s="10"/>
      <c r="O76" s="10"/>
      <c r="P76" s="10"/>
      <c r="Q76" s="10"/>
      <c r="R76" s="10"/>
      <c r="S76" s="10"/>
      <c r="T76" s="10"/>
      <c r="U76" s="10"/>
      <c r="V76" s="10"/>
    </row>
    <row r="77">
      <c r="A77" s="10"/>
      <c r="B77" s="10"/>
      <c r="C77" s="10"/>
      <c r="D77" s="10"/>
      <c r="E77" s="10"/>
      <c r="F77" s="10"/>
      <c r="G77" s="10"/>
      <c r="I77" s="10"/>
      <c r="J77" s="10"/>
      <c r="K77" s="10"/>
      <c r="L77" s="10"/>
      <c r="M77" s="10" t="str">
        <f>ifna(VLOOKUP('acft-exerc'!$M77,FIX!$A$2:$D1000,4, false),"")</f>
        <v/>
      </c>
      <c r="N77" s="10"/>
      <c r="O77" s="10"/>
      <c r="P77" s="10"/>
      <c r="Q77" s="10"/>
      <c r="R77" s="10"/>
      <c r="S77" s="10"/>
      <c r="T77" s="10"/>
      <c r="U77" s="10"/>
      <c r="V77" s="10"/>
    </row>
    <row r="78">
      <c r="A78" s="10"/>
      <c r="B78" s="10"/>
      <c r="C78" s="10"/>
      <c r="D78" s="10"/>
      <c r="E78" s="10"/>
      <c r="F78" s="10"/>
      <c r="G78" s="10"/>
      <c r="I78" s="10"/>
      <c r="J78" s="10"/>
      <c r="K78" s="10"/>
      <c r="L78" s="10"/>
      <c r="M78" s="10" t="str">
        <f>ifna(VLOOKUP('acft-exerc'!$M78,FIX!$A$2:$D1000,4, false),"")</f>
        <v/>
      </c>
      <c r="N78" s="10"/>
      <c r="O78" s="10"/>
      <c r="P78" s="10"/>
      <c r="Q78" s="10"/>
      <c r="R78" s="10"/>
      <c r="S78" s="10"/>
      <c r="T78" s="10"/>
      <c r="U78" s="10"/>
      <c r="V78" s="10"/>
    </row>
    <row r="79">
      <c r="A79" s="10"/>
      <c r="B79" s="10"/>
      <c r="C79" s="10"/>
      <c r="D79" s="10"/>
      <c r="E79" s="10"/>
      <c r="F79" s="10"/>
      <c r="G79" s="10"/>
      <c r="I79" s="10"/>
      <c r="J79" s="10"/>
      <c r="K79" s="10"/>
      <c r="L79" s="10"/>
      <c r="M79" s="10" t="str">
        <f>ifna(VLOOKUP('acft-exerc'!$M79,FIX!$A$2:$D1000,4, false),"")</f>
        <v/>
      </c>
      <c r="N79" s="10"/>
      <c r="O79" s="10"/>
      <c r="P79" s="10"/>
      <c r="Q79" s="10"/>
      <c r="R79" s="10"/>
      <c r="S79" s="10"/>
      <c r="T79" s="10"/>
      <c r="U79" s="10"/>
      <c r="V79" s="10"/>
    </row>
    <row r="80">
      <c r="A80" s="10"/>
      <c r="B80" s="10"/>
      <c r="C80" s="10"/>
      <c r="D80" s="10"/>
      <c r="E80" s="10"/>
      <c r="F80" s="10"/>
      <c r="G80" s="10"/>
      <c r="I80" s="10"/>
      <c r="J80" s="10"/>
      <c r="K80" s="10"/>
      <c r="L80" s="10"/>
      <c r="M80" s="10" t="str">
        <f>ifna(VLOOKUP('acft-exerc'!$M80,FIX!$A$2:$D1000,4, false),"")</f>
        <v/>
      </c>
      <c r="N80" s="10"/>
      <c r="O80" s="10"/>
      <c r="P80" s="10"/>
      <c r="Q80" s="10"/>
      <c r="R80" s="10"/>
      <c r="S80" s="10"/>
      <c r="T80" s="10"/>
      <c r="U80" s="10"/>
      <c r="V80" s="10"/>
    </row>
    <row r="81">
      <c r="A81" s="10"/>
      <c r="B81" s="10"/>
      <c r="C81" s="10"/>
      <c r="D81" s="10"/>
      <c r="E81" s="10"/>
      <c r="F81" s="10"/>
      <c r="G81" s="10"/>
      <c r="I81" s="10"/>
      <c r="J81" s="10"/>
      <c r="K81" s="10"/>
      <c r="L81" s="10"/>
      <c r="M81" s="10" t="str">
        <f>ifna(VLOOKUP('acft-exerc'!$M81,FIX!$A$2:$D1000,4, false),"")</f>
        <v/>
      </c>
      <c r="N81" s="10"/>
      <c r="O81" s="10"/>
      <c r="P81" s="10"/>
      <c r="Q81" s="10"/>
      <c r="R81" s="10"/>
      <c r="S81" s="10"/>
      <c r="T81" s="10"/>
      <c r="U81" s="10"/>
      <c r="V81" s="10"/>
    </row>
    <row r="82">
      <c r="A82" s="10"/>
      <c r="B82" s="10"/>
      <c r="C82" s="10"/>
      <c r="D82" s="10"/>
      <c r="E82" s="10"/>
      <c r="F82" s="10"/>
      <c r="G82" s="10"/>
      <c r="I82" s="10"/>
      <c r="J82" s="10"/>
      <c r="K82" s="10"/>
      <c r="L82" s="10"/>
      <c r="M82" s="10" t="str">
        <f>ifna(VLOOKUP('acft-exerc'!$M82,FIX!$A$2:$D1000,4, false),"")</f>
        <v/>
      </c>
      <c r="N82" s="10"/>
      <c r="O82" s="10"/>
      <c r="P82" s="10"/>
      <c r="Q82" s="10"/>
      <c r="R82" s="10"/>
      <c r="S82" s="10"/>
      <c r="T82" s="10"/>
      <c r="U82" s="10"/>
      <c r="V82" s="10"/>
    </row>
    <row r="83">
      <c r="A83" s="10"/>
      <c r="B83" s="10"/>
      <c r="C83" s="10"/>
      <c r="D83" s="10"/>
      <c r="E83" s="10"/>
      <c r="F83" s="10"/>
      <c r="G83" s="10"/>
      <c r="I83" s="10"/>
      <c r="J83" s="10"/>
      <c r="K83" s="10"/>
      <c r="L83" s="10"/>
      <c r="M83" s="10" t="str">
        <f>ifna(VLOOKUP('acft-exerc'!$M83,FIX!$A$2:$D1000,4, false),"")</f>
        <v/>
      </c>
      <c r="N83" s="10"/>
      <c r="O83" s="10"/>
      <c r="P83" s="10"/>
      <c r="Q83" s="10"/>
      <c r="R83" s="10"/>
      <c r="S83" s="10"/>
      <c r="T83" s="10"/>
      <c r="U83" s="10"/>
      <c r="V83" s="10"/>
    </row>
    <row r="84">
      <c r="A84" s="10"/>
      <c r="B84" s="10"/>
      <c r="C84" s="10"/>
      <c r="D84" s="10"/>
      <c r="E84" s="10"/>
      <c r="F84" s="10"/>
      <c r="G84" s="10"/>
      <c r="I84" s="10"/>
      <c r="J84" s="10"/>
      <c r="K84" s="10"/>
      <c r="L84" s="10"/>
      <c r="M84" s="10" t="str">
        <f>ifna(VLOOKUP('acft-exerc'!$M84,FIX!$A$2:$D1000,4, false),"")</f>
        <v/>
      </c>
      <c r="N84" s="10"/>
      <c r="O84" s="10"/>
      <c r="P84" s="10"/>
      <c r="Q84" s="10"/>
      <c r="R84" s="10"/>
      <c r="S84" s="10"/>
      <c r="T84" s="10"/>
      <c r="U84" s="10"/>
      <c r="V84" s="10"/>
    </row>
    <row r="85">
      <c r="A85" s="10"/>
      <c r="B85" s="10"/>
      <c r="C85" s="10"/>
      <c r="D85" s="10"/>
      <c r="E85" s="10"/>
      <c r="F85" s="10"/>
      <c r="G85" s="10"/>
      <c r="I85" s="10"/>
      <c r="J85" s="10"/>
      <c r="K85" s="10"/>
      <c r="L85" s="10"/>
      <c r="M85" s="10" t="str">
        <f>ifna(VLOOKUP('acft-exerc'!$M85,FIX!$A$2:$D1000,4, false),"")</f>
        <v/>
      </c>
      <c r="N85" s="10"/>
      <c r="O85" s="10"/>
      <c r="P85" s="10"/>
      <c r="Q85" s="10"/>
      <c r="R85" s="10"/>
      <c r="S85" s="10"/>
      <c r="T85" s="10"/>
      <c r="U85" s="10"/>
      <c r="V85" s="10"/>
    </row>
    <row r="86">
      <c r="A86" s="10"/>
      <c r="B86" s="10"/>
      <c r="C86" s="10"/>
      <c r="D86" s="10"/>
      <c r="E86" s="10"/>
      <c r="F86" s="10"/>
      <c r="G86" s="10"/>
      <c r="I86" s="10"/>
      <c r="J86" s="10"/>
      <c r="K86" s="10"/>
      <c r="L86" s="10"/>
      <c r="M86" s="10" t="str">
        <f>ifna(VLOOKUP('acft-exerc'!$M86,FIX!$A$2:$D1000,4, false),"")</f>
        <v/>
      </c>
      <c r="N86" s="10"/>
      <c r="O86" s="10"/>
      <c r="P86" s="10"/>
      <c r="Q86" s="10"/>
      <c r="R86" s="10"/>
      <c r="S86" s="10"/>
      <c r="T86" s="10"/>
      <c r="U86" s="10"/>
      <c r="V86" s="10"/>
    </row>
    <row r="87">
      <c r="A87" s="10"/>
      <c r="B87" s="10"/>
      <c r="C87" s="10"/>
      <c r="D87" s="10"/>
      <c r="E87" s="10"/>
      <c r="F87" s="10"/>
      <c r="G87" s="10"/>
      <c r="I87" s="10"/>
      <c r="J87" s="10"/>
      <c r="K87" s="10"/>
      <c r="L87" s="10"/>
      <c r="M87" s="10" t="str">
        <f>ifna(VLOOKUP('acft-exerc'!$M87,FIX!$A$2:$D1000,4, false),"")</f>
        <v/>
      </c>
      <c r="N87" s="10"/>
      <c r="O87" s="10"/>
      <c r="P87" s="10"/>
      <c r="Q87" s="10"/>
      <c r="R87" s="10"/>
      <c r="S87" s="10"/>
      <c r="T87" s="10"/>
      <c r="U87" s="10"/>
      <c r="V87" s="10"/>
    </row>
    <row r="88">
      <c r="A88" s="10"/>
      <c r="B88" s="10"/>
      <c r="C88" s="10"/>
      <c r="D88" s="10"/>
      <c r="E88" s="10"/>
      <c r="F88" s="10"/>
      <c r="G88" s="10"/>
      <c r="I88" s="10"/>
      <c r="J88" s="10"/>
      <c r="K88" s="10"/>
      <c r="L88" s="10"/>
      <c r="M88" s="10" t="str">
        <f>ifna(VLOOKUP('acft-exerc'!$M88,FIX!$A$2:$D1000,4, false),"")</f>
        <v/>
      </c>
      <c r="N88" s="10"/>
      <c r="O88" s="10"/>
      <c r="P88" s="10"/>
      <c r="Q88" s="10"/>
      <c r="R88" s="10"/>
      <c r="S88" s="10"/>
      <c r="T88" s="10"/>
      <c r="U88" s="10"/>
      <c r="V88" s="10"/>
    </row>
    <row r="89">
      <c r="A89" s="10"/>
      <c r="B89" s="10"/>
      <c r="C89" s="10"/>
      <c r="D89" s="10"/>
      <c r="E89" s="10"/>
      <c r="F89" s="10"/>
      <c r="G89" s="10"/>
      <c r="I89" s="10"/>
      <c r="J89" s="10"/>
      <c r="K89" s="10"/>
      <c r="L89" s="10"/>
      <c r="M89" s="10" t="str">
        <f>ifna(VLOOKUP('acft-exerc'!$M89,FIX!$A$2:$D1000,4, false),"")</f>
        <v/>
      </c>
      <c r="N89" s="10"/>
      <c r="O89" s="10"/>
      <c r="P89" s="10"/>
      <c r="Q89" s="10"/>
      <c r="R89" s="10"/>
      <c r="S89" s="10"/>
      <c r="T89" s="10"/>
      <c r="U89" s="10"/>
      <c r="V89" s="10"/>
    </row>
    <row r="90">
      <c r="A90" s="10"/>
      <c r="B90" s="10"/>
      <c r="C90" s="10"/>
      <c r="D90" s="10"/>
      <c r="E90" s="10"/>
      <c r="F90" s="10"/>
      <c r="G90" s="10"/>
      <c r="I90" s="10"/>
      <c r="J90" s="10"/>
      <c r="K90" s="10"/>
      <c r="L90" s="10"/>
      <c r="M90" s="10" t="str">
        <f>ifna(VLOOKUP('acft-exerc'!$M90,FIX!$A$2:$D1000,4, false),"")</f>
        <v/>
      </c>
      <c r="N90" s="10"/>
      <c r="O90" s="10"/>
      <c r="P90" s="10"/>
      <c r="Q90" s="10"/>
      <c r="R90" s="10"/>
      <c r="S90" s="10"/>
      <c r="T90" s="10"/>
      <c r="U90" s="10"/>
      <c r="V90" s="10"/>
    </row>
    <row r="91">
      <c r="A91" s="10"/>
      <c r="B91" s="10"/>
      <c r="C91" s="10"/>
      <c r="D91" s="10"/>
      <c r="E91" s="10"/>
      <c r="F91" s="10"/>
      <c r="G91" s="10"/>
      <c r="I91" s="10"/>
      <c r="J91" s="10"/>
      <c r="K91" s="10"/>
      <c r="L91" s="10"/>
      <c r="M91" s="10" t="str">
        <f>ifna(VLOOKUP('acft-exerc'!$M91,FIX!$A$2:$D1000,4, false),"")</f>
        <v/>
      </c>
      <c r="N91" s="10"/>
      <c r="O91" s="10"/>
      <c r="P91" s="10"/>
      <c r="Q91" s="10"/>
      <c r="R91" s="10"/>
      <c r="S91" s="10"/>
      <c r="T91" s="10"/>
      <c r="U91" s="10"/>
      <c r="V91" s="10"/>
    </row>
    <row r="92">
      <c r="A92" s="10"/>
      <c r="B92" s="10"/>
      <c r="C92" s="10"/>
      <c r="D92" s="10"/>
      <c r="E92" s="10"/>
      <c r="F92" s="10"/>
      <c r="G92" s="10"/>
      <c r="I92" s="10"/>
      <c r="J92" s="10"/>
      <c r="K92" s="10"/>
      <c r="L92" s="10"/>
      <c r="M92" s="10" t="str">
        <f>ifna(VLOOKUP('acft-exerc'!$M92,FIX!$A$2:$D1000,4, false),"")</f>
        <v/>
      </c>
      <c r="N92" s="10"/>
      <c r="O92" s="10"/>
      <c r="P92" s="10"/>
      <c r="Q92" s="10"/>
      <c r="R92" s="10"/>
      <c r="S92" s="10"/>
      <c r="T92" s="10"/>
      <c r="U92" s="10"/>
      <c r="V92" s="10"/>
    </row>
    <row r="93">
      <c r="A93" s="10"/>
      <c r="B93" s="10"/>
      <c r="C93" s="10"/>
      <c r="D93" s="10"/>
      <c r="E93" s="10"/>
      <c r="F93" s="10"/>
      <c r="G93" s="10"/>
      <c r="I93" s="10"/>
      <c r="J93" s="10"/>
      <c r="K93" s="10"/>
      <c r="L93" s="10"/>
      <c r="M93" s="10" t="str">
        <f>ifna(VLOOKUP('acft-exerc'!$M93,FIX!$A$2:$D1000,4, false),"")</f>
        <v/>
      </c>
      <c r="N93" s="10"/>
      <c r="O93" s="10"/>
      <c r="P93" s="10"/>
      <c r="Q93" s="10"/>
      <c r="R93" s="10"/>
      <c r="S93" s="10"/>
      <c r="T93" s="10"/>
      <c r="U93" s="10"/>
      <c r="V93" s="10"/>
    </row>
    <row r="94">
      <c r="A94" s="10"/>
      <c r="B94" s="10"/>
      <c r="C94" s="10"/>
      <c r="D94" s="10"/>
      <c r="E94" s="10"/>
      <c r="F94" s="10"/>
      <c r="G94" s="10"/>
      <c r="I94" s="10"/>
      <c r="J94" s="10"/>
      <c r="K94" s="10"/>
      <c r="L94" s="10"/>
      <c r="M94" s="10" t="str">
        <f>ifna(VLOOKUP('acft-exerc'!$M94,FIX!$A$2:$D1000,4, false),"")</f>
        <v/>
      </c>
      <c r="N94" s="10"/>
      <c r="O94" s="10"/>
      <c r="P94" s="10"/>
      <c r="Q94" s="10"/>
      <c r="R94" s="10"/>
      <c r="S94" s="10"/>
      <c r="T94" s="10"/>
      <c r="U94" s="10"/>
      <c r="V94" s="10"/>
    </row>
    <row r="95">
      <c r="A95" s="10"/>
      <c r="B95" s="10"/>
      <c r="C95" s="10"/>
      <c r="D95" s="10"/>
      <c r="E95" s="10"/>
      <c r="F95" s="10"/>
      <c r="G95" s="10"/>
      <c r="I95" s="10"/>
      <c r="J95" s="10"/>
      <c r="K95" s="10"/>
      <c r="L95" s="10"/>
      <c r="M95" s="10" t="str">
        <f>ifna(VLOOKUP('acft-exerc'!$M95,FIX!$A$2:$D1000,4, false),"")</f>
        <v/>
      </c>
      <c r="N95" s="10"/>
      <c r="O95" s="10"/>
      <c r="P95" s="10"/>
      <c r="Q95" s="10"/>
      <c r="R95" s="10"/>
      <c r="S95" s="10"/>
      <c r="T95" s="10"/>
      <c r="U95" s="10"/>
      <c r="V95" s="10"/>
    </row>
    <row r="96">
      <c r="A96" s="10"/>
      <c r="B96" s="10"/>
      <c r="C96" s="10"/>
      <c r="D96" s="10"/>
      <c r="E96" s="10"/>
      <c r="F96" s="10"/>
      <c r="G96" s="10"/>
      <c r="I96" s="10"/>
      <c r="J96" s="10"/>
      <c r="K96" s="10"/>
      <c r="L96" s="10"/>
      <c r="M96" s="10" t="str">
        <f>ifna(VLOOKUP('acft-exerc'!$M96,FIX!$A$2:$D1000,4, false),"")</f>
        <v/>
      </c>
      <c r="N96" s="10"/>
      <c r="O96" s="10"/>
      <c r="P96" s="10"/>
      <c r="Q96" s="10"/>
      <c r="R96" s="10"/>
      <c r="S96" s="10"/>
      <c r="T96" s="10"/>
      <c r="U96" s="10"/>
      <c r="V96" s="10"/>
    </row>
    <row r="97">
      <c r="A97" s="10"/>
      <c r="B97" s="10"/>
      <c r="C97" s="10"/>
      <c r="D97" s="10"/>
      <c r="E97" s="10"/>
      <c r="F97" s="10"/>
      <c r="G97" s="10"/>
      <c r="I97" s="10"/>
      <c r="J97" s="10"/>
      <c r="K97" s="10"/>
      <c r="L97" s="10"/>
      <c r="M97" s="10" t="str">
        <f>ifna(VLOOKUP('acft-exerc'!$M97,FIX!$A$2:$D1000,4, false),"")</f>
        <v/>
      </c>
      <c r="N97" s="10"/>
      <c r="O97" s="10"/>
      <c r="P97" s="10"/>
      <c r="Q97" s="10"/>
      <c r="R97" s="10"/>
      <c r="S97" s="10"/>
      <c r="T97" s="10"/>
      <c r="U97" s="10"/>
      <c r="V97" s="10"/>
    </row>
    <row r="98">
      <c r="A98" s="10"/>
      <c r="B98" s="10"/>
      <c r="C98" s="10"/>
      <c r="D98" s="10"/>
      <c r="E98" s="10"/>
      <c r="F98" s="10"/>
      <c r="G98" s="10"/>
      <c r="I98" s="10"/>
      <c r="J98" s="10"/>
      <c r="K98" s="10"/>
      <c r="L98" s="10"/>
      <c r="M98" s="10" t="str">
        <f>ifna(VLOOKUP('acft-exerc'!$M98,FIX!$A$2:$D1000,4, false),"")</f>
        <v/>
      </c>
      <c r="N98" s="10"/>
      <c r="O98" s="10"/>
      <c r="P98" s="10"/>
      <c r="Q98" s="10"/>
      <c r="R98" s="10"/>
      <c r="S98" s="10"/>
      <c r="T98" s="10"/>
      <c r="U98" s="10"/>
      <c r="V98" s="10"/>
    </row>
    <row r="99">
      <c r="A99" s="10"/>
      <c r="B99" s="10"/>
      <c r="C99" s="10"/>
      <c r="D99" s="10"/>
      <c r="E99" s="10"/>
      <c r="F99" s="10"/>
      <c r="G99" s="10"/>
      <c r="I99" s="10"/>
      <c r="J99" s="10"/>
      <c r="K99" s="10"/>
      <c r="L99" s="10"/>
      <c r="M99" s="10" t="str">
        <f>ifna(VLOOKUP('acft-exerc'!$M99,FIX!$A$2:$D1000,4, false),"")</f>
        <v/>
      </c>
      <c r="N99" s="10"/>
      <c r="O99" s="10"/>
      <c r="P99" s="10"/>
      <c r="Q99" s="10"/>
      <c r="R99" s="10"/>
      <c r="S99" s="10"/>
      <c r="T99" s="10"/>
      <c r="U99" s="10"/>
      <c r="V99" s="10"/>
    </row>
    <row r="100">
      <c r="A100" s="10"/>
      <c r="B100" s="10"/>
      <c r="C100" s="10"/>
      <c r="D100" s="10"/>
      <c r="E100" s="10"/>
      <c r="F100" s="10"/>
      <c r="G100" s="10"/>
      <c r="I100" s="10"/>
      <c r="J100" s="10"/>
      <c r="K100" s="10"/>
      <c r="L100" s="10"/>
      <c r="M100" s="10" t="str">
        <f>ifna(VLOOKUP('acft-exerc'!$M100,FIX!$A$2:$D1000,4, false),"")</f>
        <v/>
      </c>
      <c r="N100" s="10"/>
      <c r="O100" s="10"/>
      <c r="P100" s="10"/>
      <c r="Q100" s="10"/>
      <c r="R100" s="10"/>
      <c r="S100" s="10"/>
      <c r="T100" s="10"/>
      <c r="U100" s="10"/>
      <c r="V100" s="10"/>
    </row>
    <row r="101">
      <c r="A101" s="10"/>
      <c r="B101" s="10"/>
      <c r="C101" s="10"/>
      <c r="D101" s="10"/>
      <c r="E101" s="10"/>
      <c r="F101" s="10"/>
      <c r="G101" s="10"/>
      <c r="I101" s="10"/>
      <c r="J101" s="10"/>
      <c r="K101" s="10"/>
      <c r="L101" s="10"/>
      <c r="M101" s="10" t="str">
        <f>ifna(VLOOKUP('acft-exerc'!$M101,FIX!$A$2:$D1000,4, false),"")</f>
        <v/>
      </c>
      <c r="N101" s="10"/>
      <c r="O101" s="10"/>
      <c r="P101" s="10"/>
      <c r="Q101" s="10"/>
      <c r="R101" s="10"/>
      <c r="S101" s="10"/>
      <c r="T101" s="10"/>
      <c r="U101" s="10"/>
      <c r="V101" s="10"/>
    </row>
    <row r="102">
      <c r="A102" s="10"/>
      <c r="B102" s="10"/>
      <c r="C102" s="10"/>
      <c r="D102" s="10"/>
      <c r="E102" s="10"/>
      <c r="F102" s="10"/>
      <c r="G102" s="10"/>
      <c r="I102" s="10"/>
      <c r="J102" s="10"/>
      <c r="K102" s="10"/>
      <c r="L102" s="10"/>
      <c r="M102" s="10" t="str">
        <f>ifna(VLOOKUP('acft-exerc'!$M102,FIX!$A$2:$D1000,4, false),"")</f>
        <v/>
      </c>
      <c r="N102" s="10"/>
      <c r="O102" s="10"/>
      <c r="P102" s="10"/>
      <c r="Q102" s="10"/>
      <c r="R102" s="10"/>
      <c r="S102" s="10"/>
      <c r="T102" s="10"/>
      <c r="U102" s="10"/>
      <c r="V102" s="10"/>
    </row>
    <row r="103">
      <c r="A103" s="10"/>
      <c r="B103" s="10"/>
      <c r="C103" s="10"/>
      <c r="D103" s="10"/>
      <c r="E103" s="10"/>
      <c r="F103" s="10"/>
      <c r="G103" s="10"/>
      <c r="I103" s="10"/>
      <c r="J103" s="10"/>
      <c r="K103" s="10"/>
      <c r="L103" s="10"/>
      <c r="M103" s="10" t="str">
        <f>ifna(VLOOKUP('acft-exerc'!$M103,FIX!$A$2:$D1000,4, false),"")</f>
        <v/>
      </c>
      <c r="N103" s="10"/>
      <c r="O103" s="10"/>
      <c r="P103" s="10"/>
      <c r="Q103" s="10"/>
      <c r="R103" s="10"/>
      <c r="S103" s="10"/>
      <c r="T103" s="10"/>
      <c r="U103" s="10"/>
      <c r="V103" s="10"/>
    </row>
    <row r="104">
      <c r="A104" s="10"/>
      <c r="B104" s="10"/>
      <c r="C104" s="10"/>
      <c r="D104" s="10"/>
      <c r="E104" s="10"/>
      <c r="F104" s="10"/>
      <c r="G104" s="10"/>
      <c r="I104" s="10"/>
      <c r="J104" s="10"/>
      <c r="K104" s="10"/>
      <c r="L104" s="10"/>
      <c r="M104" s="10" t="str">
        <f>ifna(VLOOKUP('acft-exerc'!$M104,FIX!$A$2:$D1000,4, false),"")</f>
        <v/>
      </c>
      <c r="N104" s="10"/>
      <c r="O104" s="10"/>
      <c r="P104" s="10"/>
      <c r="Q104" s="10"/>
      <c r="R104" s="10"/>
      <c r="S104" s="10"/>
      <c r="T104" s="10"/>
      <c r="U104" s="10"/>
      <c r="V104" s="10"/>
    </row>
    <row r="105">
      <c r="A105" s="10"/>
      <c r="B105" s="10"/>
      <c r="C105" s="10"/>
      <c r="D105" s="10"/>
      <c r="E105" s="10"/>
      <c r="F105" s="10"/>
      <c r="G105" s="10"/>
      <c r="I105" s="10"/>
      <c r="J105" s="10"/>
      <c r="K105" s="10"/>
      <c r="L105" s="10"/>
      <c r="M105" s="10" t="str">
        <f>ifna(VLOOKUP('acft-exerc'!$M105,FIX!$A$2:$D1000,4, false),"")</f>
        <v/>
      </c>
      <c r="N105" s="10"/>
      <c r="O105" s="10"/>
      <c r="P105" s="10"/>
      <c r="Q105" s="10"/>
      <c r="R105" s="10"/>
      <c r="S105" s="10"/>
      <c r="T105" s="10"/>
      <c r="U105" s="10"/>
      <c r="V105" s="10"/>
    </row>
    <row r="106">
      <c r="A106" s="10"/>
      <c r="B106" s="10"/>
      <c r="C106" s="10"/>
      <c r="D106" s="10"/>
      <c r="E106" s="10"/>
      <c r="F106" s="10"/>
      <c r="G106" s="10"/>
      <c r="I106" s="10"/>
      <c r="J106" s="10"/>
      <c r="K106" s="10"/>
      <c r="L106" s="10"/>
      <c r="M106" s="10" t="str">
        <f>ifna(VLOOKUP('acft-exerc'!$M106,FIX!$A$2:$D1000,4, false),"")</f>
        <v/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>
      <c r="A107" s="10"/>
      <c r="B107" s="10"/>
      <c r="C107" s="10"/>
      <c r="D107" s="10"/>
      <c r="E107" s="10"/>
      <c r="F107" s="10"/>
      <c r="G107" s="10"/>
      <c r="I107" s="10"/>
      <c r="J107" s="10"/>
      <c r="K107" s="10"/>
      <c r="L107" s="10"/>
      <c r="M107" s="10" t="str">
        <f>ifna(VLOOKUP('acft-exerc'!$M107,FIX!$A$2:$D1000,4, false),"")</f>
        <v/>
      </c>
      <c r="N107" s="10"/>
      <c r="O107" s="10"/>
      <c r="P107" s="10"/>
      <c r="Q107" s="10"/>
      <c r="R107" s="10"/>
      <c r="S107" s="10"/>
      <c r="T107" s="10"/>
      <c r="U107" s="10"/>
      <c r="V107" s="10"/>
    </row>
    <row r="108">
      <c r="A108" s="10"/>
      <c r="B108" s="10"/>
      <c r="C108" s="10"/>
      <c r="D108" s="10"/>
      <c r="E108" s="10"/>
      <c r="F108" s="10"/>
      <c r="G108" s="10"/>
      <c r="I108" s="10"/>
      <c r="J108" s="10"/>
      <c r="K108" s="10"/>
      <c r="L108" s="10"/>
      <c r="M108" s="10" t="str">
        <f>ifna(VLOOKUP('acft-exerc'!$M108,FIX!$A$2:$D1000,4, false),"")</f>
        <v/>
      </c>
      <c r="N108" s="10"/>
      <c r="O108" s="10"/>
      <c r="P108" s="10"/>
      <c r="Q108" s="10"/>
      <c r="R108" s="10"/>
      <c r="S108" s="10"/>
      <c r="T108" s="10"/>
      <c r="U108" s="10"/>
      <c r="V108" s="10"/>
    </row>
    <row r="109">
      <c r="A109" s="10"/>
      <c r="B109" s="10"/>
      <c r="C109" s="10"/>
      <c r="D109" s="10"/>
      <c r="E109" s="10"/>
      <c r="F109" s="10"/>
      <c r="G109" s="10"/>
      <c r="I109" s="10"/>
      <c r="J109" s="10"/>
      <c r="K109" s="10"/>
      <c r="L109" s="10"/>
      <c r="M109" s="10" t="str">
        <f>ifna(VLOOKUP('acft-exerc'!$M109,FIX!$A$2:$D1000,4, false),"")</f>
        <v/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>
      <c r="A110" s="10"/>
      <c r="B110" s="10"/>
      <c r="C110" s="10"/>
      <c r="D110" s="10"/>
      <c r="E110" s="10"/>
      <c r="F110" s="10"/>
      <c r="G110" s="10"/>
      <c r="I110" s="10"/>
      <c r="J110" s="10"/>
      <c r="K110" s="10"/>
      <c r="L110" s="10"/>
      <c r="M110" s="10" t="str">
        <f>ifna(VLOOKUP('acft-exerc'!$M110,FIX!$A$2:$D1000,4, false),"")</f>
        <v/>
      </c>
      <c r="N110" s="10"/>
      <c r="O110" s="10"/>
      <c r="P110" s="10"/>
      <c r="Q110" s="10"/>
      <c r="R110" s="10"/>
      <c r="S110" s="10"/>
      <c r="T110" s="10"/>
      <c r="U110" s="10"/>
      <c r="V110" s="10"/>
    </row>
    <row r="111">
      <c r="A111" s="10"/>
      <c r="B111" s="10"/>
      <c r="C111" s="10"/>
      <c r="D111" s="10"/>
      <c r="E111" s="10"/>
      <c r="F111" s="10"/>
      <c r="G111" s="10"/>
      <c r="I111" s="10"/>
      <c r="J111" s="10"/>
      <c r="K111" s="10"/>
      <c r="L111" s="10"/>
      <c r="M111" s="10" t="str">
        <f>ifna(VLOOKUP('acft-exerc'!$M111,FIX!$A$2:$D1000,4, false),"")</f>
        <v/>
      </c>
      <c r="N111" s="10"/>
      <c r="O111" s="10"/>
      <c r="P111" s="10"/>
      <c r="Q111" s="10"/>
      <c r="R111" s="10"/>
      <c r="S111" s="10"/>
      <c r="T111" s="10"/>
      <c r="U111" s="10"/>
      <c r="V111" s="10"/>
    </row>
    <row r="112">
      <c r="A112" s="10"/>
      <c r="B112" s="10"/>
      <c r="C112" s="10"/>
      <c r="D112" s="10"/>
      <c r="E112" s="10"/>
      <c r="F112" s="10"/>
      <c r="G112" s="10"/>
      <c r="I112" s="10"/>
      <c r="J112" s="10"/>
      <c r="K112" s="10"/>
      <c r="L112" s="10"/>
      <c r="M112" s="10" t="str">
        <f>ifna(VLOOKUP('acft-exerc'!$M112,FIX!$A$2:$D1000,4, false),"")</f>
        <v/>
      </c>
      <c r="N112" s="10"/>
      <c r="O112" s="10"/>
      <c r="P112" s="10"/>
      <c r="Q112" s="10"/>
      <c r="R112" s="10"/>
      <c r="S112" s="10"/>
      <c r="T112" s="10"/>
      <c r="U112" s="10"/>
      <c r="V112" s="10"/>
    </row>
    <row r="113">
      <c r="A113" s="10"/>
      <c r="B113" s="10"/>
      <c r="C113" s="10"/>
      <c r="D113" s="10"/>
      <c r="E113" s="10"/>
      <c r="F113" s="10"/>
      <c r="G113" s="10"/>
      <c r="I113" s="10"/>
      <c r="J113" s="10"/>
      <c r="K113" s="10"/>
      <c r="L113" s="10"/>
      <c r="M113" s="10" t="str">
        <f>ifna(VLOOKUP('acft-exerc'!$M113,FIX!$A$2:$D1000,4, false),"")</f>
        <v/>
      </c>
      <c r="N113" s="10"/>
      <c r="O113" s="10"/>
      <c r="P113" s="10"/>
      <c r="Q113" s="10"/>
      <c r="R113" s="10"/>
      <c r="S113" s="10"/>
      <c r="T113" s="10"/>
      <c r="U113" s="10"/>
      <c r="V113" s="10"/>
    </row>
    <row r="114">
      <c r="A114" s="10"/>
      <c r="B114" s="10"/>
      <c r="C114" s="10"/>
      <c r="D114" s="10"/>
      <c r="E114" s="10"/>
      <c r="F114" s="10"/>
      <c r="G114" s="10"/>
      <c r="I114" s="10"/>
      <c r="J114" s="10"/>
      <c r="K114" s="10"/>
      <c r="L114" s="10"/>
      <c r="M114" s="10" t="str">
        <f>ifna(VLOOKUP('acft-exerc'!$M114,FIX!$A$2:$D1000,4, false),"")</f>
        <v/>
      </c>
      <c r="N114" s="10"/>
      <c r="O114" s="10"/>
      <c r="P114" s="10"/>
      <c r="Q114" s="10"/>
      <c r="R114" s="10"/>
      <c r="S114" s="10"/>
      <c r="T114" s="10"/>
      <c r="U114" s="10"/>
      <c r="V114" s="10"/>
    </row>
    <row r="115">
      <c r="A115" s="10"/>
      <c r="B115" s="10"/>
      <c r="C115" s="10"/>
      <c r="D115" s="10"/>
      <c r="E115" s="10"/>
      <c r="F115" s="10"/>
      <c r="G115" s="10"/>
      <c r="I115" s="10"/>
      <c r="J115" s="10"/>
      <c r="K115" s="10"/>
      <c r="L115" s="10"/>
      <c r="M115" s="10" t="str">
        <f>ifna(VLOOKUP('acft-exerc'!$M115,FIX!$A$2:$D1000,4, false),"")</f>
        <v/>
      </c>
      <c r="N115" s="10"/>
      <c r="O115" s="10"/>
      <c r="P115" s="10"/>
      <c r="Q115" s="10"/>
      <c r="R115" s="10"/>
      <c r="S115" s="10"/>
      <c r="T115" s="10"/>
      <c r="U115" s="10"/>
      <c r="V115" s="10"/>
    </row>
    <row r="116">
      <c r="A116" s="10"/>
      <c r="B116" s="10"/>
      <c r="C116" s="10"/>
      <c r="D116" s="10"/>
      <c r="E116" s="10"/>
      <c r="F116" s="10"/>
      <c r="G116" s="10"/>
      <c r="I116" s="10"/>
      <c r="J116" s="10"/>
      <c r="K116" s="10"/>
      <c r="L116" s="10"/>
      <c r="M116" s="10" t="str">
        <f>ifna(VLOOKUP('acft-exerc'!$M116,FIX!$A$2:$D1000,4, false),"")</f>
        <v/>
      </c>
      <c r="N116" s="10"/>
      <c r="O116" s="10"/>
      <c r="P116" s="10"/>
      <c r="Q116" s="10"/>
      <c r="R116" s="10"/>
      <c r="S116" s="10"/>
      <c r="T116" s="10"/>
      <c r="U116" s="10"/>
      <c r="V116" s="10"/>
    </row>
    <row r="117">
      <c r="A117" s="10"/>
      <c r="B117" s="10"/>
      <c r="C117" s="10"/>
      <c r="D117" s="10"/>
      <c r="E117" s="10"/>
      <c r="F117" s="10"/>
      <c r="G117" s="10"/>
      <c r="I117" s="10"/>
      <c r="J117" s="10"/>
      <c r="K117" s="10"/>
      <c r="L117" s="10"/>
      <c r="M117" s="10" t="str">
        <f>ifna(VLOOKUP('acft-exerc'!$M117,FIX!$A$2:$D1000,4, false),"")</f>
        <v/>
      </c>
      <c r="N117" s="10"/>
      <c r="O117" s="10"/>
      <c r="P117" s="10"/>
      <c r="Q117" s="10"/>
      <c r="R117" s="10"/>
      <c r="S117" s="10"/>
      <c r="T117" s="10"/>
      <c r="U117" s="10"/>
      <c r="V117" s="10"/>
    </row>
    <row r="118">
      <c r="A118" s="10"/>
      <c r="B118" s="10"/>
      <c r="C118" s="10"/>
      <c r="D118" s="10"/>
      <c r="E118" s="10"/>
      <c r="F118" s="10"/>
      <c r="G118" s="10"/>
      <c r="I118" s="10"/>
      <c r="J118" s="10"/>
      <c r="K118" s="10"/>
      <c r="L118" s="10"/>
      <c r="M118" s="10" t="str">
        <f>ifna(VLOOKUP('acft-exerc'!$M118,FIX!$A$2:$D1000,4, false),"")</f>
        <v/>
      </c>
      <c r="N118" s="10"/>
      <c r="O118" s="10"/>
      <c r="P118" s="10"/>
      <c r="Q118" s="10"/>
      <c r="R118" s="10"/>
      <c r="S118" s="10"/>
      <c r="T118" s="10"/>
      <c r="U118" s="10"/>
      <c r="V118" s="10"/>
    </row>
    <row r="119">
      <c r="A119" s="10"/>
      <c r="B119" s="10"/>
      <c r="C119" s="10"/>
      <c r="D119" s="10"/>
      <c r="E119" s="10"/>
      <c r="F119" s="10"/>
      <c r="G119" s="10"/>
      <c r="I119" s="10"/>
      <c r="J119" s="10"/>
      <c r="K119" s="10"/>
      <c r="L119" s="10"/>
      <c r="M119" s="10" t="str">
        <f>ifna(VLOOKUP('acft-exerc'!$M119,FIX!$A$2:$D1000,4, false),"")</f>
        <v/>
      </c>
      <c r="N119" s="10"/>
      <c r="O119" s="10"/>
      <c r="P119" s="10"/>
      <c r="Q119" s="10"/>
      <c r="R119" s="10"/>
      <c r="S119" s="10"/>
      <c r="T119" s="10"/>
      <c r="U119" s="10"/>
      <c r="V119" s="10"/>
    </row>
    <row r="120">
      <c r="A120" s="10"/>
      <c r="B120" s="10"/>
      <c r="C120" s="10"/>
      <c r="D120" s="10"/>
      <c r="E120" s="10"/>
      <c r="F120" s="10"/>
      <c r="G120" s="10"/>
      <c r="I120" s="10"/>
      <c r="J120" s="10"/>
      <c r="K120" s="10"/>
      <c r="L120" s="10"/>
      <c r="M120" s="10" t="str">
        <f>ifna(VLOOKUP('acft-exerc'!$M120,FIX!$A$2:$D1000,4, false),"")</f>
        <v/>
      </c>
      <c r="N120" s="10"/>
      <c r="O120" s="10"/>
      <c r="P120" s="10"/>
      <c r="Q120" s="10"/>
      <c r="R120" s="10"/>
      <c r="S120" s="10"/>
      <c r="T120" s="10"/>
      <c r="U120" s="10"/>
      <c r="V120" s="10"/>
    </row>
    <row r="121">
      <c r="A121" s="10"/>
      <c r="B121" s="10"/>
      <c r="C121" s="10"/>
      <c r="D121" s="10"/>
      <c r="E121" s="10"/>
      <c r="F121" s="10"/>
      <c r="G121" s="10"/>
      <c r="I121" s="10"/>
      <c r="J121" s="10"/>
      <c r="K121" s="10"/>
      <c r="L121" s="10"/>
      <c r="M121" s="10" t="str">
        <f>ifna(VLOOKUP('acft-exerc'!$M121,FIX!$A$2:$D1000,4, false),"")</f>
        <v/>
      </c>
      <c r="N121" s="10"/>
      <c r="O121" s="10"/>
      <c r="P121" s="10"/>
      <c r="Q121" s="10"/>
      <c r="R121" s="10"/>
      <c r="S121" s="10"/>
      <c r="T121" s="10"/>
      <c r="U121" s="10"/>
      <c r="V121" s="10"/>
    </row>
    <row r="122">
      <c r="A122" s="10"/>
      <c r="B122" s="10"/>
      <c r="C122" s="10"/>
      <c r="D122" s="10"/>
      <c r="E122" s="10"/>
      <c r="F122" s="10"/>
      <c r="G122" s="10"/>
      <c r="I122" s="10"/>
      <c r="J122" s="10"/>
      <c r="K122" s="10"/>
      <c r="L122" s="10"/>
      <c r="M122" s="10" t="str">
        <f>ifna(VLOOKUP('acft-exerc'!$M122,FIX!$A$2:$D1000,4, false),"")</f>
        <v/>
      </c>
      <c r="N122" s="10"/>
      <c r="O122" s="10"/>
      <c r="P122" s="10"/>
      <c r="Q122" s="10"/>
      <c r="R122" s="10"/>
      <c r="S122" s="10"/>
      <c r="T122" s="10"/>
      <c r="U122" s="10"/>
      <c r="V122" s="10"/>
    </row>
    <row r="123">
      <c r="A123" s="10"/>
      <c r="B123" s="10"/>
      <c r="C123" s="10"/>
      <c r="D123" s="10"/>
      <c r="E123" s="10"/>
      <c r="F123" s="10"/>
      <c r="G123" s="10"/>
      <c r="I123" s="10"/>
      <c r="J123" s="10"/>
      <c r="K123" s="10"/>
      <c r="L123" s="10"/>
      <c r="M123" s="10" t="str">
        <f>ifna(VLOOKUP('acft-exerc'!$M123,FIX!$A$2:$D1000,4, false),"")</f>
        <v/>
      </c>
      <c r="N123" s="10"/>
      <c r="O123" s="10"/>
      <c r="P123" s="10"/>
      <c r="Q123" s="10"/>
      <c r="R123" s="10"/>
      <c r="S123" s="10"/>
      <c r="T123" s="10"/>
      <c r="U123" s="10"/>
      <c r="V123" s="10"/>
    </row>
    <row r="124">
      <c r="A124" s="10"/>
      <c r="B124" s="10"/>
      <c r="C124" s="10"/>
      <c r="D124" s="10"/>
      <c r="E124" s="10"/>
      <c r="F124" s="10"/>
      <c r="G124" s="10"/>
      <c r="I124" s="10"/>
      <c r="J124" s="10"/>
      <c r="K124" s="10"/>
      <c r="L124" s="10"/>
      <c r="M124" s="10" t="str">
        <f>ifna(VLOOKUP('acft-exerc'!$M124,FIX!$A$2:$D1000,4, false),"")</f>
        <v/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>
      <c r="A125" s="10"/>
      <c r="B125" s="10"/>
      <c r="C125" s="10"/>
      <c r="D125" s="10"/>
      <c r="E125" s="10"/>
      <c r="F125" s="10"/>
      <c r="G125" s="10"/>
      <c r="I125" s="10"/>
      <c r="J125" s="10"/>
      <c r="K125" s="10"/>
      <c r="L125" s="10"/>
      <c r="M125" s="10" t="str">
        <f>ifna(VLOOKUP('acft-exerc'!$M125,FIX!$A$2:$D1000,4, false),"")</f>
        <v/>
      </c>
      <c r="N125" s="10"/>
      <c r="O125" s="10"/>
      <c r="P125" s="10"/>
      <c r="Q125" s="10"/>
      <c r="R125" s="10"/>
      <c r="S125" s="10"/>
      <c r="T125" s="10"/>
      <c r="U125" s="10"/>
      <c r="V125" s="10"/>
    </row>
    <row r="126">
      <c r="A126" s="10"/>
      <c r="B126" s="10"/>
      <c r="C126" s="10"/>
      <c r="D126" s="10"/>
      <c r="E126" s="10"/>
      <c r="F126" s="10"/>
      <c r="G126" s="10"/>
      <c r="I126" s="10"/>
      <c r="J126" s="10"/>
      <c r="K126" s="10"/>
      <c r="L126" s="10"/>
      <c r="M126" s="10" t="str">
        <f>ifna(VLOOKUP('acft-exerc'!$M126,FIX!$A$2:$D1000,4, false),"")</f>
        <v/>
      </c>
      <c r="N126" s="10"/>
      <c r="O126" s="10"/>
      <c r="P126" s="10"/>
      <c r="Q126" s="10"/>
      <c r="R126" s="10"/>
      <c r="S126" s="10"/>
      <c r="T126" s="10"/>
      <c r="U126" s="10"/>
      <c r="V126" s="10"/>
    </row>
    <row r="127">
      <c r="A127" s="10"/>
      <c r="B127" s="10"/>
      <c r="C127" s="10"/>
      <c r="D127" s="10"/>
      <c r="E127" s="10"/>
      <c r="F127" s="10"/>
      <c r="G127" s="10"/>
      <c r="I127" s="10"/>
      <c r="J127" s="10"/>
      <c r="K127" s="10"/>
      <c r="L127" s="10"/>
      <c r="M127" s="10" t="str">
        <f>ifna(VLOOKUP('acft-exerc'!$M127,FIX!$A$2:$D1000,4, false),"")</f>
        <v/>
      </c>
      <c r="N127" s="10"/>
      <c r="O127" s="10"/>
      <c r="P127" s="10"/>
      <c r="Q127" s="10"/>
      <c r="R127" s="10"/>
      <c r="S127" s="10"/>
      <c r="T127" s="10"/>
      <c r="U127" s="10"/>
      <c r="V127" s="10"/>
    </row>
    <row r="128">
      <c r="A128" s="10"/>
      <c r="B128" s="10"/>
      <c r="C128" s="10"/>
      <c r="D128" s="10"/>
      <c r="E128" s="10"/>
      <c r="F128" s="10"/>
      <c r="G128" s="10"/>
      <c r="I128" s="10"/>
      <c r="J128" s="10"/>
      <c r="K128" s="10"/>
      <c r="L128" s="10"/>
      <c r="M128" s="10" t="str">
        <f>ifna(VLOOKUP('acft-exerc'!$M128,FIX!$A$2:$D1000,4, false),"")</f>
        <v/>
      </c>
      <c r="N128" s="10"/>
      <c r="O128" s="10"/>
      <c r="P128" s="10"/>
      <c r="Q128" s="10"/>
      <c r="R128" s="10"/>
      <c r="S128" s="10"/>
      <c r="T128" s="10"/>
      <c r="U128" s="10"/>
      <c r="V128" s="10"/>
    </row>
    <row r="129">
      <c r="A129" s="10"/>
      <c r="B129" s="10"/>
      <c r="C129" s="10"/>
      <c r="D129" s="10"/>
      <c r="E129" s="10"/>
      <c r="F129" s="10"/>
      <c r="G129" s="10"/>
      <c r="I129" s="10"/>
      <c r="J129" s="10"/>
      <c r="K129" s="10"/>
      <c r="L129" s="10"/>
      <c r="M129" s="10" t="str">
        <f>ifna(VLOOKUP('acft-exerc'!$M129,FIX!$A$2:$D1000,4, false),"")</f>
        <v/>
      </c>
      <c r="N129" s="10"/>
      <c r="O129" s="10"/>
      <c r="P129" s="10"/>
      <c r="Q129" s="10"/>
      <c r="R129" s="10"/>
      <c r="S129" s="10"/>
      <c r="T129" s="10"/>
      <c r="U129" s="10"/>
      <c r="V129" s="10"/>
    </row>
    <row r="130">
      <c r="A130" s="10"/>
      <c r="B130" s="10"/>
      <c r="C130" s="10"/>
      <c r="D130" s="10"/>
      <c r="E130" s="10"/>
      <c r="F130" s="10"/>
      <c r="G130" s="10"/>
      <c r="I130" s="10"/>
      <c r="J130" s="10"/>
      <c r="K130" s="10"/>
      <c r="L130" s="10"/>
      <c r="M130" s="10" t="str">
        <f>ifna(VLOOKUP('acft-exerc'!$M130,FIX!$A$2:$D1000,4, false),"")</f>
        <v/>
      </c>
      <c r="N130" s="10"/>
      <c r="O130" s="10"/>
      <c r="P130" s="10"/>
      <c r="Q130" s="10"/>
      <c r="R130" s="10"/>
      <c r="S130" s="10"/>
      <c r="T130" s="10"/>
      <c r="U130" s="10"/>
      <c r="V130" s="10"/>
    </row>
    <row r="131">
      <c r="A131" s="10"/>
      <c r="B131" s="10"/>
      <c r="C131" s="10"/>
      <c r="D131" s="10"/>
      <c r="E131" s="10"/>
      <c r="F131" s="10"/>
      <c r="G131" s="10"/>
      <c r="I131" s="10"/>
      <c r="J131" s="10"/>
      <c r="K131" s="10"/>
      <c r="L131" s="10"/>
      <c r="M131" s="10" t="str">
        <f>ifna(VLOOKUP('acft-exerc'!$M131,FIX!$A$2:$D1000,4, false),"")</f>
        <v/>
      </c>
      <c r="N131" s="10"/>
      <c r="O131" s="10"/>
      <c r="P131" s="10"/>
      <c r="Q131" s="10"/>
      <c r="R131" s="10"/>
      <c r="S131" s="10"/>
      <c r="T131" s="10"/>
      <c r="U131" s="10"/>
      <c r="V131" s="10"/>
    </row>
    <row r="132">
      <c r="A132" s="10"/>
      <c r="B132" s="10"/>
      <c r="C132" s="10"/>
      <c r="D132" s="10"/>
      <c r="E132" s="10"/>
      <c r="F132" s="10"/>
      <c r="G132" s="10"/>
      <c r="I132" s="10"/>
      <c r="J132" s="10"/>
      <c r="K132" s="10"/>
      <c r="L132" s="10"/>
      <c r="M132" s="10" t="str">
        <f>ifna(VLOOKUP('acft-exerc'!$M132,FIX!$A$2:$D1000,4, false),"")</f>
        <v/>
      </c>
      <c r="N132" s="10"/>
      <c r="O132" s="10"/>
      <c r="P132" s="10"/>
      <c r="Q132" s="10"/>
      <c r="R132" s="10"/>
      <c r="S132" s="10"/>
      <c r="T132" s="10"/>
      <c r="U132" s="10"/>
      <c r="V132" s="10"/>
    </row>
    <row r="133">
      <c r="A133" s="10"/>
      <c r="B133" s="10"/>
      <c r="C133" s="10"/>
      <c r="D133" s="10"/>
      <c r="E133" s="10"/>
      <c r="F133" s="10"/>
      <c r="G133" s="10"/>
      <c r="I133" s="10"/>
      <c r="J133" s="10"/>
      <c r="K133" s="10"/>
      <c r="L133" s="10"/>
      <c r="M133" s="10" t="str">
        <f>ifna(VLOOKUP('acft-exerc'!$M133,FIX!$A$2:$D1000,4, false),"")</f>
        <v/>
      </c>
      <c r="N133" s="10"/>
      <c r="O133" s="10"/>
      <c r="P133" s="10"/>
      <c r="Q133" s="10"/>
      <c r="R133" s="10"/>
      <c r="S133" s="10"/>
      <c r="T133" s="10"/>
      <c r="U133" s="10"/>
      <c r="V133" s="10"/>
    </row>
    <row r="134">
      <c r="A134" s="10"/>
      <c r="B134" s="10"/>
      <c r="C134" s="10"/>
      <c r="D134" s="10"/>
      <c r="E134" s="10"/>
      <c r="F134" s="10"/>
      <c r="G134" s="10"/>
      <c r="I134" s="10"/>
      <c r="J134" s="10"/>
      <c r="K134" s="10"/>
      <c r="L134" s="10"/>
      <c r="M134" s="10" t="str">
        <f>ifna(VLOOKUP('acft-exerc'!$M134,FIX!$A$2:$D1000,4, false),"")</f>
        <v/>
      </c>
      <c r="N134" s="10"/>
      <c r="O134" s="10"/>
      <c r="P134" s="10"/>
      <c r="Q134" s="10"/>
      <c r="R134" s="10"/>
      <c r="S134" s="10"/>
      <c r="T134" s="10"/>
      <c r="U134" s="10"/>
      <c r="V134" s="10"/>
    </row>
    <row r="135">
      <c r="A135" s="10"/>
      <c r="B135" s="10"/>
      <c r="C135" s="10"/>
      <c r="D135" s="10"/>
      <c r="E135" s="10"/>
      <c r="F135" s="10"/>
      <c r="G135" s="10"/>
      <c r="I135" s="10"/>
      <c r="J135" s="10"/>
      <c r="K135" s="10"/>
      <c r="L135" s="10"/>
      <c r="M135" s="10" t="str">
        <f>ifna(VLOOKUP('acft-exerc'!$M135,FIX!$A$2:$D1000,4, false),"")</f>
        <v/>
      </c>
      <c r="N135" s="10"/>
      <c r="O135" s="10"/>
      <c r="P135" s="10"/>
      <c r="Q135" s="10"/>
      <c r="R135" s="10"/>
      <c r="S135" s="10"/>
      <c r="T135" s="10"/>
      <c r="U135" s="10"/>
      <c r="V135" s="10"/>
    </row>
    <row r="136">
      <c r="A136" s="10"/>
      <c r="B136" s="10"/>
      <c r="C136" s="10"/>
      <c r="D136" s="10"/>
      <c r="E136" s="10"/>
      <c r="F136" s="10"/>
      <c r="G136" s="10"/>
      <c r="I136" s="10"/>
      <c r="J136" s="10"/>
      <c r="K136" s="10"/>
      <c r="L136" s="10"/>
      <c r="M136" s="10" t="str">
        <f>ifna(VLOOKUP('acft-exerc'!$M136,FIX!$A$2:$D1000,4, false),"")</f>
        <v/>
      </c>
      <c r="N136" s="10"/>
      <c r="O136" s="10"/>
      <c r="P136" s="10"/>
      <c r="Q136" s="10"/>
      <c r="R136" s="10"/>
      <c r="S136" s="10"/>
      <c r="T136" s="10"/>
      <c r="U136" s="10"/>
      <c r="V136" s="10"/>
    </row>
    <row r="137">
      <c r="A137" s="10"/>
      <c r="B137" s="10"/>
      <c r="C137" s="10"/>
      <c r="D137" s="10"/>
      <c r="E137" s="10"/>
      <c r="F137" s="10"/>
      <c r="G137" s="10"/>
      <c r="I137" s="10"/>
      <c r="J137" s="10"/>
      <c r="K137" s="10"/>
      <c r="L137" s="10"/>
      <c r="M137" s="10" t="str">
        <f>ifna(VLOOKUP('acft-exerc'!$M137,FIX!$A$2:$D1000,4, false),"")</f>
        <v/>
      </c>
      <c r="N137" s="10"/>
      <c r="O137" s="10"/>
      <c r="P137" s="10"/>
      <c r="Q137" s="10"/>
      <c r="R137" s="10"/>
      <c r="S137" s="10"/>
      <c r="T137" s="10"/>
      <c r="U137" s="10"/>
      <c r="V137" s="10"/>
    </row>
    <row r="138">
      <c r="A138" s="10"/>
      <c r="B138" s="10"/>
      <c r="C138" s="10"/>
      <c r="D138" s="10"/>
      <c r="E138" s="10"/>
      <c r="F138" s="10"/>
      <c r="G138" s="10"/>
      <c r="I138" s="10"/>
      <c r="J138" s="10"/>
      <c r="K138" s="10"/>
      <c r="L138" s="10"/>
      <c r="M138" s="10" t="str">
        <f>ifna(VLOOKUP('acft-exerc'!$M138,FIX!$A$2:$D1000,4, false),"")</f>
        <v/>
      </c>
      <c r="N138" s="10"/>
      <c r="O138" s="10"/>
      <c r="P138" s="10"/>
      <c r="Q138" s="10"/>
      <c r="R138" s="10"/>
      <c r="S138" s="10"/>
      <c r="T138" s="10"/>
      <c r="U138" s="10"/>
      <c r="V138" s="10"/>
    </row>
    <row r="139">
      <c r="A139" s="10"/>
      <c r="B139" s="10"/>
      <c r="C139" s="10"/>
      <c r="D139" s="10"/>
      <c r="E139" s="10"/>
      <c r="F139" s="10"/>
      <c r="G139" s="10"/>
      <c r="I139" s="10"/>
      <c r="J139" s="10"/>
      <c r="K139" s="10"/>
      <c r="L139" s="10"/>
      <c r="M139" s="10" t="str">
        <f>ifna(VLOOKUP('acft-exerc'!$M139,FIX!$A$2:$D1000,4, false),"")</f>
        <v/>
      </c>
      <c r="N139" s="10"/>
      <c r="O139" s="10"/>
      <c r="P139" s="10"/>
      <c r="Q139" s="10"/>
      <c r="R139" s="10"/>
      <c r="S139" s="10"/>
      <c r="T139" s="10"/>
      <c r="U139" s="10"/>
      <c r="V139" s="10"/>
    </row>
    <row r="140">
      <c r="A140" s="10"/>
      <c r="B140" s="10"/>
      <c r="C140" s="10"/>
      <c r="D140" s="10"/>
      <c r="E140" s="10"/>
      <c r="F140" s="10"/>
      <c r="G140" s="10"/>
      <c r="I140" s="10"/>
      <c r="J140" s="10"/>
      <c r="K140" s="10"/>
      <c r="L140" s="10"/>
      <c r="M140" s="10" t="str">
        <f>ifna(VLOOKUP('acft-exerc'!$M140,FIX!$A$2:$D1000,4, false),"")</f>
        <v/>
      </c>
      <c r="N140" s="10"/>
      <c r="O140" s="10"/>
      <c r="P140" s="10"/>
      <c r="Q140" s="10"/>
      <c r="R140" s="10"/>
      <c r="S140" s="10"/>
      <c r="T140" s="10"/>
      <c r="U140" s="10"/>
      <c r="V140" s="10"/>
    </row>
    <row r="141">
      <c r="A141" s="10"/>
      <c r="B141" s="10"/>
      <c r="C141" s="10"/>
      <c r="D141" s="10"/>
      <c r="E141" s="10"/>
      <c r="F141" s="10"/>
      <c r="G141" s="10"/>
      <c r="I141" s="10"/>
      <c r="J141" s="10"/>
      <c r="K141" s="10"/>
      <c r="L141" s="10"/>
      <c r="M141" s="10" t="str">
        <f>ifna(VLOOKUP('acft-exerc'!$M141,FIX!$A$2:$D1000,4, false),"")</f>
        <v/>
      </c>
      <c r="N141" s="10"/>
      <c r="O141" s="10"/>
      <c r="P141" s="10"/>
      <c r="Q141" s="10"/>
      <c r="R141" s="10"/>
      <c r="S141" s="10"/>
      <c r="T141" s="10"/>
      <c r="U141" s="10"/>
      <c r="V141" s="10"/>
    </row>
    <row r="142">
      <c r="A142" s="10"/>
      <c r="B142" s="10"/>
      <c r="C142" s="10"/>
      <c r="D142" s="10"/>
      <c r="E142" s="10"/>
      <c r="F142" s="10"/>
      <c r="G142" s="10"/>
      <c r="I142" s="10"/>
      <c r="J142" s="10"/>
      <c r="K142" s="10"/>
      <c r="L142" s="10"/>
      <c r="M142" s="10" t="str">
        <f>ifna(VLOOKUP('acft-exerc'!$M142,FIX!$A$2:$D1000,4, false),"")</f>
        <v/>
      </c>
      <c r="N142" s="10"/>
      <c r="O142" s="10"/>
      <c r="P142" s="10"/>
      <c r="Q142" s="10"/>
      <c r="R142" s="10"/>
      <c r="S142" s="10"/>
      <c r="T142" s="10"/>
      <c r="U142" s="10"/>
      <c r="V142" s="10"/>
    </row>
    <row r="143">
      <c r="A143" s="10"/>
      <c r="B143" s="10"/>
      <c r="C143" s="10"/>
      <c r="D143" s="10"/>
      <c r="E143" s="10"/>
      <c r="F143" s="10"/>
      <c r="G143" s="10"/>
      <c r="I143" s="10"/>
      <c r="J143" s="10"/>
      <c r="K143" s="10"/>
      <c r="L143" s="10"/>
      <c r="M143" s="10" t="str">
        <f>ifna(VLOOKUP('acft-exerc'!$M143,FIX!$A$2:$D1000,4, false),"")</f>
        <v/>
      </c>
      <c r="N143" s="10"/>
      <c r="O143" s="10"/>
      <c r="P143" s="10"/>
      <c r="Q143" s="10"/>
      <c r="R143" s="10"/>
      <c r="S143" s="10"/>
      <c r="T143" s="10"/>
      <c r="U143" s="10"/>
      <c r="V143" s="10"/>
    </row>
    <row r="144">
      <c r="A144" s="10"/>
      <c r="B144" s="10"/>
      <c r="C144" s="10"/>
      <c r="D144" s="10"/>
      <c r="E144" s="10"/>
      <c r="F144" s="10"/>
      <c r="G144" s="10"/>
      <c r="I144" s="10"/>
      <c r="J144" s="10"/>
      <c r="K144" s="10"/>
      <c r="L144" s="10"/>
      <c r="M144" s="10" t="str">
        <f>ifna(VLOOKUP('acft-exerc'!$M144,FIX!$A$2:$D1000,4, false),"")</f>
        <v/>
      </c>
      <c r="N144" s="10"/>
      <c r="O144" s="10"/>
      <c r="P144" s="10"/>
      <c r="Q144" s="10"/>
      <c r="R144" s="10"/>
      <c r="S144" s="10"/>
      <c r="T144" s="10"/>
      <c r="U144" s="10"/>
      <c r="V144" s="10"/>
    </row>
    <row r="145">
      <c r="A145" s="10"/>
      <c r="B145" s="10"/>
      <c r="C145" s="10"/>
      <c r="D145" s="10"/>
      <c r="E145" s="10"/>
      <c r="F145" s="10"/>
      <c r="G145" s="10"/>
      <c r="I145" s="10"/>
      <c r="J145" s="10"/>
      <c r="K145" s="10"/>
      <c r="L145" s="10"/>
      <c r="M145" s="10" t="str">
        <f>ifna(VLOOKUP('acft-exerc'!$M145,FIX!$A$2:$D1000,4, false),"")</f>
        <v/>
      </c>
      <c r="N145" s="10"/>
      <c r="O145" s="10"/>
      <c r="P145" s="10"/>
      <c r="Q145" s="10"/>
      <c r="R145" s="10"/>
      <c r="S145" s="10"/>
      <c r="T145" s="10"/>
      <c r="U145" s="10"/>
      <c r="V145" s="10"/>
    </row>
    <row r="146">
      <c r="A146" s="10"/>
      <c r="B146" s="10"/>
      <c r="C146" s="10"/>
      <c r="D146" s="10"/>
      <c r="E146" s="10"/>
      <c r="F146" s="10"/>
      <c r="G146" s="10"/>
      <c r="I146" s="10"/>
      <c r="J146" s="10"/>
      <c r="K146" s="10"/>
      <c r="L146" s="10"/>
      <c r="M146" s="10" t="str">
        <f>ifna(VLOOKUP('acft-exerc'!$M146,FIX!$A$2:$D1000,4, false),"")</f>
        <v/>
      </c>
      <c r="N146" s="10"/>
      <c r="O146" s="10"/>
      <c r="P146" s="10"/>
      <c r="Q146" s="10"/>
      <c r="R146" s="10"/>
      <c r="S146" s="10"/>
      <c r="T146" s="10"/>
      <c r="U146" s="10"/>
      <c r="V146" s="10"/>
    </row>
    <row r="147">
      <c r="A147" s="10"/>
      <c r="B147" s="10"/>
      <c r="C147" s="10"/>
      <c r="D147" s="10"/>
      <c r="E147" s="10"/>
      <c r="F147" s="10"/>
      <c r="G147" s="10"/>
      <c r="I147" s="10"/>
      <c r="J147" s="10"/>
      <c r="K147" s="10"/>
      <c r="L147" s="10"/>
      <c r="M147" s="10" t="str">
        <f>ifna(VLOOKUP('acft-exerc'!$M147,FIX!$A$2:$D1000,4, false),"")</f>
        <v/>
      </c>
      <c r="N147" s="10"/>
      <c r="O147" s="10"/>
      <c r="P147" s="10"/>
      <c r="Q147" s="10"/>
      <c r="R147" s="10"/>
      <c r="S147" s="10"/>
      <c r="T147" s="10"/>
      <c r="U147" s="10"/>
      <c r="V147" s="10"/>
    </row>
    <row r="148">
      <c r="A148" s="10"/>
      <c r="B148" s="10"/>
      <c r="C148" s="10"/>
      <c r="D148" s="10"/>
      <c r="E148" s="10"/>
      <c r="F148" s="10"/>
      <c r="G148" s="10"/>
      <c r="I148" s="10"/>
      <c r="J148" s="10"/>
      <c r="K148" s="10"/>
      <c r="L148" s="10"/>
      <c r="M148" s="10" t="str">
        <f>ifna(VLOOKUP('acft-exerc'!$M148,FIX!$A$2:$D1000,4, false),"")</f>
        <v/>
      </c>
      <c r="N148" s="10"/>
      <c r="O148" s="10"/>
      <c r="P148" s="10"/>
      <c r="Q148" s="10"/>
      <c r="R148" s="10"/>
      <c r="S148" s="10"/>
      <c r="T148" s="10"/>
      <c r="U148" s="10"/>
      <c r="V148" s="10"/>
    </row>
    <row r="149">
      <c r="A149" s="10"/>
      <c r="B149" s="10"/>
      <c r="C149" s="10"/>
      <c r="D149" s="10"/>
      <c r="E149" s="10"/>
      <c r="F149" s="10"/>
      <c r="G149" s="10"/>
      <c r="I149" s="10"/>
      <c r="J149" s="10"/>
      <c r="K149" s="10"/>
      <c r="L149" s="10"/>
      <c r="M149" s="10" t="str">
        <f>ifna(VLOOKUP('acft-exerc'!$M149,FIX!$A$2:$D1000,4, false),"")</f>
        <v/>
      </c>
      <c r="N149" s="10"/>
      <c r="O149" s="10"/>
      <c r="P149" s="10"/>
      <c r="Q149" s="10"/>
      <c r="R149" s="10"/>
      <c r="S149" s="10"/>
      <c r="T149" s="10"/>
      <c r="U149" s="10"/>
      <c r="V149" s="10"/>
    </row>
    <row r="150">
      <c r="A150" s="10"/>
      <c r="B150" s="10"/>
      <c r="C150" s="10"/>
      <c r="D150" s="10"/>
      <c r="E150" s="10"/>
      <c r="F150" s="10"/>
      <c r="G150" s="10"/>
      <c r="I150" s="10"/>
      <c r="J150" s="10"/>
      <c r="K150" s="10"/>
      <c r="L150" s="10"/>
      <c r="M150" s="10" t="str">
        <f>ifna(VLOOKUP('acft-exerc'!$M150,FIX!$A$2:$D1000,4, false),"")</f>
        <v/>
      </c>
      <c r="N150" s="10"/>
      <c r="O150" s="10"/>
      <c r="P150" s="10"/>
      <c r="Q150" s="10"/>
      <c r="R150" s="10"/>
      <c r="S150" s="10"/>
      <c r="T150" s="10"/>
      <c r="U150" s="10"/>
      <c r="V150" s="10"/>
    </row>
    <row r="151">
      <c r="A151" s="10"/>
      <c r="B151" s="10"/>
      <c r="C151" s="10"/>
      <c r="D151" s="10"/>
      <c r="E151" s="10"/>
      <c r="F151" s="10"/>
      <c r="G151" s="10"/>
      <c r="I151" s="10"/>
      <c r="J151" s="10"/>
      <c r="K151" s="10"/>
      <c r="L151" s="10"/>
      <c r="M151" s="10" t="str">
        <f>ifna(VLOOKUP('acft-exerc'!$M151,FIX!$A$2:$D1000,4, false),"")</f>
        <v/>
      </c>
      <c r="N151" s="10"/>
      <c r="O151" s="10"/>
      <c r="P151" s="10"/>
      <c r="Q151" s="10"/>
      <c r="R151" s="10"/>
      <c r="S151" s="10"/>
      <c r="T151" s="10"/>
      <c r="U151" s="10"/>
      <c r="V151" s="10"/>
    </row>
    <row r="152">
      <c r="A152" s="10"/>
      <c r="B152" s="10"/>
      <c r="C152" s="10"/>
      <c r="D152" s="10"/>
      <c r="E152" s="10"/>
      <c r="F152" s="10"/>
      <c r="G152" s="10"/>
      <c r="I152" s="10"/>
      <c r="J152" s="10"/>
      <c r="K152" s="10"/>
      <c r="L152" s="10"/>
      <c r="M152" s="10" t="str">
        <f>ifna(VLOOKUP('acft-exerc'!$M152,FIX!$A$2:$D1000,4, false),"")</f>
        <v/>
      </c>
      <c r="N152" s="10"/>
      <c r="O152" s="10"/>
      <c r="P152" s="10"/>
      <c r="Q152" s="10"/>
      <c r="R152" s="10"/>
      <c r="S152" s="10"/>
      <c r="T152" s="10"/>
      <c r="U152" s="10"/>
      <c r="V152" s="10"/>
    </row>
    <row r="153">
      <c r="A153" s="10"/>
      <c r="B153" s="10"/>
      <c r="C153" s="10"/>
      <c r="D153" s="10"/>
      <c r="E153" s="10"/>
      <c r="F153" s="10"/>
      <c r="G153" s="10"/>
      <c r="I153" s="10"/>
      <c r="J153" s="10"/>
      <c r="K153" s="10"/>
      <c r="L153" s="10"/>
      <c r="M153" s="10" t="str">
        <f>ifna(VLOOKUP('acft-exerc'!$M153,FIX!$A$2:$D1000,4, false),"")</f>
        <v/>
      </c>
      <c r="N153" s="10"/>
      <c r="O153" s="10"/>
      <c r="P153" s="10"/>
      <c r="Q153" s="10"/>
      <c r="R153" s="10"/>
      <c r="S153" s="10"/>
      <c r="T153" s="10"/>
      <c r="U153" s="10"/>
      <c r="V153" s="10"/>
    </row>
    <row r="154">
      <c r="A154" s="10"/>
      <c r="B154" s="10"/>
      <c r="C154" s="10"/>
      <c r="D154" s="10"/>
      <c r="E154" s="10"/>
      <c r="F154" s="10"/>
      <c r="G154" s="10"/>
      <c r="I154" s="10"/>
      <c r="J154" s="10"/>
      <c r="K154" s="10"/>
      <c r="L154" s="10"/>
      <c r="M154" s="10" t="str">
        <f>ifna(VLOOKUP('acft-exerc'!$M154,FIX!$A$2:$D1000,4, false),"")</f>
        <v/>
      </c>
      <c r="N154" s="10"/>
      <c r="O154" s="10"/>
      <c r="P154" s="10"/>
      <c r="Q154" s="10"/>
      <c r="R154" s="10"/>
      <c r="S154" s="10"/>
      <c r="T154" s="10"/>
      <c r="U154" s="10"/>
      <c r="V154" s="10"/>
    </row>
    <row r="155">
      <c r="A155" s="10"/>
      <c r="B155" s="10"/>
      <c r="C155" s="10"/>
      <c r="D155" s="10"/>
      <c r="E155" s="10"/>
      <c r="F155" s="10"/>
      <c r="G155" s="10"/>
      <c r="I155" s="10"/>
      <c r="J155" s="10"/>
      <c r="K155" s="10"/>
      <c r="L155" s="10"/>
      <c r="M155" s="10" t="str">
        <f>ifna(VLOOKUP('acft-exerc'!$M155,FIX!$A$2:$D1000,4, false),"")</f>
        <v/>
      </c>
      <c r="N155" s="10"/>
      <c r="O155" s="10"/>
      <c r="P155" s="10"/>
      <c r="Q155" s="10"/>
      <c r="R155" s="10"/>
      <c r="S155" s="10"/>
      <c r="T155" s="10"/>
      <c r="U155" s="10"/>
      <c r="V155" s="10"/>
    </row>
    <row r="156">
      <c r="A156" s="10"/>
      <c r="B156" s="10"/>
      <c r="C156" s="10"/>
      <c r="D156" s="10"/>
      <c r="E156" s="10"/>
      <c r="F156" s="10"/>
      <c r="G156" s="10"/>
      <c r="I156" s="10"/>
      <c r="J156" s="10"/>
      <c r="K156" s="10"/>
      <c r="L156" s="10"/>
      <c r="M156" s="10" t="str">
        <f>ifna(VLOOKUP('acft-exerc'!$M156,FIX!$A$2:$D1000,4, false),"")</f>
        <v/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>
      <c r="A157" s="10"/>
      <c r="B157" s="10"/>
      <c r="C157" s="10"/>
      <c r="D157" s="10"/>
      <c r="E157" s="10"/>
      <c r="F157" s="10"/>
      <c r="G157" s="10"/>
      <c r="I157" s="10"/>
      <c r="J157" s="10"/>
      <c r="K157" s="10"/>
      <c r="L157" s="10"/>
      <c r="M157" s="10" t="str">
        <f>ifna(VLOOKUP('acft-exerc'!$M157,FIX!$A$2:$D1000,4, false),"")</f>
        <v/>
      </c>
      <c r="N157" s="10"/>
      <c r="O157" s="10"/>
      <c r="P157" s="10"/>
      <c r="Q157" s="10"/>
      <c r="R157" s="10"/>
      <c r="S157" s="10"/>
      <c r="T157" s="10"/>
      <c r="U157" s="10"/>
      <c r="V157" s="10"/>
    </row>
    <row r="158">
      <c r="A158" s="10"/>
      <c r="B158" s="10"/>
      <c r="C158" s="10"/>
      <c r="D158" s="10"/>
      <c r="E158" s="10"/>
      <c r="F158" s="10"/>
      <c r="G158" s="10"/>
      <c r="I158" s="10"/>
      <c r="J158" s="10"/>
      <c r="K158" s="10"/>
      <c r="L158" s="10"/>
      <c r="M158" s="10" t="str">
        <f>ifna(VLOOKUP('acft-exerc'!$M158,FIX!$A$2:$D1000,4, false),"")</f>
        <v/>
      </c>
      <c r="N158" s="10"/>
      <c r="O158" s="10"/>
      <c r="P158" s="10"/>
      <c r="Q158" s="10"/>
      <c r="R158" s="10"/>
      <c r="S158" s="10"/>
      <c r="T158" s="10"/>
      <c r="U158" s="10"/>
      <c r="V158" s="10"/>
    </row>
    <row r="159">
      <c r="A159" s="10"/>
      <c r="B159" s="10"/>
      <c r="C159" s="10"/>
      <c r="D159" s="10"/>
      <c r="E159" s="10"/>
      <c r="F159" s="10"/>
      <c r="G159" s="10"/>
      <c r="I159" s="10"/>
      <c r="J159" s="10"/>
      <c r="K159" s="10"/>
      <c r="L159" s="10"/>
      <c r="M159" s="10" t="str">
        <f>ifna(VLOOKUP('acft-exerc'!$M159,FIX!$A$2:$D1000,4, false),"")</f>
        <v/>
      </c>
      <c r="N159" s="10"/>
      <c r="O159" s="10"/>
      <c r="P159" s="10"/>
      <c r="Q159" s="10"/>
      <c r="R159" s="10"/>
      <c r="S159" s="10"/>
      <c r="T159" s="10"/>
      <c r="U159" s="10"/>
      <c r="V159" s="10"/>
    </row>
    <row r="160">
      <c r="A160" s="10"/>
      <c r="B160" s="10"/>
      <c r="C160" s="10"/>
      <c r="D160" s="10"/>
      <c r="E160" s="10"/>
      <c r="F160" s="10"/>
      <c r="G160" s="10"/>
      <c r="I160" s="10"/>
      <c r="J160" s="10"/>
      <c r="K160" s="10"/>
      <c r="L160" s="10"/>
      <c r="M160" s="10" t="str">
        <f>ifna(VLOOKUP('acft-exerc'!$M160,FIX!$A$2:$D1000,4, false),"")</f>
        <v/>
      </c>
      <c r="N160" s="10"/>
      <c r="O160" s="10"/>
      <c r="P160" s="10"/>
      <c r="Q160" s="10"/>
      <c r="R160" s="10"/>
      <c r="S160" s="10"/>
      <c r="T160" s="10"/>
      <c r="U160" s="10"/>
      <c r="V160" s="10"/>
    </row>
    <row r="161">
      <c r="A161" s="10"/>
      <c r="B161" s="10"/>
      <c r="C161" s="10"/>
      <c r="D161" s="10"/>
      <c r="E161" s="10"/>
      <c r="F161" s="10"/>
      <c r="G161" s="10"/>
      <c r="I161" s="10"/>
      <c r="J161" s="10"/>
      <c r="K161" s="10"/>
      <c r="L161" s="10"/>
      <c r="M161" s="10" t="str">
        <f>ifna(VLOOKUP('acft-exerc'!$M161,FIX!$A$2:$D1000,4, false),"")</f>
        <v/>
      </c>
      <c r="N161" s="10"/>
      <c r="O161" s="10"/>
      <c r="P161" s="10"/>
      <c r="Q161" s="10"/>
      <c r="R161" s="10"/>
      <c r="S161" s="10"/>
      <c r="T161" s="10"/>
      <c r="U161" s="10"/>
      <c r="V161" s="10"/>
    </row>
    <row r="162">
      <c r="A162" s="10"/>
      <c r="B162" s="10"/>
      <c r="C162" s="10"/>
      <c r="D162" s="10"/>
      <c r="E162" s="10"/>
      <c r="F162" s="10"/>
      <c r="G162" s="10"/>
      <c r="I162" s="10"/>
      <c r="J162" s="10"/>
      <c r="K162" s="10"/>
      <c r="L162" s="10"/>
      <c r="M162" s="10" t="str">
        <f>ifna(VLOOKUP('acft-exerc'!$M162,FIX!$A$2:$D1000,4, false),"")</f>
        <v/>
      </c>
      <c r="N162" s="10"/>
      <c r="O162" s="10"/>
      <c r="P162" s="10"/>
      <c r="Q162" s="10"/>
      <c r="R162" s="10"/>
      <c r="S162" s="10"/>
      <c r="T162" s="10"/>
      <c r="U162" s="10"/>
      <c r="V162" s="10"/>
    </row>
    <row r="163">
      <c r="A163" s="10"/>
      <c r="B163" s="10"/>
      <c r="C163" s="10"/>
      <c r="D163" s="10"/>
      <c r="E163" s="10"/>
      <c r="F163" s="10"/>
      <c r="G163" s="10"/>
      <c r="I163" s="10"/>
      <c r="J163" s="10"/>
      <c r="K163" s="10"/>
      <c r="L163" s="10"/>
      <c r="M163" s="10" t="str">
        <f>ifna(VLOOKUP('acft-exerc'!$M163,FIX!$A$2:$D1000,4, false),"")</f>
        <v/>
      </c>
      <c r="N163" s="10"/>
      <c r="O163" s="10"/>
      <c r="P163" s="10"/>
      <c r="Q163" s="10"/>
      <c r="R163" s="10"/>
      <c r="S163" s="10"/>
      <c r="T163" s="10"/>
      <c r="U163" s="10"/>
      <c r="V163" s="10"/>
    </row>
    <row r="164">
      <c r="A164" s="10"/>
      <c r="B164" s="10"/>
      <c r="C164" s="10"/>
      <c r="D164" s="10"/>
      <c r="E164" s="10"/>
      <c r="F164" s="10"/>
      <c r="G164" s="10"/>
      <c r="I164" s="10"/>
      <c r="J164" s="10"/>
      <c r="K164" s="10"/>
      <c r="L164" s="10"/>
      <c r="M164" s="10" t="str">
        <f>ifna(VLOOKUP('acft-exerc'!$M164,FIX!$A$2:$D1000,4, false),"")</f>
        <v/>
      </c>
      <c r="N164" s="10"/>
      <c r="O164" s="10"/>
      <c r="P164" s="10"/>
      <c r="Q164" s="10"/>
      <c r="R164" s="10"/>
      <c r="S164" s="10"/>
      <c r="T164" s="10"/>
      <c r="U164" s="10"/>
      <c r="V164" s="10"/>
    </row>
    <row r="165">
      <c r="A165" s="10"/>
      <c r="B165" s="10"/>
      <c r="C165" s="10"/>
      <c r="D165" s="10"/>
      <c r="E165" s="10"/>
      <c r="F165" s="10"/>
      <c r="G165" s="10"/>
      <c r="I165" s="10"/>
      <c r="J165" s="10"/>
      <c r="K165" s="10"/>
      <c r="L165" s="10"/>
      <c r="M165" s="10" t="str">
        <f>ifna(VLOOKUP('acft-exerc'!$M165,FIX!$A$2:$D1000,4, false),"")</f>
        <v/>
      </c>
      <c r="N165" s="10"/>
      <c r="O165" s="10"/>
      <c r="P165" s="10"/>
      <c r="Q165" s="10"/>
      <c r="R165" s="10"/>
      <c r="S165" s="10"/>
      <c r="T165" s="10"/>
      <c r="U165" s="10"/>
      <c r="V165" s="10"/>
    </row>
    <row r="166">
      <c r="A166" s="10"/>
      <c r="B166" s="10"/>
      <c r="C166" s="10"/>
      <c r="D166" s="10"/>
      <c r="E166" s="10"/>
      <c r="F166" s="10"/>
      <c r="G166" s="10"/>
      <c r="I166" s="10"/>
      <c r="J166" s="10"/>
      <c r="K166" s="10"/>
      <c r="L166" s="10"/>
      <c r="M166" s="10" t="str">
        <f>ifna(VLOOKUP('acft-exerc'!$M166,FIX!$A$2:$D1000,4, false),"")</f>
        <v/>
      </c>
      <c r="N166" s="10"/>
      <c r="O166" s="10"/>
      <c r="P166" s="10"/>
      <c r="Q166" s="10"/>
      <c r="R166" s="10"/>
      <c r="S166" s="10"/>
      <c r="T166" s="10"/>
      <c r="U166" s="10"/>
      <c r="V166" s="10"/>
    </row>
    <row r="167">
      <c r="A167" s="10"/>
      <c r="B167" s="10"/>
      <c r="C167" s="10"/>
      <c r="D167" s="10"/>
      <c r="E167" s="10"/>
      <c r="F167" s="10"/>
      <c r="G167" s="10"/>
      <c r="I167" s="10"/>
      <c r="J167" s="10"/>
      <c r="K167" s="10"/>
      <c r="L167" s="10"/>
      <c r="M167" s="10" t="str">
        <f>ifna(VLOOKUP('acft-exerc'!$M167,FIX!$A$2:$D1000,4, false),"")</f>
        <v/>
      </c>
      <c r="N167" s="10"/>
      <c r="O167" s="10"/>
      <c r="P167" s="10"/>
      <c r="Q167" s="10"/>
      <c r="R167" s="10"/>
      <c r="S167" s="10"/>
      <c r="T167" s="10"/>
      <c r="U167" s="10"/>
      <c r="V167" s="10"/>
    </row>
    <row r="168">
      <c r="A168" s="10"/>
      <c r="B168" s="10"/>
      <c r="C168" s="10"/>
      <c r="D168" s="10"/>
      <c r="E168" s="10"/>
      <c r="F168" s="10"/>
      <c r="G168" s="10"/>
      <c r="I168" s="10"/>
      <c r="J168" s="10"/>
      <c r="K168" s="10"/>
      <c r="L168" s="10"/>
      <c r="M168" s="10" t="str">
        <f>ifna(VLOOKUP('acft-exerc'!$M168,FIX!$A$2:$D1000,4, false),"")</f>
        <v/>
      </c>
      <c r="N168" s="10"/>
      <c r="O168" s="10"/>
      <c r="P168" s="10"/>
      <c r="Q168" s="10"/>
      <c r="R168" s="10"/>
      <c r="S168" s="10"/>
      <c r="T168" s="10"/>
      <c r="U168" s="10"/>
      <c r="V168" s="10"/>
    </row>
    <row r="169">
      <c r="A169" s="10"/>
      <c r="B169" s="10"/>
      <c r="C169" s="10"/>
      <c r="D169" s="10"/>
      <c r="E169" s="10"/>
      <c r="F169" s="10"/>
      <c r="G169" s="10"/>
      <c r="I169" s="10"/>
      <c r="J169" s="10"/>
      <c r="K169" s="10"/>
      <c r="L169" s="10"/>
      <c r="M169" s="10" t="str">
        <f>ifna(VLOOKUP('acft-exerc'!$M169,FIX!$A$2:$D1000,4, false),"")</f>
        <v/>
      </c>
      <c r="N169" s="10"/>
      <c r="O169" s="10"/>
      <c r="P169" s="10"/>
      <c r="Q169" s="10"/>
      <c r="R169" s="10"/>
      <c r="S169" s="10"/>
      <c r="T169" s="10"/>
      <c r="U169" s="10"/>
      <c r="V169" s="10"/>
    </row>
    <row r="170">
      <c r="A170" s="10"/>
      <c r="B170" s="10"/>
      <c r="C170" s="10"/>
      <c r="D170" s="10"/>
      <c r="E170" s="10"/>
      <c r="F170" s="10"/>
      <c r="G170" s="10"/>
      <c r="I170" s="10"/>
      <c r="J170" s="10"/>
      <c r="K170" s="10"/>
      <c r="L170" s="10"/>
      <c r="M170" s="10" t="str">
        <f>ifna(VLOOKUP('acft-exerc'!$M170,FIX!$A$2:$D1000,4, false),"")</f>
        <v/>
      </c>
      <c r="N170" s="10"/>
      <c r="O170" s="10"/>
      <c r="P170" s="10"/>
      <c r="Q170" s="10"/>
      <c r="R170" s="10"/>
      <c r="S170" s="10"/>
      <c r="T170" s="10"/>
      <c r="U170" s="10"/>
      <c r="V170" s="10"/>
    </row>
    <row r="171">
      <c r="A171" s="10"/>
      <c r="B171" s="10"/>
      <c r="C171" s="10"/>
      <c r="D171" s="10"/>
      <c r="E171" s="10"/>
      <c r="F171" s="10"/>
      <c r="G171" s="10"/>
      <c r="I171" s="10"/>
      <c r="J171" s="10"/>
      <c r="K171" s="10"/>
      <c r="L171" s="10"/>
      <c r="M171" s="10" t="str">
        <f>ifna(VLOOKUP('acft-exerc'!$M171,FIX!$A$2:$D1000,4, false),"")</f>
        <v/>
      </c>
      <c r="N171" s="10"/>
      <c r="O171" s="10"/>
      <c r="P171" s="10"/>
      <c r="Q171" s="10"/>
      <c r="R171" s="10"/>
      <c r="S171" s="10"/>
      <c r="T171" s="10"/>
      <c r="U171" s="10"/>
      <c r="V171" s="10"/>
    </row>
    <row r="172">
      <c r="A172" s="10"/>
      <c r="B172" s="10"/>
      <c r="C172" s="10"/>
      <c r="D172" s="10"/>
      <c r="E172" s="10"/>
      <c r="F172" s="10"/>
      <c r="G172" s="10"/>
      <c r="I172" s="10"/>
      <c r="J172" s="10"/>
      <c r="K172" s="10"/>
      <c r="L172" s="10"/>
      <c r="M172" s="10" t="str">
        <f>ifna(VLOOKUP('acft-exerc'!$M172,FIX!$A$2:$D1000,4, false),"")</f>
        <v/>
      </c>
      <c r="N172" s="10"/>
      <c r="O172" s="10"/>
      <c r="P172" s="10"/>
      <c r="Q172" s="10"/>
      <c r="R172" s="10"/>
      <c r="S172" s="10"/>
      <c r="T172" s="10"/>
      <c r="U172" s="10"/>
      <c r="V172" s="10"/>
    </row>
    <row r="173">
      <c r="A173" s="10"/>
      <c r="B173" s="10"/>
      <c r="C173" s="10"/>
      <c r="D173" s="10"/>
      <c r="E173" s="10"/>
      <c r="F173" s="10"/>
      <c r="G173" s="10"/>
      <c r="I173" s="10"/>
      <c r="J173" s="10"/>
      <c r="K173" s="10"/>
      <c r="L173" s="10"/>
      <c r="M173" s="10" t="str">
        <f>ifna(VLOOKUP('acft-exerc'!$M173,FIX!$A$2:$D1000,4, false),"")</f>
        <v/>
      </c>
      <c r="N173" s="10"/>
      <c r="O173" s="10"/>
      <c r="P173" s="10"/>
      <c r="Q173" s="10"/>
      <c r="R173" s="10"/>
      <c r="S173" s="10"/>
      <c r="T173" s="10"/>
      <c r="U173" s="10"/>
      <c r="V173" s="10"/>
    </row>
    <row r="174">
      <c r="A174" s="10"/>
      <c r="B174" s="10"/>
      <c r="C174" s="10"/>
      <c r="D174" s="10"/>
      <c r="E174" s="10"/>
      <c r="F174" s="10"/>
      <c r="G174" s="10"/>
      <c r="I174" s="10"/>
      <c r="J174" s="10"/>
      <c r="K174" s="10"/>
      <c r="L174" s="10"/>
      <c r="M174" s="10" t="str">
        <f>ifna(VLOOKUP('acft-exerc'!$M174,FIX!$A$2:$D1000,4, false),"")</f>
        <v/>
      </c>
      <c r="N174" s="10"/>
      <c r="O174" s="10"/>
      <c r="P174" s="10"/>
      <c r="Q174" s="10"/>
      <c r="R174" s="10"/>
      <c r="S174" s="10"/>
      <c r="T174" s="10"/>
      <c r="U174" s="10"/>
      <c r="V174" s="10"/>
    </row>
    <row r="175">
      <c r="A175" s="10"/>
      <c r="B175" s="10"/>
      <c r="C175" s="10"/>
      <c r="D175" s="10"/>
      <c r="E175" s="10"/>
      <c r="F175" s="10"/>
      <c r="G175" s="10"/>
      <c r="I175" s="10"/>
      <c r="J175" s="10"/>
      <c r="K175" s="10"/>
      <c r="L175" s="10"/>
      <c r="M175" s="10" t="str">
        <f>ifna(VLOOKUP('acft-exerc'!$M175,FIX!$A$2:$D1000,4, false),"")</f>
        <v/>
      </c>
      <c r="N175" s="10"/>
      <c r="O175" s="10"/>
      <c r="P175" s="10"/>
      <c r="Q175" s="10"/>
      <c r="R175" s="10"/>
      <c r="S175" s="10"/>
      <c r="T175" s="10"/>
      <c r="U175" s="10"/>
      <c r="V175" s="10"/>
    </row>
    <row r="176">
      <c r="A176" s="10"/>
      <c r="B176" s="10"/>
      <c r="C176" s="10"/>
      <c r="D176" s="10"/>
      <c r="E176" s="10"/>
      <c r="F176" s="10"/>
      <c r="G176" s="10"/>
      <c r="I176" s="10"/>
      <c r="J176" s="10"/>
      <c r="K176" s="10"/>
      <c r="L176" s="10"/>
      <c r="M176" s="10" t="str">
        <f>ifna(VLOOKUP('acft-exerc'!$M176,FIX!$A$2:$D1000,4, false),"")</f>
        <v/>
      </c>
      <c r="N176" s="10"/>
      <c r="O176" s="10"/>
      <c r="P176" s="10"/>
      <c r="Q176" s="10"/>
      <c r="R176" s="10"/>
      <c r="S176" s="10"/>
      <c r="T176" s="10"/>
      <c r="U176" s="10"/>
      <c r="V176" s="10"/>
    </row>
    <row r="177">
      <c r="A177" s="10"/>
      <c r="B177" s="10"/>
      <c r="C177" s="10"/>
      <c r="D177" s="10"/>
      <c r="E177" s="10"/>
      <c r="F177" s="10"/>
      <c r="G177" s="10"/>
      <c r="I177" s="10"/>
      <c r="J177" s="10"/>
      <c r="K177" s="10"/>
      <c r="L177" s="10"/>
      <c r="M177" s="10" t="str">
        <f>ifna(VLOOKUP('acft-exerc'!$M177,FIX!$A$2:$D1000,4, false),"")</f>
        <v/>
      </c>
      <c r="N177" s="10"/>
      <c r="O177" s="10"/>
      <c r="P177" s="10"/>
      <c r="Q177" s="10"/>
      <c r="R177" s="10"/>
      <c r="S177" s="10"/>
      <c r="T177" s="10"/>
      <c r="U177" s="10"/>
      <c r="V177" s="10"/>
    </row>
    <row r="178">
      <c r="A178" s="10"/>
      <c r="B178" s="10"/>
      <c r="C178" s="10"/>
      <c r="D178" s="10"/>
      <c r="E178" s="10"/>
      <c r="F178" s="10"/>
      <c r="G178" s="10"/>
      <c r="I178" s="10"/>
      <c r="J178" s="10"/>
      <c r="K178" s="10"/>
      <c r="L178" s="10"/>
      <c r="M178" s="10" t="str">
        <f>ifna(VLOOKUP('acft-exerc'!$M178,FIX!$A$2:$D1000,4, false),"")</f>
        <v/>
      </c>
      <c r="N178" s="10"/>
      <c r="O178" s="10"/>
      <c r="P178" s="10"/>
      <c r="Q178" s="10"/>
      <c r="R178" s="10"/>
      <c r="S178" s="10"/>
      <c r="T178" s="10"/>
      <c r="U178" s="10"/>
      <c r="V178" s="10"/>
    </row>
    <row r="179">
      <c r="A179" s="10"/>
      <c r="B179" s="10"/>
      <c r="C179" s="10"/>
      <c r="D179" s="10"/>
      <c r="E179" s="10"/>
      <c r="F179" s="10"/>
      <c r="G179" s="10"/>
      <c r="I179" s="10"/>
      <c r="J179" s="10"/>
      <c r="K179" s="10"/>
      <c r="L179" s="10"/>
      <c r="M179" s="10" t="str">
        <f>ifna(VLOOKUP('acft-exerc'!$M179,FIX!$A$2:$D1000,4, false),"")</f>
        <v/>
      </c>
      <c r="N179" s="10"/>
      <c r="O179" s="10"/>
      <c r="P179" s="10"/>
      <c r="Q179" s="10"/>
      <c r="R179" s="10"/>
      <c r="S179" s="10"/>
      <c r="T179" s="10"/>
      <c r="U179" s="10"/>
      <c r="V179" s="10"/>
    </row>
    <row r="180">
      <c r="A180" s="10"/>
      <c r="B180" s="10"/>
      <c r="C180" s="10"/>
      <c r="D180" s="10"/>
      <c r="E180" s="10"/>
      <c r="F180" s="10"/>
      <c r="G180" s="10"/>
      <c r="I180" s="10"/>
      <c r="J180" s="10"/>
      <c r="K180" s="10"/>
      <c r="L180" s="10"/>
      <c r="M180" s="10" t="str">
        <f>ifna(VLOOKUP('acft-exerc'!$M180,FIX!$A$2:$D1000,4, false),"")</f>
        <v/>
      </c>
      <c r="N180" s="10"/>
      <c r="O180" s="10"/>
      <c r="P180" s="10"/>
      <c r="Q180" s="10"/>
      <c r="R180" s="10"/>
      <c r="S180" s="10"/>
      <c r="T180" s="10"/>
      <c r="U180" s="10"/>
      <c r="V180" s="10"/>
    </row>
    <row r="181">
      <c r="A181" s="10"/>
      <c r="B181" s="10"/>
      <c r="C181" s="10"/>
      <c r="D181" s="10"/>
      <c r="E181" s="10"/>
      <c r="F181" s="10"/>
      <c r="G181" s="10"/>
      <c r="I181" s="10"/>
      <c r="J181" s="10"/>
      <c r="K181" s="10"/>
      <c r="L181" s="10"/>
      <c r="M181" s="10" t="str">
        <f>ifna(VLOOKUP('acft-exerc'!$M181,FIX!$A$2:$D1000,4, false),"")</f>
        <v/>
      </c>
      <c r="N181" s="10"/>
      <c r="O181" s="10"/>
      <c r="P181" s="10"/>
      <c r="Q181" s="10"/>
      <c r="R181" s="10"/>
      <c r="S181" s="10"/>
      <c r="T181" s="10"/>
      <c r="U181" s="10"/>
      <c r="V181" s="10"/>
    </row>
    <row r="182">
      <c r="A182" s="10"/>
      <c r="B182" s="10"/>
      <c r="C182" s="10"/>
      <c r="D182" s="10"/>
      <c r="E182" s="10"/>
      <c r="F182" s="10"/>
      <c r="G182" s="10"/>
      <c r="I182" s="10"/>
      <c r="J182" s="10"/>
      <c r="K182" s="10"/>
      <c r="L182" s="10"/>
      <c r="M182" s="10" t="str">
        <f>ifna(VLOOKUP('acft-exerc'!$M182,FIX!$A$2:$D1000,4, false),"")</f>
        <v/>
      </c>
      <c r="N182" s="10"/>
      <c r="O182" s="10"/>
      <c r="P182" s="10"/>
      <c r="Q182" s="10"/>
      <c r="R182" s="10"/>
      <c r="S182" s="10"/>
      <c r="T182" s="10"/>
      <c r="U182" s="10"/>
      <c r="V182" s="10"/>
    </row>
    <row r="183">
      <c r="A183" s="10"/>
      <c r="B183" s="10"/>
      <c r="C183" s="10"/>
      <c r="D183" s="10"/>
      <c r="E183" s="10"/>
      <c r="F183" s="10"/>
      <c r="G183" s="10"/>
      <c r="I183" s="10"/>
      <c r="J183" s="10"/>
      <c r="K183" s="10"/>
      <c r="L183" s="10"/>
      <c r="M183" s="10" t="str">
        <f>ifna(VLOOKUP('acft-exerc'!$M183,FIX!$A$2:$D1000,4, false),"")</f>
        <v/>
      </c>
      <c r="N183" s="10"/>
      <c r="O183" s="10"/>
      <c r="P183" s="10"/>
      <c r="Q183" s="10"/>
      <c r="R183" s="10"/>
      <c r="S183" s="10"/>
      <c r="T183" s="10"/>
      <c r="U183" s="10"/>
      <c r="V183" s="10"/>
    </row>
    <row r="184">
      <c r="A184" s="10"/>
      <c r="B184" s="10"/>
      <c r="C184" s="10"/>
      <c r="D184" s="10"/>
      <c r="E184" s="10"/>
      <c r="F184" s="10"/>
      <c r="G184" s="10"/>
      <c r="I184" s="10"/>
      <c r="J184" s="10"/>
      <c r="K184" s="10"/>
      <c r="L184" s="10"/>
      <c r="M184" s="10" t="str">
        <f>ifna(VLOOKUP('acft-exerc'!$M184,FIX!$A$2:$D1000,4, false),"")</f>
        <v/>
      </c>
      <c r="N184" s="10"/>
      <c r="O184" s="10"/>
      <c r="P184" s="10"/>
      <c r="Q184" s="10"/>
      <c r="R184" s="10"/>
      <c r="S184" s="10"/>
      <c r="T184" s="10"/>
      <c r="U184" s="10"/>
      <c r="V184" s="10"/>
    </row>
    <row r="185">
      <c r="A185" s="10"/>
      <c r="B185" s="10"/>
      <c r="C185" s="10"/>
      <c r="D185" s="10"/>
      <c r="E185" s="10"/>
      <c r="F185" s="10"/>
      <c r="G185" s="10"/>
      <c r="I185" s="10"/>
      <c r="J185" s="10"/>
      <c r="K185" s="10"/>
      <c r="L185" s="10"/>
      <c r="M185" s="10" t="str">
        <f>ifna(VLOOKUP('acft-exerc'!$M185,FIX!$A$2:$D1000,4, false),"")</f>
        <v/>
      </c>
      <c r="N185" s="10"/>
      <c r="O185" s="10"/>
      <c r="P185" s="10"/>
      <c r="Q185" s="10"/>
      <c r="R185" s="10"/>
      <c r="S185" s="10"/>
      <c r="T185" s="10"/>
      <c r="U185" s="10"/>
      <c r="V185" s="10"/>
    </row>
    <row r="186">
      <c r="A186" s="10"/>
      <c r="B186" s="10"/>
      <c r="C186" s="10"/>
      <c r="D186" s="10"/>
      <c r="E186" s="10"/>
      <c r="F186" s="10"/>
      <c r="G186" s="10"/>
      <c r="I186" s="10"/>
      <c r="J186" s="10"/>
      <c r="K186" s="10"/>
      <c r="L186" s="10"/>
      <c r="M186" s="10" t="str">
        <f>ifna(VLOOKUP('acft-exerc'!$M186,FIX!$A$2:$D1000,4, false),"")</f>
        <v/>
      </c>
      <c r="N186" s="10"/>
      <c r="O186" s="10"/>
      <c r="P186" s="10"/>
      <c r="Q186" s="10"/>
      <c r="R186" s="10"/>
      <c r="S186" s="10"/>
      <c r="T186" s="10"/>
      <c r="U186" s="10"/>
      <c r="V186" s="10"/>
    </row>
    <row r="187">
      <c r="A187" s="10"/>
      <c r="B187" s="10"/>
      <c r="C187" s="10"/>
      <c r="D187" s="10"/>
      <c r="E187" s="10"/>
      <c r="F187" s="10"/>
      <c r="G187" s="10"/>
      <c r="I187" s="10"/>
      <c r="J187" s="10"/>
      <c r="K187" s="10"/>
      <c r="L187" s="10"/>
      <c r="M187" s="10" t="str">
        <f>ifna(VLOOKUP('acft-exerc'!$M187,FIX!$A$2:$D1000,4, false),"")</f>
        <v/>
      </c>
      <c r="N187" s="10"/>
      <c r="O187" s="10"/>
      <c r="P187" s="10"/>
      <c r="Q187" s="10"/>
      <c r="R187" s="10"/>
      <c r="S187" s="10"/>
      <c r="T187" s="10"/>
      <c r="U187" s="10"/>
      <c r="V187" s="10"/>
    </row>
    <row r="188">
      <c r="A188" s="10"/>
      <c r="B188" s="10"/>
      <c r="C188" s="10"/>
      <c r="D188" s="10"/>
      <c r="E188" s="10"/>
      <c r="F188" s="10"/>
      <c r="G188" s="10"/>
      <c r="I188" s="10"/>
      <c r="J188" s="10"/>
      <c r="K188" s="10"/>
      <c r="L188" s="10"/>
      <c r="M188" s="10" t="str">
        <f>ifna(VLOOKUP('acft-exerc'!$M188,FIX!$A$2:$D1000,4, false),"")</f>
        <v/>
      </c>
      <c r="N188" s="10"/>
      <c r="O188" s="10"/>
      <c r="P188" s="10"/>
      <c r="Q188" s="10"/>
      <c r="R188" s="10"/>
      <c r="S188" s="10"/>
      <c r="T188" s="10"/>
      <c r="U188" s="10"/>
      <c r="V188" s="10"/>
    </row>
    <row r="189">
      <c r="A189" s="10"/>
      <c r="B189" s="10"/>
      <c r="C189" s="10"/>
      <c r="D189" s="10"/>
      <c r="E189" s="10"/>
      <c r="F189" s="10"/>
      <c r="G189" s="10"/>
      <c r="I189" s="10"/>
      <c r="J189" s="10"/>
      <c r="K189" s="10"/>
      <c r="L189" s="10"/>
      <c r="M189" s="10" t="str">
        <f>ifna(VLOOKUP('acft-exerc'!$M189,FIX!$A$2:$D1000,4, false),"")</f>
        <v/>
      </c>
      <c r="N189" s="10"/>
      <c r="O189" s="10"/>
      <c r="P189" s="10"/>
      <c r="Q189" s="10"/>
      <c r="R189" s="10"/>
      <c r="S189" s="10"/>
      <c r="T189" s="10"/>
      <c r="U189" s="10"/>
      <c r="V189" s="10"/>
    </row>
    <row r="190">
      <c r="A190" s="10"/>
      <c r="B190" s="10"/>
      <c r="C190" s="10"/>
      <c r="D190" s="10"/>
      <c r="E190" s="10"/>
      <c r="F190" s="10"/>
      <c r="G190" s="10"/>
      <c r="I190" s="10"/>
      <c r="J190" s="10"/>
      <c r="K190" s="10"/>
      <c r="L190" s="10"/>
      <c r="M190" s="10" t="str">
        <f>ifna(VLOOKUP('acft-exerc'!$M190,FIX!$A$2:$D1000,4, false),"")</f>
        <v/>
      </c>
      <c r="N190" s="10"/>
      <c r="O190" s="10"/>
      <c r="P190" s="10"/>
      <c r="Q190" s="10"/>
      <c r="R190" s="10"/>
      <c r="S190" s="10"/>
      <c r="T190" s="10"/>
      <c r="U190" s="10"/>
      <c r="V190" s="10"/>
    </row>
    <row r="191">
      <c r="A191" s="10"/>
      <c r="B191" s="10"/>
      <c r="C191" s="10"/>
      <c r="D191" s="10"/>
      <c r="E191" s="10"/>
      <c r="F191" s="10"/>
      <c r="G191" s="10"/>
      <c r="I191" s="10"/>
      <c r="J191" s="10"/>
      <c r="K191" s="10"/>
      <c r="L191" s="10"/>
      <c r="M191" s="10" t="str">
        <f>ifna(VLOOKUP('acft-exerc'!$M191,FIX!$A$2:$D1000,4, false),"")</f>
        <v/>
      </c>
      <c r="N191" s="10"/>
      <c r="O191" s="10"/>
      <c r="P191" s="10"/>
      <c r="Q191" s="10"/>
      <c r="R191" s="10"/>
      <c r="S191" s="10"/>
      <c r="T191" s="10"/>
      <c r="U191" s="10"/>
      <c r="V191" s="10"/>
    </row>
    <row r="192">
      <c r="A192" s="10"/>
      <c r="B192" s="10"/>
      <c r="C192" s="10"/>
      <c r="D192" s="10"/>
      <c r="E192" s="10"/>
      <c r="F192" s="10"/>
      <c r="G192" s="10"/>
      <c r="I192" s="10"/>
      <c r="J192" s="10"/>
      <c r="K192" s="10"/>
      <c r="L192" s="10"/>
      <c r="M192" s="10" t="str">
        <f>ifna(VLOOKUP('acft-exerc'!$M192,FIX!$A$2:$D1000,4, false),"")</f>
        <v/>
      </c>
      <c r="N192" s="10"/>
      <c r="O192" s="10"/>
      <c r="P192" s="10"/>
      <c r="Q192" s="10"/>
      <c r="R192" s="10"/>
      <c r="S192" s="10"/>
      <c r="T192" s="10"/>
      <c r="U192" s="10"/>
      <c r="V192" s="10"/>
    </row>
    <row r="193">
      <c r="A193" s="10"/>
      <c r="B193" s="10"/>
      <c r="C193" s="10"/>
      <c r="D193" s="10"/>
      <c r="E193" s="10"/>
      <c r="F193" s="10"/>
      <c r="G193" s="10"/>
      <c r="I193" s="10"/>
      <c r="J193" s="10"/>
      <c r="K193" s="10"/>
      <c r="L193" s="10"/>
      <c r="M193" s="10" t="str">
        <f>ifna(VLOOKUP('acft-exerc'!$M193,FIX!$A$2:$D1000,4, false),"")</f>
        <v/>
      </c>
      <c r="N193" s="10"/>
      <c r="O193" s="10"/>
      <c r="P193" s="10"/>
      <c r="Q193" s="10"/>
      <c r="R193" s="10"/>
      <c r="S193" s="10"/>
      <c r="T193" s="10"/>
      <c r="U193" s="10"/>
      <c r="V193" s="10"/>
    </row>
    <row r="194">
      <c r="A194" s="10"/>
      <c r="B194" s="10"/>
      <c r="C194" s="10"/>
      <c r="D194" s="10"/>
      <c r="E194" s="10"/>
      <c r="F194" s="10"/>
      <c r="G194" s="10"/>
      <c r="I194" s="10"/>
      <c r="J194" s="10"/>
      <c r="K194" s="10"/>
      <c r="L194" s="10"/>
      <c r="M194" s="10" t="str">
        <f>ifna(VLOOKUP('acft-exerc'!$M194,FIX!$A$2:$D1000,4, false),"")</f>
        <v/>
      </c>
      <c r="N194" s="10"/>
      <c r="O194" s="10"/>
      <c r="P194" s="10"/>
      <c r="Q194" s="10"/>
      <c r="R194" s="10"/>
      <c r="S194" s="10"/>
      <c r="T194" s="10"/>
      <c r="U194" s="10"/>
      <c r="V194" s="10"/>
    </row>
    <row r="195">
      <c r="A195" s="10"/>
      <c r="B195" s="10"/>
      <c r="C195" s="10"/>
      <c r="D195" s="10"/>
      <c r="E195" s="10"/>
      <c r="F195" s="10"/>
      <c r="G195" s="10"/>
      <c r="I195" s="10"/>
      <c r="J195" s="10"/>
      <c r="K195" s="10"/>
      <c r="L195" s="10"/>
      <c r="M195" s="10" t="str">
        <f>ifna(VLOOKUP('acft-exerc'!$M195,FIX!$A$2:$D1000,4, false),"")</f>
        <v/>
      </c>
      <c r="N195" s="10"/>
      <c r="O195" s="10"/>
      <c r="P195" s="10"/>
      <c r="Q195" s="10"/>
      <c r="R195" s="10"/>
      <c r="S195" s="10"/>
      <c r="T195" s="10"/>
      <c r="U195" s="10"/>
      <c r="V195" s="10"/>
    </row>
    <row r="196">
      <c r="A196" s="10"/>
      <c r="B196" s="10"/>
      <c r="C196" s="10"/>
      <c r="D196" s="10"/>
      <c r="E196" s="10"/>
      <c r="F196" s="10"/>
      <c r="G196" s="10"/>
      <c r="I196" s="10"/>
      <c r="J196" s="10"/>
      <c r="K196" s="10"/>
      <c r="L196" s="10"/>
      <c r="M196" s="10" t="str">
        <f>ifna(VLOOKUP('acft-exerc'!$M196,FIX!$A$2:$D1000,4, false),"")</f>
        <v/>
      </c>
      <c r="N196" s="10"/>
      <c r="O196" s="10"/>
      <c r="P196" s="10"/>
      <c r="Q196" s="10"/>
      <c r="R196" s="10"/>
      <c r="S196" s="10"/>
      <c r="T196" s="10"/>
      <c r="U196" s="10"/>
      <c r="V196" s="10"/>
    </row>
    <row r="197">
      <c r="A197" s="10"/>
      <c r="B197" s="10"/>
      <c r="C197" s="10"/>
      <c r="D197" s="10"/>
      <c r="E197" s="10"/>
      <c r="F197" s="10"/>
      <c r="G197" s="10"/>
      <c r="I197" s="10"/>
      <c r="J197" s="10"/>
      <c r="K197" s="10"/>
      <c r="L197" s="10"/>
      <c r="M197" s="10" t="str">
        <f>ifna(VLOOKUP('acft-exerc'!$M197,FIX!$A$2:$D1000,4, false),"")</f>
        <v/>
      </c>
      <c r="N197" s="10"/>
      <c r="O197" s="10"/>
      <c r="P197" s="10"/>
      <c r="Q197" s="10"/>
      <c r="R197" s="10"/>
      <c r="S197" s="10"/>
      <c r="T197" s="10"/>
      <c r="U197" s="10"/>
      <c r="V197" s="10"/>
    </row>
    <row r="198">
      <c r="A198" s="10"/>
      <c r="B198" s="10"/>
      <c r="C198" s="10"/>
      <c r="D198" s="10"/>
      <c r="E198" s="10"/>
      <c r="F198" s="10"/>
      <c r="G198" s="10"/>
      <c r="I198" s="10"/>
      <c r="J198" s="10"/>
      <c r="K198" s="10"/>
      <c r="L198" s="10"/>
      <c r="M198" s="10" t="str">
        <f>ifna(VLOOKUP('acft-exerc'!$M198,FIX!$A$2:$D1000,4, false),"")</f>
        <v/>
      </c>
      <c r="N198" s="10"/>
      <c r="O198" s="10"/>
      <c r="P198" s="10"/>
      <c r="Q198" s="10"/>
      <c r="R198" s="10"/>
      <c r="S198" s="10"/>
      <c r="T198" s="10"/>
      <c r="U198" s="10"/>
      <c r="V198" s="10"/>
    </row>
    <row r="199">
      <c r="A199" s="10"/>
      <c r="B199" s="10"/>
      <c r="C199" s="10"/>
      <c r="D199" s="10"/>
      <c r="E199" s="10"/>
      <c r="F199" s="10"/>
      <c r="G199" s="10"/>
      <c r="I199" s="10"/>
      <c r="J199" s="10"/>
      <c r="K199" s="10"/>
      <c r="L199" s="10"/>
      <c r="M199" s="10" t="str">
        <f>ifna(VLOOKUP('acft-exerc'!$M199,FIX!$A$2:$D1000,4, false),"")</f>
        <v/>
      </c>
      <c r="N199" s="10"/>
      <c r="O199" s="10"/>
      <c r="P199" s="10"/>
      <c r="Q199" s="10"/>
      <c r="R199" s="10"/>
      <c r="S199" s="10"/>
      <c r="T199" s="10"/>
      <c r="U199" s="10"/>
      <c r="V199" s="10"/>
    </row>
    <row r="200">
      <c r="A200" s="10"/>
      <c r="B200" s="10"/>
      <c r="C200" s="10"/>
      <c r="D200" s="10"/>
      <c r="E200" s="10"/>
      <c r="F200" s="10"/>
      <c r="G200" s="10"/>
      <c r="I200" s="10"/>
      <c r="J200" s="10"/>
      <c r="K200" s="10"/>
      <c r="L200" s="10"/>
      <c r="M200" s="10" t="str">
        <f>ifna(VLOOKUP('acft-exerc'!$M200,FIX!$A$2:$D1000,4, false),"")</f>
        <v/>
      </c>
      <c r="N200" s="10"/>
      <c r="O200" s="10"/>
      <c r="P200" s="10"/>
      <c r="Q200" s="10"/>
      <c r="R200" s="10"/>
      <c r="S200" s="10"/>
      <c r="T200" s="10"/>
      <c r="U200" s="10"/>
      <c r="V200" s="10"/>
    </row>
    <row r="201">
      <c r="A201" s="10"/>
      <c r="B201" s="10"/>
      <c r="C201" s="10"/>
      <c r="D201" s="10"/>
      <c r="E201" s="10"/>
      <c r="F201" s="10"/>
      <c r="G201" s="10"/>
      <c r="I201" s="10"/>
      <c r="J201" s="10"/>
      <c r="K201" s="10"/>
      <c r="L201" s="10"/>
      <c r="M201" s="10" t="str">
        <f>ifna(VLOOKUP('acft-exerc'!$M201,FIX!$A$2:$D1000,4, false),"")</f>
        <v/>
      </c>
      <c r="N201" s="10"/>
      <c r="O201" s="10"/>
      <c r="P201" s="10"/>
      <c r="Q201" s="10"/>
      <c r="R201" s="10"/>
      <c r="S201" s="10"/>
      <c r="T201" s="10"/>
      <c r="U201" s="10"/>
      <c r="V201" s="10"/>
    </row>
    <row r="202">
      <c r="A202" s="10"/>
      <c r="B202" s="10"/>
      <c r="C202" s="10"/>
      <c r="D202" s="10"/>
      <c r="E202" s="10"/>
      <c r="F202" s="10"/>
      <c r="G202" s="10"/>
      <c r="I202" s="10"/>
      <c r="J202" s="10"/>
      <c r="K202" s="10"/>
      <c r="L202" s="10"/>
      <c r="M202" s="10" t="str">
        <f>ifna(VLOOKUP('acft-exerc'!$M202,FIX!$A$2:$D1000,4, false),"")</f>
        <v/>
      </c>
      <c r="N202" s="10"/>
      <c r="O202" s="10"/>
      <c r="P202" s="10"/>
      <c r="Q202" s="10"/>
      <c r="R202" s="10"/>
      <c r="S202" s="10"/>
      <c r="T202" s="10"/>
      <c r="U202" s="10"/>
      <c r="V202" s="10"/>
    </row>
    <row r="203">
      <c r="A203" s="10"/>
      <c r="B203" s="10"/>
      <c r="C203" s="10"/>
      <c r="D203" s="10"/>
      <c r="E203" s="10"/>
      <c r="F203" s="10"/>
      <c r="G203" s="10"/>
      <c r="I203" s="10"/>
      <c r="J203" s="10"/>
      <c r="K203" s="10"/>
      <c r="L203" s="10"/>
      <c r="M203" s="10" t="str">
        <f>ifna(VLOOKUP('acft-exerc'!$M203,FIX!$A$2:$D1000,4, false),"")</f>
        <v/>
      </c>
      <c r="N203" s="10"/>
      <c r="O203" s="10"/>
      <c r="P203" s="10"/>
      <c r="Q203" s="10"/>
      <c r="R203" s="10"/>
      <c r="S203" s="10"/>
      <c r="T203" s="10"/>
      <c r="U203" s="10"/>
      <c r="V203" s="10"/>
    </row>
    <row r="204">
      <c r="A204" s="10"/>
      <c r="B204" s="10"/>
      <c r="C204" s="10"/>
      <c r="D204" s="10"/>
      <c r="E204" s="10"/>
      <c r="F204" s="10"/>
      <c r="G204" s="10"/>
      <c r="I204" s="10"/>
      <c r="J204" s="10"/>
      <c r="K204" s="10"/>
      <c r="L204" s="10"/>
      <c r="M204" s="10" t="str">
        <f>ifna(VLOOKUP('acft-exerc'!$M204,FIX!$A$2:$D1000,4, false),"")</f>
        <v/>
      </c>
      <c r="N204" s="10"/>
      <c r="O204" s="10"/>
      <c r="P204" s="10"/>
      <c r="Q204" s="10"/>
      <c r="R204" s="10"/>
      <c r="S204" s="10"/>
      <c r="T204" s="10"/>
      <c r="U204" s="10"/>
      <c r="V204" s="10"/>
    </row>
    <row r="205">
      <c r="A205" s="10"/>
      <c r="B205" s="10"/>
      <c r="C205" s="10"/>
      <c r="D205" s="10"/>
      <c r="E205" s="10"/>
      <c r="F205" s="10"/>
      <c r="G205" s="10"/>
      <c r="I205" s="10"/>
      <c r="J205" s="10"/>
      <c r="K205" s="10"/>
      <c r="L205" s="10"/>
      <c r="M205" s="10" t="str">
        <f>ifna(VLOOKUP('acft-exerc'!$M205,FIX!$A$2:$D1000,4, false),"")</f>
        <v/>
      </c>
      <c r="N205" s="10"/>
      <c r="O205" s="10"/>
      <c r="P205" s="10"/>
      <c r="Q205" s="10"/>
      <c r="R205" s="10"/>
      <c r="S205" s="10"/>
      <c r="T205" s="10"/>
      <c r="U205" s="10"/>
      <c r="V205" s="10"/>
    </row>
    <row r="206">
      <c r="A206" s="10"/>
      <c r="B206" s="10"/>
      <c r="C206" s="10"/>
      <c r="D206" s="10"/>
      <c r="E206" s="10"/>
      <c r="F206" s="10"/>
      <c r="G206" s="10"/>
      <c r="I206" s="10"/>
      <c r="J206" s="10"/>
      <c r="K206" s="10"/>
      <c r="L206" s="10"/>
      <c r="M206" s="10" t="str">
        <f>ifna(VLOOKUP('acft-exerc'!$M206,FIX!$A$2:$D1000,4, false),"")</f>
        <v/>
      </c>
      <c r="N206" s="10"/>
      <c r="O206" s="10"/>
      <c r="P206" s="10"/>
      <c r="Q206" s="10"/>
      <c r="R206" s="10"/>
      <c r="S206" s="10"/>
      <c r="T206" s="10"/>
      <c r="U206" s="10"/>
      <c r="V206" s="10"/>
    </row>
    <row r="207">
      <c r="A207" s="10"/>
      <c r="B207" s="10"/>
      <c r="C207" s="10"/>
      <c r="D207" s="10"/>
      <c r="E207" s="10"/>
      <c r="F207" s="10"/>
      <c r="G207" s="10"/>
      <c r="I207" s="10"/>
      <c r="J207" s="10"/>
      <c r="K207" s="10"/>
      <c r="L207" s="10"/>
      <c r="M207" s="10" t="str">
        <f>ifna(VLOOKUP('acft-exerc'!$M207,FIX!$A$2:$D1000,4, false),"")</f>
        <v/>
      </c>
      <c r="N207" s="10"/>
      <c r="O207" s="10"/>
      <c r="P207" s="10"/>
      <c r="Q207" s="10"/>
      <c r="R207" s="10"/>
      <c r="S207" s="10"/>
      <c r="T207" s="10"/>
      <c r="U207" s="10"/>
      <c r="V207" s="10"/>
    </row>
    <row r="208">
      <c r="A208" s="10"/>
      <c r="B208" s="10"/>
      <c r="C208" s="10"/>
      <c r="D208" s="10"/>
      <c r="E208" s="10"/>
      <c r="F208" s="10"/>
      <c r="G208" s="10"/>
      <c r="I208" s="10"/>
      <c r="J208" s="10"/>
      <c r="K208" s="10"/>
      <c r="L208" s="10"/>
      <c r="M208" s="10" t="str">
        <f>ifna(VLOOKUP('acft-exerc'!$M208,FIX!$A$2:$D1000,4, false),"")</f>
        <v/>
      </c>
      <c r="N208" s="10"/>
      <c r="O208" s="10"/>
      <c r="P208" s="10"/>
      <c r="Q208" s="10"/>
      <c r="R208" s="10"/>
      <c r="S208" s="10"/>
      <c r="T208" s="10"/>
      <c r="U208" s="10"/>
      <c r="V208" s="10"/>
    </row>
    <row r="209">
      <c r="A209" s="10"/>
      <c r="B209" s="10"/>
      <c r="C209" s="10"/>
      <c r="D209" s="10"/>
      <c r="E209" s="10"/>
      <c r="F209" s="10"/>
      <c r="G209" s="10"/>
      <c r="I209" s="10"/>
      <c r="J209" s="10"/>
      <c r="K209" s="10"/>
      <c r="L209" s="10"/>
      <c r="M209" s="10" t="str">
        <f>ifna(VLOOKUP('acft-exerc'!$M209,FIX!$A$2:$D1000,4, false),"")</f>
        <v/>
      </c>
      <c r="N209" s="10"/>
      <c r="O209" s="10"/>
      <c r="P209" s="10"/>
      <c r="Q209" s="10"/>
      <c r="R209" s="10"/>
      <c r="S209" s="10"/>
      <c r="T209" s="10"/>
      <c r="U209" s="10"/>
      <c r="V209" s="10"/>
    </row>
    <row r="210">
      <c r="A210" s="10"/>
      <c r="B210" s="10"/>
      <c r="C210" s="10"/>
      <c r="D210" s="10"/>
      <c r="E210" s="10"/>
      <c r="F210" s="10"/>
      <c r="G210" s="10"/>
      <c r="I210" s="10"/>
      <c r="J210" s="10"/>
      <c r="K210" s="10"/>
      <c r="L210" s="10"/>
      <c r="M210" s="10" t="str">
        <f>ifna(VLOOKUP('acft-exerc'!$M210,FIX!$A$2:$D1000,4, false),"")</f>
        <v/>
      </c>
      <c r="N210" s="10"/>
      <c r="O210" s="10"/>
      <c r="P210" s="10"/>
      <c r="Q210" s="10"/>
      <c r="R210" s="10"/>
      <c r="S210" s="10"/>
      <c r="T210" s="10"/>
      <c r="U210" s="10"/>
      <c r="V210" s="10"/>
    </row>
    <row r="211">
      <c r="A211" s="10"/>
      <c r="B211" s="10"/>
      <c r="C211" s="10"/>
      <c r="D211" s="10"/>
      <c r="E211" s="10"/>
      <c r="F211" s="10"/>
      <c r="G211" s="10"/>
      <c r="I211" s="10"/>
      <c r="J211" s="10"/>
      <c r="K211" s="10"/>
      <c r="L211" s="10"/>
      <c r="M211" s="10" t="str">
        <f>ifna(VLOOKUP('acft-exerc'!$M211,FIX!$A$2:$D1000,4, false),"")</f>
        <v/>
      </c>
      <c r="N211" s="10"/>
      <c r="O211" s="10"/>
      <c r="P211" s="10"/>
      <c r="Q211" s="10"/>
      <c r="R211" s="10"/>
      <c r="S211" s="10"/>
      <c r="T211" s="10"/>
      <c r="U211" s="10"/>
      <c r="V211" s="10"/>
    </row>
    <row r="212">
      <c r="A212" s="10"/>
      <c r="B212" s="10"/>
      <c r="C212" s="10"/>
      <c r="D212" s="10"/>
      <c r="E212" s="10"/>
      <c r="F212" s="10"/>
      <c r="G212" s="10"/>
      <c r="I212" s="10"/>
      <c r="J212" s="10"/>
      <c r="K212" s="10"/>
      <c r="L212" s="10"/>
      <c r="M212" s="10" t="str">
        <f>ifna(VLOOKUP('acft-exerc'!$M212,FIX!$A$2:$D1000,4, false),"")</f>
        <v/>
      </c>
      <c r="N212" s="10"/>
      <c r="O212" s="10"/>
      <c r="P212" s="10"/>
      <c r="Q212" s="10"/>
      <c r="R212" s="10"/>
      <c r="S212" s="10"/>
      <c r="T212" s="10"/>
      <c r="U212" s="10"/>
      <c r="V212" s="10"/>
    </row>
    <row r="213">
      <c r="A213" s="10"/>
      <c r="B213" s="10"/>
      <c r="C213" s="10"/>
      <c r="D213" s="10"/>
      <c r="E213" s="10"/>
      <c r="F213" s="10"/>
      <c r="G213" s="10"/>
      <c r="I213" s="10"/>
      <c r="J213" s="10"/>
      <c r="K213" s="10"/>
      <c r="L213" s="10"/>
      <c r="M213" s="10" t="str">
        <f>ifna(VLOOKUP('acft-exerc'!$M213,FIX!$A$2:$D1000,4, false),"")</f>
        <v/>
      </c>
      <c r="N213" s="10"/>
      <c r="O213" s="10"/>
      <c r="P213" s="10"/>
      <c r="Q213" s="10"/>
      <c r="R213" s="10"/>
      <c r="S213" s="10"/>
      <c r="T213" s="10"/>
      <c r="U213" s="10"/>
      <c r="V213" s="10"/>
    </row>
    <row r="214">
      <c r="A214" s="10"/>
      <c r="B214" s="10"/>
      <c r="C214" s="10"/>
      <c r="D214" s="10"/>
      <c r="E214" s="10"/>
      <c r="F214" s="10"/>
      <c r="G214" s="10"/>
      <c r="I214" s="10"/>
      <c r="J214" s="10"/>
      <c r="K214" s="10"/>
      <c r="L214" s="10"/>
      <c r="M214" s="10" t="str">
        <f>ifna(VLOOKUP('acft-exerc'!$M214,FIX!$A$2:$D1000,4, false),"")</f>
        <v/>
      </c>
      <c r="N214" s="10"/>
      <c r="O214" s="10"/>
      <c r="P214" s="10"/>
      <c r="Q214" s="10"/>
      <c r="R214" s="10"/>
      <c r="S214" s="10"/>
      <c r="T214" s="10"/>
      <c r="U214" s="10"/>
      <c r="V214" s="10"/>
    </row>
    <row r="215">
      <c r="A215" s="10"/>
      <c r="B215" s="10"/>
      <c r="C215" s="10"/>
      <c r="D215" s="10"/>
      <c r="E215" s="10"/>
      <c r="F215" s="10"/>
      <c r="G215" s="10"/>
      <c r="I215" s="10"/>
      <c r="J215" s="10"/>
      <c r="K215" s="10"/>
      <c r="L215" s="10"/>
      <c r="M215" s="10" t="str">
        <f>ifna(VLOOKUP('acft-exerc'!$M215,FIX!$A$2:$D1000,4, false),"")</f>
        <v/>
      </c>
      <c r="N215" s="10"/>
      <c r="O215" s="10"/>
      <c r="P215" s="10"/>
      <c r="Q215" s="10"/>
      <c r="R215" s="10"/>
      <c r="S215" s="10"/>
      <c r="T215" s="10"/>
      <c r="U215" s="10"/>
      <c r="V215" s="10"/>
    </row>
    <row r="216">
      <c r="A216" s="10"/>
      <c r="B216" s="10"/>
      <c r="C216" s="10"/>
      <c r="D216" s="10"/>
      <c r="E216" s="10"/>
      <c r="F216" s="10"/>
      <c r="G216" s="10"/>
      <c r="I216" s="10"/>
      <c r="J216" s="10"/>
      <c r="K216" s="10"/>
      <c r="L216" s="10"/>
      <c r="M216" s="10" t="str">
        <f>ifna(VLOOKUP('acft-exerc'!$M216,FIX!$A$2:$D1000,4, false),"")</f>
        <v/>
      </c>
      <c r="N216" s="10"/>
      <c r="O216" s="10"/>
      <c r="P216" s="10"/>
      <c r="Q216" s="10"/>
      <c r="R216" s="10"/>
      <c r="S216" s="10"/>
      <c r="T216" s="10"/>
      <c r="U216" s="10"/>
      <c r="V216" s="10"/>
    </row>
    <row r="217">
      <c r="A217" s="10"/>
      <c r="B217" s="10"/>
      <c r="C217" s="10"/>
      <c r="D217" s="10"/>
      <c r="E217" s="10"/>
      <c r="F217" s="10"/>
      <c r="G217" s="10"/>
      <c r="I217" s="10"/>
      <c r="J217" s="10"/>
      <c r="K217" s="10"/>
      <c r="L217" s="10"/>
      <c r="M217" s="10" t="str">
        <f>ifna(VLOOKUP('acft-exerc'!$M217,FIX!$A$2:$D1000,4, false),"")</f>
        <v/>
      </c>
      <c r="N217" s="10"/>
      <c r="O217" s="10"/>
      <c r="P217" s="10"/>
      <c r="Q217" s="10"/>
      <c r="R217" s="10"/>
      <c r="S217" s="10"/>
      <c r="T217" s="10"/>
      <c r="U217" s="10"/>
      <c r="V217" s="10"/>
    </row>
    <row r="218">
      <c r="A218" s="10"/>
      <c r="B218" s="10"/>
      <c r="C218" s="10"/>
      <c r="D218" s="10"/>
      <c r="E218" s="10"/>
      <c r="F218" s="10"/>
      <c r="G218" s="10"/>
      <c r="I218" s="10"/>
      <c r="J218" s="10"/>
      <c r="K218" s="10"/>
      <c r="L218" s="10"/>
      <c r="M218" s="10" t="str">
        <f>ifna(VLOOKUP('acft-exerc'!$M218,FIX!$A$2:$D1000,4, false),"")</f>
        <v/>
      </c>
      <c r="N218" s="10"/>
      <c r="O218" s="10"/>
      <c r="P218" s="10"/>
      <c r="Q218" s="10"/>
      <c r="R218" s="10"/>
      <c r="S218" s="10"/>
      <c r="T218" s="10"/>
      <c r="U218" s="10"/>
      <c r="V218" s="10"/>
    </row>
    <row r="219">
      <c r="A219" s="10"/>
      <c r="B219" s="10"/>
      <c r="C219" s="10"/>
      <c r="D219" s="10"/>
      <c r="E219" s="10"/>
      <c r="F219" s="10"/>
      <c r="G219" s="10"/>
      <c r="I219" s="10"/>
      <c r="J219" s="10"/>
      <c r="K219" s="10"/>
      <c r="L219" s="10"/>
      <c r="M219" s="10" t="str">
        <f>ifna(VLOOKUP('acft-exerc'!$M219,FIX!$A$2:$D1000,4, false),"")</f>
        <v/>
      </c>
      <c r="N219" s="10"/>
      <c r="O219" s="10"/>
      <c r="P219" s="10"/>
      <c r="Q219" s="10"/>
      <c r="R219" s="10"/>
      <c r="S219" s="10"/>
      <c r="T219" s="10"/>
      <c r="U219" s="10"/>
      <c r="V219" s="10"/>
    </row>
    <row r="220">
      <c r="A220" s="10"/>
      <c r="B220" s="10"/>
      <c r="C220" s="10"/>
      <c r="D220" s="10"/>
      <c r="E220" s="10"/>
      <c r="F220" s="10"/>
      <c r="G220" s="10"/>
      <c r="I220" s="10"/>
      <c r="J220" s="10"/>
      <c r="K220" s="10"/>
      <c r="L220" s="10"/>
      <c r="M220" s="10" t="str">
        <f>ifna(VLOOKUP('acft-exerc'!$M220,FIX!$A$2:$D1000,4, false),"")</f>
        <v/>
      </c>
      <c r="N220" s="10"/>
      <c r="O220" s="10"/>
      <c r="P220" s="10"/>
      <c r="Q220" s="10"/>
      <c r="R220" s="10"/>
      <c r="S220" s="10"/>
      <c r="T220" s="10"/>
      <c r="U220" s="10"/>
      <c r="V220" s="10"/>
    </row>
    <row r="221">
      <c r="A221" s="10"/>
      <c r="B221" s="10"/>
      <c r="C221" s="10"/>
      <c r="D221" s="10"/>
      <c r="E221" s="10"/>
      <c r="F221" s="10"/>
      <c r="G221" s="10"/>
      <c r="I221" s="10"/>
      <c r="J221" s="10"/>
      <c r="K221" s="10"/>
      <c r="L221" s="10"/>
      <c r="M221" s="10" t="str">
        <f>ifna(VLOOKUP('acft-exerc'!$M221,FIX!$A$2:$D1000,4, false),"")</f>
        <v/>
      </c>
      <c r="N221" s="10"/>
      <c r="O221" s="10"/>
      <c r="P221" s="10"/>
      <c r="Q221" s="10"/>
      <c r="R221" s="10"/>
      <c r="S221" s="10"/>
      <c r="T221" s="10"/>
      <c r="U221" s="10"/>
      <c r="V221" s="10"/>
    </row>
    <row r="222">
      <c r="A222" s="10"/>
      <c r="B222" s="10"/>
      <c r="C222" s="10"/>
      <c r="D222" s="10"/>
      <c r="E222" s="10"/>
      <c r="F222" s="10"/>
      <c r="G222" s="10"/>
      <c r="I222" s="10"/>
      <c r="J222" s="10"/>
      <c r="K222" s="10"/>
      <c r="L222" s="10"/>
      <c r="M222" s="10" t="str">
        <f>ifna(VLOOKUP('acft-exerc'!$M222,FIX!$A$2:$D1000,4, false),"")</f>
        <v/>
      </c>
      <c r="N222" s="10"/>
      <c r="O222" s="10"/>
      <c r="P222" s="10"/>
      <c r="Q222" s="10"/>
      <c r="R222" s="10"/>
      <c r="S222" s="10"/>
      <c r="T222" s="10"/>
      <c r="U222" s="10"/>
      <c r="V222" s="10"/>
    </row>
    <row r="223">
      <c r="A223" s="10"/>
      <c r="B223" s="10"/>
      <c r="C223" s="10"/>
      <c r="D223" s="10"/>
      <c r="E223" s="10"/>
      <c r="F223" s="10"/>
      <c r="G223" s="10"/>
      <c r="I223" s="10"/>
      <c r="J223" s="10"/>
      <c r="K223" s="10"/>
      <c r="L223" s="10"/>
      <c r="M223" s="10" t="str">
        <f>ifna(VLOOKUP('acft-exerc'!$M223,FIX!$A$2:$D1000,4, false),"")</f>
        <v/>
      </c>
      <c r="N223" s="10"/>
      <c r="O223" s="10"/>
      <c r="P223" s="10"/>
      <c r="Q223" s="10"/>
      <c r="R223" s="10"/>
      <c r="S223" s="10"/>
      <c r="T223" s="10"/>
      <c r="U223" s="10"/>
      <c r="V223" s="10"/>
    </row>
    <row r="224">
      <c r="A224" s="10"/>
      <c r="B224" s="10"/>
      <c r="C224" s="10"/>
      <c r="D224" s="10"/>
      <c r="E224" s="10"/>
      <c r="F224" s="10"/>
      <c r="G224" s="10"/>
      <c r="I224" s="10"/>
      <c r="J224" s="10"/>
      <c r="K224" s="10"/>
      <c r="L224" s="10"/>
      <c r="M224" s="10" t="str">
        <f>ifna(VLOOKUP('acft-exerc'!$M224,FIX!$A$2:$D1000,4, false),"")</f>
        <v/>
      </c>
      <c r="N224" s="10"/>
      <c r="O224" s="10"/>
      <c r="P224" s="10"/>
      <c r="Q224" s="10"/>
      <c r="R224" s="10"/>
      <c r="S224" s="10"/>
      <c r="T224" s="10"/>
      <c r="U224" s="10"/>
      <c r="V224" s="10"/>
    </row>
    <row r="225">
      <c r="A225" s="10"/>
      <c r="B225" s="10"/>
      <c r="C225" s="10"/>
      <c r="D225" s="10"/>
      <c r="E225" s="10"/>
      <c r="F225" s="10"/>
      <c r="G225" s="10"/>
      <c r="I225" s="10"/>
      <c r="J225" s="10"/>
      <c r="K225" s="10"/>
      <c r="L225" s="10"/>
      <c r="M225" s="10" t="str">
        <f>ifna(VLOOKUP('acft-exerc'!$M225,FIX!$A$2:$D1000,4, false),"")</f>
        <v/>
      </c>
      <c r="N225" s="10"/>
      <c r="O225" s="10"/>
      <c r="P225" s="10"/>
      <c r="Q225" s="10"/>
      <c r="R225" s="10"/>
      <c r="S225" s="10"/>
      <c r="T225" s="10"/>
      <c r="U225" s="10"/>
      <c r="V225" s="10"/>
    </row>
    <row r="226">
      <c r="A226" s="10"/>
      <c r="B226" s="10"/>
      <c r="C226" s="10"/>
      <c r="D226" s="10"/>
      <c r="E226" s="10"/>
      <c r="F226" s="10"/>
      <c r="G226" s="10"/>
      <c r="I226" s="10"/>
      <c r="J226" s="10"/>
      <c r="K226" s="10"/>
      <c r="L226" s="10"/>
      <c r="M226" s="10" t="str">
        <f>ifna(VLOOKUP('acft-exerc'!$M226,FIX!$A$2:$D1000,4, false),"")</f>
        <v/>
      </c>
      <c r="N226" s="10"/>
      <c r="O226" s="10"/>
      <c r="P226" s="10"/>
      <c r="Q226" s="10"/>
      <c r="R226" s="10"/>
      <c r="S226" s="10"/>
      <c r="T226" s="10"/>
      <c r="U226" s="10"/>
      <c r="V226" s="10"/>
    </row>
    <row r="227">
      <c r="A227" s="10"/>
      <c r="B227" s="10"/>
      <c r="C227" s="10"/>
      <c r="D227" s="10"/>
      <c r="E227" s="10"/>
      <c r="F227" s="10"/>
      <c r="G227" s="10"/>
      <c r="I227" s="10"/>
      <c r="J227" s="10"/>
      <c r="K227" s="10"/>
      <c r="L227" s="10"/>
      <c r="M227" s="10" t="str">
        <f>ifna(VLOOKUP('acft-exerc'!$M227,FIX!$A$2:$D1000,4, false),"")</f>
        <v/>
      </c>
      <c r="N227" s="10"/>
      <c r="O227" s="10"/>
      <c r="P227" s="10"/>
      <c r="Q227" s="10"/>
      <c r="R227" s="10"/>
      <c r="S227" s="10"/>
      <c r="T227" s="10"/>
      <c r="U227" s="10"/>
      <c r="V227" s="10"/>
    </row>
    <row r="228">
      <c r="A228" s="10"/>
      <c r="B228" s="10"/>
      <c r="C228" s="10"/>
      <c r="D228" s="10"/>
      <c r="E228" s="10"/>
      <c r="F228" s="10"/>
      <c r="G228" s="10"/>
      <c r="I228" s="10"/>
      <c r="J228" s="10"/>
      <c r="K228" s="10"/>
      <c r="L228" s="10"/>
      <c r="M228" s="10" t="str">
        <f>ifna(VLOOKUP('acft-exerc'!$M228,FIX!$A$2:$D1000,4, false),"")</f>
        <v/>
      </c>
      <c r="N228" s="10"/>
      <c r="O228" s="10"/>
      <c r="P228" s="10"/>
      <c r="Q228" s="10"/>
      <c r="R228" s="10"/>
      <c r="S228" s="10"/>
      <c r="T228" s="10"/>
      <c r="U228" s="10"/>
      <c r="V228" s="10"/>
    </row>
    <row r="229">
      <c r="A229" s="10"/>
      <c r="B229" s="10"/>
      <c r="C229" s="10"/>
      <c r="D229" s="10"/>
      <c r="E229" s="10"/>
      <c r="F229" s="10"/>
      <c r="G229" s="10"/>
      <c r="I229" s="10"/>
      <c r="J229" s="10"/>
      <c r="K229" s="10"/>
      <c r="L229" s="10"/>
      <c r="M229" s="10" t="str">
        <f>ifna(VLOOKUP('acft-exerc'!$M229,FIX!$A$2:$D1000,4, false),"")</f>
        <v/>
      </c>
      <c r="N229" s="10"/>
      <c r="O229" s="10"/>
      <c r="P229" s="10"/>
      <c r="Q229" s="10"/>
      <c r="R229" s="10"/>
      <c r="S229" s="10"/>
      <c r="T229" s="10"/>
      <c r="U229" s="10"/>
      <c r="V229" s="10"/>
    </row>
    <row r="230">
      <c r="A230" s="10"/>
      <c r="B230" s="10"/>
      <c r="C230" s="10"/>
      <c r="D230" s="10"/>
      <c r="E230" s="10"/>
      <c r="F230" s="10"/>
      <c r="G230" s="10"/>
      <c r="I230" s="10"/>
      <c r="J230" s="10"/>
      <c r="K230" s="10"/>
      <c r="L230" s="10"/>
      <c r="M230" s="10" t="str">
        <f>ifna(VLOOKUP('acft-exerc'!$M230,FIX!$A$2:$D1000,4, false),"")</f>
        <v/>
      </c>
      <c r="N230" s="10"/>
      <c r="O230" s="10"/>
      <c r="P230" s="10"/>
      <c r="Q230" s="10"/>
      <c r="R230" s="10"/>
      <c r="S230" s="10"/>
      <c r="T230" s="10"/>
      <c r="U230" s="10"/>
      <c r="V230" s="10"/>
    </row>
    <row r="231">
      <c r="A231" s="10"/>
      <c r="B231" s="10"/>
      <c r="C231" s="10"/>
      <c r="D231" s="10"/>
      <c r="E231" s="10"/>
      <c r="F231" s="10"/>
      <c r="G231" s="10"/>
      <c r="I231" s="10"/>
      <c r="J231" s="10"/>
      <c r="K231" s="10"/>
      <c r="L231" s="10"/>
      <c r="M231" s="10" t="str">
        <f>ifna(VLOOKUP('acft-exerc'!$M231,FIX!$A$2:$D1000,4, false),"")</f>
        <v/>
      </c>
      <c r="N231" s="10"/>
      <c r="O231" s="10"/>
      <c r="P231" s="10"/>
      <c r="Q231" s="10"/>
      <c r="R231" s="10"/>
      <c r="S231" s="10"/>
      <c r="T231" s="10"/>
      <c r="U231" s="10"/>
      <c r="V231" s="10"/>
    </row>
    <row r="232">
      <c r="A232" s="10"/>
      <c r="B232" s="10"/>
      <c r="C232" s="10"/>
      <c r="D232" s="10"/>
      <c r="E232" s="10"/>
      <c r="F232" s="10"/>
      <c r="G232" s="10"/>
      <c r="I232" s="10"/>
      <c r="J232" s="10"/>
      <c r="K232" s="10"/>
      <c r="L232" s="10"/>
      <c r="M232" s="10" t="str">
        <f>ifna(VLOOKUP('acft-exerc'!$M232,FIX!$A$2:$D1000,4, false),"")</f>
        <v/>
      </c>
      <c r="N232" s="10"/>
      <c r="O232" s="10"/>
      <c r="P232" s="10"/>
      <c r="Q232" s="10"/>
      <c r="R232" s="10"/>
      <c r="S232" s="10"/>
      <c r="T232" s="10"/>
      <c r="U232" s="10"/>
      <c r="V232" s="10"/>
    </row>
    <row r="233">
      <c r="A233" s="10"/>
      <c r="B233" s="10"/>
      <c r="C233" s="10"/>
      <c r="D233" s="10"/>
      <c r="E233" s="10"/>
      <c r="F233" s="10"/>
      <c r="G233" s="10"/>
      <c r="I233" s="10"/>
      <c r="J233" s="10"/>
      <c r="K233" s="10"/>
      <c r="L233" s="10"/>
      <c r="M233" s="10" t="str">
        <f>ifna(VLOOKUP('acft-exerc'!$M233,FIX!$A$2:$D1000,4, false),"")</f>
        <v/>
      </c>
      <c r="N233" s="10"/>
      <c r="O233" s="10"/>
      <c r="P233" s="10"/>
      <c r="Q233" s="10"/>
      <c r="R233" s="10"/>
      <c r="S233" s="10"/>
      <c r="T233" s="10"/>
      <c r="U233" s="10"/>
      <c r="V233" s="10"/>
    </row>
    <row r="234">
      <c r="A234" s="10"/>
      <c r="B234" s="10"/>
      <c r="C234" s="10"/>
      <c r="D234" s="10"/>
      <c r="E234" s="10"/>
      <c r="F234" s="10"/>
      <c r="G234" s="10"/>
      <c r="I234" s="10"/>
      <c r="J234" s="10"/>
      <c r="K234" s="10"/>
      <c r="L234" s="10"/>
      <c r="M234" s="10" t="str">
        <f>ifna(VLOOKUP('acft-exerc'!$M234,FIX!$A$2:$D1000,4, false),"")</f>
        <v/>
      </c>
      <c r="N234" s="10"/>
      <c r="O234" s="10"/>
      <c r="P234" s="10"/>
      <c r="Q234" s="10"/>
      <c r="R234" s="10"/>
      <c r="S234" s="10"/>
      <c r="T234" s="10"/>
      <c r="U234" s="10"/>
      <c r="V234" s="10"/>
    </row>
    <row r="235">
      <c r="A235" s="10"/>
      <c r="B235" s="10"/>
      <c r="C235" s="10"/>
      <c r="D235" s="10"/>
      <c r="E235" s="10"/>
      <c r="F235" s="10"/>
      <c r="G235" s="10"/>
      <c r="I235" s="10"/>
      <c r="J235" s="10"/>
      <c r="K235" s="10"/>
      <c r="L235" s="10"/>
      <c r="M235" s="10" t="str">
        <f>ifna(VLOOKUP('acft-exerc'!$M235,FIX!$A$2:$D1000,4, false),"")</f>
        <v/>
      </c>
      <c r="N235" s="10"/>
      <c r="O235" s="10"/>
      <c r="P235" s="10"/>
      <c r="Q235" s="10"/>
      <c r="R235" s="10"/>
      <c r="S235" s="10"/>
      <c r="T235" s="10"/>
      <c r="U235" s="10"/>
      <c r="V235" s="10"/>
    </row>
    <row r="236">
      <c r="A236" s="10"/>
      <c r="B236" s="10"/>
      <c r="C236" s="10"/>
      <c r="D236" s="10"/>
      <c r="E236" s="10"/>
      <c r="F236" s="10"/>
      <c r="G236" s="10"/>
      <c r="I236" s="10"/>
      <c r="J236" s="10"/>
      <c r="K236" s="10"/>
      <c r="L236" s="10"/>
      <c r="M236" s="10" t="str">
        <f>ifna(VLOOKUP('acft-exerc'!$M236,FIX!$A$2:$D1000,4, false),"")</f>
        <v/>
      </c>
      <c r="N236" s="10"/>
      <c r="O236" s="10"/>
      <c r="P236" s="10"/>
      <c r="Q236" s="10"/>
      <c r="R236" s="10"/>
      <c r="S236" s="10"/>
      <c r="T236" s="10"/>
      <c r="U236" s="10"/>
      <c r="V236" s="10"/>
    </row>
    <row r="237">
      <c r="A237" s="10"/>
      <c r="B237" s="10"/>
      <c r="C237" s="10"/>
      <c r="D237" s="10"/>
      <c r="E237" s="10"/>
      <c r="F237" s="10"/>
      <c r="G237" s="10"/>
      <c r="I237" s="10"/>
      <c r="J237" s="10"/>
      <c r="K237" s="10"/>
      <c r="L237" s="10"/>
      <c r="M237" s="10" t="str">
        <f>ifna(VLOOKUP('acft-exerc'!$M237,FIX!$A$2:$D1000,4, false),"")</f>
        <v/>
      </c>
      <c r="N237" s="10"/>
      <c r="O237" s="10"/>
      <c r="P237" s="10"/>
      <c r="Q237" s="10"/>
      <c r="R237" s="10"/>
      <c r="S237" s="10"/>
      <c r="T237" s="10"/>
      <c r="U237" s="10"/>
      <c r="V237" s="10"/>
    </row>
    <row r="238">
      <c r="A238" s="10"/>
      <c r="B238" s="10"/>
      <c r="C238" s="10"/>
      <c r="D238" s="10"/>
      <c r="E238" s="10"/>
      <c r="F238" s="10"/>
      <c r="G238" s="10"/>
      <c r="I238" s="10"/>
      <c r="J238" s="10"/>
      <c r="K238" s="10"/>
      <c r="L238" s="10"/>
      <c r="M238" s="10" t="str">
        <f>ifna(VLOOKUP('acft-exerc'!$M238,FIX!$A$2:$D1000,4, false),"")</f>
        <v/>
      </c>
      <c r="N238" s="10"/>
      <c r="O238" s="10"/>
      <c r="P238" s="10"/>
      <c r="Q238" s="10"/>
      <c r="R238" s="10"/>
      <c r="S238" s="10"/>
      <c r="T238" s="10"/>
      <c r="U238" s="10"/>
      <c r="V238" s="10"/>
    </row>
    <row r="239">
      <c r="A239" s="10"/>
      <c r="B239" s="10"/>
      <c r="C239" s="10"/>
      <c r="D239" s="10"/>
      <c r="E239" s="10"/>
      <c r="F239" s="10"/>
      <c r="G239" s="10"/>
      <c r="I239" s="10"/>
      <c r="J239" s="10"/>
      <c r="K239" s="10"/>
      <c r="L239" s="10"/>
      <c r="M239" s="10" t="str">
        <f>ifna(VLOOKUP('acft-exerc'!$M239,FIX!$A$2:$D1000,4, false),"")</f>
        <v/>
      </c>
      <c r="N239" s="10"/>
      <c r="O239" s="10"/>
      <c r="P239" s="10"/>
      <c r="Q239" s="10"/>
      <c r="R239" s="10"/>
      <c r="S239" s="10"/>
      <c r="T239" s="10"/>
      <c r="U239" s="10"/>
      <c r="V239" s="10"/>
    </row>
    <row r="240">
      <c r="A240" s="10"/>
      <c r="B240" s="10"/>
      <c r="C240" s="10"/>
      <c r="D240" s="10"/>
      <c r="E240" s="10"/>
      <c r="F240" s="10"/>
      <c r="G240" s="10"/>
      <c r="I240" s="10"/>
      <c r="J240" s="10"/>
      <c r="K240" s="10"/>
      <c r="L240" s="10"/>
      <c r="M240" s="10" t="str">
        <f>ifna(VLOOKUP('acft-exerc'!$M240,FIX!$A$2:$D1000,4, false),"")</f>
        <v/>
      </c>
      <c r="N240" s="10"/>
      <c r="O240" s="10"/>
      <c r="P240" s="10"/>
      <c r="Q240" s="10"/>
      <c r="R240" s="10"/>
      <c r="S240" s="10"/>
      <c r="T240" s="10"/>
      <c r="U240" s="10"/>
      <c r="V240" s="10"/>
    </row>
    <row r="241">
      <c r="A241" s="10"/>
      <c r="B241" s="10"/>
      <c r="C241" s="10"/>
      <c r="D241" s="10"/>
      <c r="E241" s="10"/>
      <c r="F241" s="10"/>
      <c r="G241" s="10"/>
      <c r="I241" s="10"/>
      <c r="J241" s="10"/>
      <c r="K241" s="10"/>
      <c r="L241" s="10"/>
      <c r="M241" s="10" t="str">
        <f>ifna(VLOOKUP('acft-exerc'!$M241,FIX!$A$2:$D1000,4, false),"")</f>
        <v/>
      </c>
      <c r="N241" s="10"/>
      <c r="O241" s="10"/>
      <c r="P241" s="10"/>
      <c r="Q241" s="10"/>
      <c r="R241" s="10"/>
      <c r="S241" s="10"/>
      <c r="T241" s="10"/>
      <c r="U241" s="10"/>
      <c r="V241" s="10"/>
    </row>
    <row r="242">
      <c r="A242" s="10"/>
      <c r="B242" s="10"/>
      <c r="C242" s="10"/>
      <c r="D242" s="10"/>
      <c r="E242" s="10"/>
      <c r="F242" s="10"/>
      <c r="G242" s="10"/>
      <c r="I242" s="10"/>
      <c r="J242" s="10"/>
      <c r="K242" s="10"/>
      <c r="L242" s="10"/>
      <c r="M242" s="10" t="str">
        <f>ifna(VLOOKUP('acft-exerc'!$M242,FIX!$A$2:$D1000,4, false),"")</f>
        <v/>
      </c>
      <c r="N242" s="10"/>
      <c r="O242" s="10"/>
      <c r="P242" s="10"/>
      <c r="Q242" s="10"/>
      <c r="R242" s="10"/>
      <c r="S242" s="10"/>
      <c r="T242" s="10"/>
      <c r="U242" s="10"/>
      <c r="V242" s="10"/>
    </row>
    <row r="243">
      <c r="A243" s="10"/>
      <c r="B243" s="10"/>
      <c r="C243" s="10"/>
      <c r="D243" s="10"/>
      <c r="E243" s="10"/>
      <c r="F243" s="10"/>
      <c r="G243" s="10"/>
      <c r="I243" s="10"/>
      <c r="J243" s="10"/>
      <c r="K243" s="10"/>
      <c r="L243" s="10"/>
      <c r="M243" s="10" t="str">
        <f>ifna(VLOOKUP('acft-exerc'!$M243,FIX!$A$2:$D1000,4, false),"")</f>
        <v/>
      </c>
      <c r="N243" s="10"/>
      <c r="O243" s="10"/>
      <c r="P243" s="10"/>
      <c r="Q243" s="10"/>
      <c r="R243" s="10"/>
      <c r="S243" s="10"/>
      <c r="T243" s="10"/>
      <c r="U243" s="10"/>
      <c r="V243" s="10"/>
    </row>
    <row r="244">
      <c r="A244" s="10"/>
      <c r="B244" s="10"/>
      <c r="C244" s="10"/>
      <c r="D244" s="10"/>
      <c r="E244" s="10"/>
      <c r="F244" s="10"/>
      <c r="G244" s="10"/>
      <c r="I244" s="10"/>
      <c r="J244" s="10"/>
      <c r="K244" s="10"/>
      <c r="L244" s="10"/>
      <c r="M244" s="10" t="str">
        <f>ifna(VLOOKUP('acft-exerc'!$M244,FIX!$A$2:$D1000,4, false),"")</f>
        <v/>
      </c>
      <c r="N244" s="10"/>
      <c r="O244" s="10"/>
      <c r="P244" s="10"/>
      <c r="Q244" s="10"/>
      <c r="R244" s="10"/>
      <c r="S244" s="10"/>
      <c r="T244" s="10"/>
      <c r="U244" s="10"/>
      <c r="V244" s="10"/>
    </row>
    <row r="245">
      <c r="A245" s="10"/>
      <c r="B245" s="10"/>
      <c r="C245" s="10"/>
      <c r="D245" s="10"/>
      <c r="E245" s="10"/>
      <c r="F245" s="10"/>
      <c r="G245" s="10"/>
      <c r="I245" s="10"/>
      <c r="J245" s="10"/>
      <c r="K245" s="10"/>
      <c r="L245" s="10"/>
      <c r="M245" s="10" t="str">
        <f>ifna(VLOOKUP('acft-exerc'!$M245,FIX!$A$2:$D1000,4, false),"")</f>
        <v/>
      </c>
      <c r="N245" s="10"/>
      <c r="O245" s="10"/>
      <c r="P245" s="10"/>
      <c r="Q245" s="10"/>
      <c r="R245" s="10"/>
      <c r="S245" s="10"/>
      <c r="T245" s="10"/>
      <c r="U245" s="10"/>
      <c r="V245" s="10"/>
    </row>
    <row r="246">
      <c r="A246" s="10"/>
      <c r="B246" s="10"/>
      <c r="C246" s="10"/>
      <c r="D246" s="10"/>
      <c r="E246" s="10"/>
      <c r="F246" s="10"/>
      <c r="G246" s="10"/>
      <c r="I246" s="10"/>
      <c r="J246" s="10"/>
      <c r="K246" s="10"/>
      <c r="L246" s="10"/>
      <c r="M246" s="10" t="str">
        <f>ifna(VLOOKUP('acft-exerc'!$M246,FIX!$A$2:$D1000,4, false),"")</f>
        <v/>
      </c>
      <c r="N246" s="10"/>
      <c r="O246" s="10"/>
      <c r="P246" s="10"/>
      <c r="Q246" s="10"/>
      <c r="R246" s="10"/>
      <c r="S246" s="10"/>
      <c r="T246" s="10"/>
      <c r="U246" s="10"/>
      <c r="V246" s="10"/>
    </row>
    <row r="247">
      <c r="A247" s="10"/>
      <c r="B247" s="10"/>
      <c r="C247" s="10"/>
      <c r="D247" s="10"/>
      <c r="E247" s="10"/>
      <c r="F247" s="10"/>
      <c r="G247" s="10"/>
      <c r="I247" s="10"/>
      <c r="J247" s="10"/>
      <c r="K247" s="10"/>
      <c r="L247" s="10"/>
      <c r="M247" s="10" t="str">
        <f>ifna(VLOOKUP('acft-exerc'!$M247,FIX!$A$2:$D1000,4, false),"")</f>
        <v/>
      </c>
      <c r="N247" s="10"/>
      <c r="O247" s="10"/>
      <c r="P247" s="10"/>
      <c r="Q247" s="10"/>
      <c r="R247" s="10"/>
      <c r="S247" s="10"/>
      <c r="T247" s="10"/>
      <c r="U247" s="10"/>
      <c r="V247" s="10"/>
    </row>
    <row r="248">
      <c r="A248" s="10"/>
      <c r="B248" s="10"/>
      <c r="C248" s="10"/>
      <c r="D248" s="10"/>
      <c r="E248" s="10"/>
      <c r="F248" s="10"/>
      <c r="G248" s="10"/>
      <c r="I248" s="10"/>
      <c r="J248" s="10"/>
      <c r="K248" s="10"/>
      <c r="L248" s="10"/>
      <c r="M248" s="10" t="str">
        <f>ifna(VLOOKUP('acft-exerc'!$M248,FIX!$A$2:$D1000,4, false),"")</f>
        <v/>
      </c>
      <c r="N248" s="10"/>
      <c r="O248" s="10"/>
      <c r="P248" s="10"/>
      <c r="Q248" s="10"/>
      <c r="R248" s="10"/>
      <c r="S248" s="10"/>
      <c r="T248" s="10"/>
      <c r="U248" s="10"/>
      <c r="V248" s="10"/>
    </row>
    <row r="249">
      <c r="A249" s="10"/>
      <c r="B249" s="10"/>
      <c r="C249" s="10"/>
      <c r="D249" s="10"/>
      <c r="E249" s="10"/>
      <c r="F249" s="10"/>
      <c r="G249" s="10"/>
      <c r="I249" s="10"/>
      <c r="J249" s="10"/>
      <c r="K249" s="10"/>
      <c r="L249" s="10"/>
      <c r="M249" s="10" t="str">
        <f>ifna(VLOOKUP('acft-exerc'!$M249,FIX!$A$2:$D1000,4, false),"")</f>
        <v/>
      </c>
      <c r="N249" s="10"/>
      <c r="O249" s="10"/>
      <c r="P249" s="10"/>
      <c r="Q249" s="10"/>
      <c r="R249" s="10"/>
      <c r="S249" s="10"/>
      <c r="T249" s="10"/>
      <c r="U249" s="10"/>
      <c r="V249" s="10"/>
    </row>
    <row r="250">
      <c r="A250" s="10"/>
      <c r="B250" s="10"/>
      <c r="C250" s="10"/>
      <c r="D250" s="10"/>
      <c r="E250" s="10"/>
      <c r="F250" s="10"/>
      <c r="G250" s="10"/>
      <c r="I250" s="10"/>
      <c r="J250" s="10"/>
      <c r="K250" s="10"/>
      <c r="L250" s="10"/>
      <c r="M250" s="10" t="str">
        <f>ifna(VLOOKUP('acft-exerc'!$M250,FIX!$A$2:$D1000,4, false),"")</f>
        <v/>
      </c>
      <c r="N250" s="10"/>
      <c r="O250" s="10"/>
      <c r="P250" s="10"/>
      <c r="Q250" s="10"/>
      <c r="R250" s="10"/>
      <c r="S250" s="10"/>
      <c r="T250" s="10"/>
      <c r="U250" s="10"/>
      <c r="V250" s="10"/>
    </row>
    <row r="251">
      <c r="A251" s="10"/>
      <c r="B251" s="10"/>
      <c r="C251" s="10"/>
      <c r="D251" s="10"/>
      <c r="E251" s="10"/>
      <c r="F251" s="10"/>
      <c r="G251" s="10"/>
      <c r="I251" s="10"/>
      <c r="J251" s="10"/>
      <c r="K251" s="10"/>
      <c r="L251" s="10"/>
      <c r="M251" s="10" t="str">
        <f>ifna(VLOOKUP('acft-exerc'!$M251,FIX!$A$2:$D1000,4, false),"")</f>
        <v/>
      </c>
      <c r="N251" s="10"/>
      <c r="O251" s="10"/>
      <c r="P251" s="10"/>
      <c r="Q251" s="10"/>
      <c r="R251" s="10"/>
      <c r="S251" s="10"/>
      <c r="T251" s="10"/>
      <c r="U251" s="10"/>
      <c r="V251" s="10"/>
    </row>
    <row r="252">
      <c r="A252" s="10"/>
      <c r="B252" s="10"/>
      <c r="C252" s="10"/>
      <c r="D252" s="10"/>
      <c r="E252" s="10"/>
      <c r="F252" s="10"/>
      <c r="G252" s="10"/>
      <c r="I252" s="10"/>
      <c r="J252" s="10"/>
      <c r="K252" s="10"/>
      <c r="L252" s="10"/>
      <c r="M252" s="10" t="str">
        <f>ifna(VLOOKUP('acft-exerc'!$M252,FIX!$A$2:$D1000,4, false),"")</f>
        <v/>
      </c>
      <c r="N252" s="10"/>
      <c r="O252" s="10"/>
      <c r="P252" s="10"/>
      <c r="Q252" s="10"/>
      <c r="R252" s="10"/>
      <c r="S252" s="10"/>
      <c r="T252" s="10"/>
      <c r="U252" s="10"/>
      <c r="V252" s="10"/>
    </row>
    <row r="253">
      <c r="A253" s="10"/>
      <c r="B253" s="10"/>
      <c r="C253" s="10"/>
      <c r="D253" s="10"/>
      <c r="E253" s="10"/>
      <c r="F253" s="10"/>
      <c r="G253" s="10"/>
      <c r="I253" s="10"/>
      <c r="J253" s="10"/>
      <c r="K253" s="10"/>
      <c r="L253" s="10"/>
      <c r="M253" s="10" t="str">
        <f>ifna(VLOOKUP('acft-exerc'!$M253,FIX!$A$2:$D1000,4, false),"")</f>
        <v/>
      </c>
      <c r="N253" s="10"/>
      <c r="O253" s="10"/>
      <c r="P253" s="10"/>
      <c r="Q253" s="10"/>
      <c r="R253" s="10"/>
      <c r="S253" s="10"/>
      <c r="T253" s="10"/>
      <c r="U253" s="10"/>
      <c r="V253" s="10"/>
    </row>
    <row r="254">
      <c r="A254" s="10"/>
      <c r="B254" s="10"/>
      <c r="C254" s="10"/>
      <c r="D254" s="10"/>
      <c r="E254" s="10"/>
      <c r="F254" s="10"/>
      <c r="G254" s="10"/>
      <c r="I254" s="10"/>
      <c r="J254" s="10"/>
      <c r="K254" s="10"/>
      <c r="L254" s="10"/>
      <c r="M254" s="10" t="str">
        <f>ifna(VLOOKUP('acft-exerc'!$M254,FIX!$A$2:$D1000,4, false),"")</f>
        <v/>
      </c>
      <c r="N254" s="10"/>
      <c r="O254" s="10"/>
      <c r="P254" s="10"/>
      <c r="Q254" s="10"/>
      <c r="R254" s="10"/>
      <c r="S254" s="10"/>
      <c r="T254" s="10"/>
      <c r="U254" s="10"/>
      <c r="V254" s="10"/>
    </row>
    <row r="255">
      <c r="A255" s="10"/>
      <c r="B255" s="10"/>
      <c r="C255" s="10"/>
      <c r="D255" s="10"/>
      <c r="E255" s="10"/>
      <c r="F255" s="10"/>
      <c r="G255" s="10"/>
      <c r="I255" s="10"/>
      <c r="J255" s="10"/>
      <c r="K255" s="10"/>
      <c r="L255" s="10"/>
      <c r="M255" s="10" t="str">
        <f>ifna(VLOOKUP('acft-exerc'!$M255,FIX!$A$2:$D1000,4, false),"")</f>
        <v/>
      </c>
      <c r="N255" s="10"/>
      <c r="O255" s="10"/>
      <c r="P255" s="10"/>
      <c r="Q255" s="10"/>
      <c r="R255" s="10"/>
      <c r="S255" s="10"/>
      <c r="T255" s="10"/>
      <c r="U255" s="10"/>
      <c r="V255" s="10"/>
    </row>
    <row r="256">
      <c r="A256" s="10"/>
      <c r="B256" s="10"/>
      <c r="C256" s="10"/>
      <c r="D256" s="10"/>
      <c r="E256" s="10"/>
      <c r="F256" s="10"/>
      <c r="G256" s="10"/>
      <c r="I256" s="10"/>
      <c r="J256" s="10"/>
      <c r="K256" s="10"/>
      <c r="L256" s="10"/>
      <c r="M256" s="10" t="str">
        <f>ifna(VLOOKUP('acft-exerc'!$M256,FIX!$A$2:$D1000,4, false),"")</f>
        <v/>
      </c>
      <c r="N256" s="10"/>
      <c r="O256" s="10"/>
      <c r="P256" s="10"/>
      <c r="Q256" s="10"/>
      <c r="R256" s="10"/>
      <c r="S256" s="10"/>
      <c r="T256" s="10"/>
      <c r="U256" s="10"/>
      <c r="V256" s="10"/>
    </row>
    <row r="257">
      <c r="A257" s="10"/>
      <c r="B257" s="10"/>
      <c r="C257" s="10"/>
      <c r="D257" s="10"/>
      <c r="E257" s="10"/>
      <c r="F257" s="10"/>
      <c r="G257" s="10"/>
      <c r="I257" s="10"/>
      <c r="J257" s="10"/>
      <c r="K257" s="10"/>
      <c r="L257" s="10"/>
      <c r="M257" s="10" t="str">
        <f>ifna(VLOOKUP('acft-exerc'!$M257,FIX!$A$2:$D1000,4, false),"")</f>
        <v/>
      </c>
      <c r="N257" s="10"/>
      <c r="O257" s="10"/>
      <c r="P257" s="10"/>
      <c r="Q257" s="10"/>
      <c r="R257" s="10"/>
      <c r="S257" s="10"/>
      <c r="T257" s="10"/>
      <c r="U257" s="10"/>
      <c r="V257" s="10"/>
    </row>
    <row r="258">
      <c r="A258" s="10"/>
      <c r="B258" s="10"/>
      <c r="C258" s="10"/>
      <c r="D258" s="10"/>
      <c r="E258" s="10"/>
      <c r="F258" s="10"/>
      <c r="G258" s="10"/>
      <c r="I258" s="10"/>
      <c r="J258" s="10"/>
      <c r="K258" s="10"/>
      <c r="L258" s="10"/>
      <c r="M258" s="10" t="str">
        <f>ifna(VLOOKUP('acft-exerc'!$M258,FIX!$A$2:$D1000,4, false),"")</f>
        <v/>
      </c>
      <c r="N258" s="10"/>
      <c r="O258" s="10"/>
      <c r="P258" s="10"/>
      <c r="Q258" s="10"/>
      <c r="R258" s="10"/>
      <c r="S258" s="10"/>
      <c r="T258" s="10"/>
      <c r="U258" s="10"/>
      <c r="V258" s="10"/>
    </row>
    <row r="259">
      <c r="A259" s="10"/>
      <c r="B259" s="10"/>
      <c r="C259" s="10"/>
      <c r="D259" s="10"/>
      <c r="E259" s="10"/>
      <c r="F259" s="10"/>
      <c r="G259" s="10"/>
      <c r="I259" s="10"/>
      <c r="J259" s="10"/>
      <c r="K259" s="10"/>
      <c r="L259" s="10"/>
      <c r="M259" s="10" t="str">
        <f>ifna(VLOOKUP('acft-exerc'!$M259,FIX!$A$2:$D1000,4, false),"")</f>
        <v/>
      </c>
      <c r="N259" s="10"/>
      <c r="O259" s="10"/>
      <c r="P259" s="10"/>
      <c r="Q259" s="10"/>
      <c r="R259" s="10"/>
      <c r="S259" s="10"/>
      <c r="T259" s="10"/>
      <c r="U259" s="10"/>
      <c r="V259" s="10"/>
    </row>
    <row r="260">
      <c r="A260" s="10"/>
      <c r="B260" s="10"/>
      <c r="C260" s="10"/>
      <c r="D260" s="10"/>
      <c r="E260" s="10"/>
      <c r="F260" s="10"/>
      <c r="G260" s="10"/>
      <c r="I260" s="10"/>
      <c r="J260" s="10"/>
      <c r="K260" s="10"/>
      <c r="L260" s="10"/>
      <c r="M260" s="10" t="str">
        <f>ifna(VLOOKUP('acft-exerc'!$M260,FIX!$A$2:$D1000,4, false),"")</f>
        <v/>
      </c>
      <c r="N260" s="10"/>
      <c r="O260" s="10"/>
      <c r="P260" s="10"/>
      <c r="Q260" s="10"/>
      <c r="R260" s="10"/>
      <c r="S260" s="10"/>
      <c r="T260" s="10"/>
      <c r="U260" s="10"/>
      <c r="V260" s="10"/>
    </row>
    <row r="261">
      <c r="A261" s="10"/>
      <c r="B261" s="10"/>
      <c r="C261" s="10"/>
      <c r="D261" s="10"/>
      <c r="E261" s="10"/>
      <c r="F261" s="10"/>
      <c r="G261" s="10"/>
      <c r="I261" s="10"/>
      <c r="J261" s="10"/>
      <c r="K261" s="10"/>
      <c r="L261" s="10"/>
      <c r="M261" s="10" t="str">
        <f>ifna(VLOOKUP('acft-exerc'!$M261,FIX!$A$2:$D1000,4, false),"")</f>
        <v/>
      </c>
      <c r="N261" s="10"/>
      <c r="O261" s="10"/>
      <c r="P261" s="10"/>
      <c r="Q261" s="10"/>
      <c r="R261" s="10"/>
      <c r="S261" s="10"/>
      <c r="T261" s="10"/>
      <c r="U261" s="10"/>
      <c r="V261" s="10"/>
    </row>
    <row r="262">
      <c r="A262" s="10"/>
      <c r="B262" s="10"/>
      <c r="C262" s="10"/>
      <c r="D262" s="10"/>
      <c r="E262" s="10"/>
      <c r="F262" s="10"/>
      <c r="G262" s="10"/>
      <c r="I262" s="10"/>
      <c r="J262" s="10"/>
      <c r="K262" s="10"/>
      <c r="L262" s="10"/>
      <c r="M262" s="10" t="str">
        <f>ifna(VLOOKUP('acft-exerc'!$M262,FIX!$A$2:$D1000,4, false),"")</f>
        <v/>
      </c>
      <c r="N262" s="10"/>
      <c r="O262" s="10"/>
      <c r="P262" s="10"/>
      <c r="Q262" s="10"/>
      <c r="R262" s="10"/>
      <c r="S262" s="10"/>
      <c r="T262" s="10"/>
      <c r="U262" s="10"/>
      <c r="V262" s="10"/>
    </row>
    <row r="263">
      <c r="A263" s="10"/>
      <c r="B263" s="10"/>
      <c r="C263" s="10"/>
      <c r="D263" s="10"/>
      <c r="E263" s="10"/>
      <c r="F263" s="10"/>
      <c r="G263" s="10"/>
      <c r="I263" s="10"/>
      <c r="J263" s="10"/>
      <c r="K263" s="10"/>
      <c r="L263" s="10"/>
      <c r="M263" s="10" t="str">
        <f>ifna(VLOOKUP('acft-exerc'!$M263,FIX!$A$2:$D1000,4, false),"")</f>
        <v/>
      </c>
      <c r="N263" s="10"/>
      <c r="O263" s="10"/>
      <c r="P263" s="10"/>
      <c r="Q263" s="10"/>
      <c r="R263" s="10"/>
      <c r="S263" s="10"/>
      <c r="T263" s="10"/>
      <c r="U263" s="10"/>
      <c r="V263" s="10"/>
    </row>
    <row r="264">
      <c r="A264" s="10"/>
      <c r="B264" s="10"/>
      <c r="C264" s="10"/>
      <c r="D264" s="10"/>
      <c r="E264" s="10"/>
      <c r="F264" s="10"/>
      <c r="G264" s="10"/>
      <c r="I264" s="10"/>
      <c r="J264" s="10"/>
      <c r="K264" s="10"/>
      <c r="L264" s="10"/>
      <c r="M264" s="10" t="str">
        <f>ifna(VLOOKUP('acft-exerc'!$M264,FIX!$A$2:$D1000,4, false),"")</f>
        <v/>
      </c>
      <c r="N264" s="10"/>
      <c r="O264" s="10"/>
      <c r="P264" s="10"/>
      <c r="Q264" s="10"/>
      <c r="R264" s="10"/>
      <c r="S264" s="10"/>
      <c r="T264" s="10"/>
      <c r="U264" s="10"/>
      <c r="V264" s="10"/>
    </row>
    <row r="265">
      <c r="A265" s="10"/>
      <c r="B265" s="10"/>
      <c r="C265" s="10"/>
      <c r="D265" s="10"/>
      <c r="E265" s="10"/>
      <c r="F265" s="10"/>
      <c r="G265" s="10"/>
      <c r="I265" s="10"/>
      <c r="J265" s="10"/>
      <c r="K265" s="10"/>
      <c r="L265" s="10"/>
      <c r="M265" s="10" t="str">
        <f>ifna(VLOOKUP('acft-exerc'!$M265,FIX!$A$2:$D1000,4, false),"")</f>
        <v/>
      </c>
      <c r="N265" s="10"/>
      <c r="O265" s="10"/>
      <c r="P265" s="10"/>
      <c r="Q265" s="10"/>
      <c r="R265" s="10"/>
      <c r="S265" s="10"/>
      <c r="T265" s="10"/>
      <c r="U265" s="10"/>
      <c r="V265" s="10"/>
    </row>
    <row r="266">
      <c r="A266" s="10"/>
      <c r="B266" s="10"/>
      <c r="C266" s="10"/>
      <c r="D266" s="10"/>
      <c r="E266" s="10"/>
      <c r="F266" s="10"/>
      <c r="G266" s="10"/>
      <c r="I266" s="10"/>
      <c r="J266" s="10"/>
      <c r="K266" s="10"/>
      <c r="L266" s="10"/>
      <c r="M266" s="10" t="str">
        <f>ifna(VLOOKUP('acft-exerc'!$M266,FIX!$A$2:$D1000,4, false),"")</f>
        <v/>
      </c>
      <c r="N266" s="10"/>
      <c r="O266" s="10"/>
      <c r="P266" s="10"/>
      <c r="Q266" s="10"/>
      <c r="R266" s="10"/>
      <c r="S266" s="10"/>
      <c r="T266" s="10"/>
      <c r="U266" s="10"/>
      <c r="V266" s="10"/>
    </row>
    <row r="267">
      <c r="A267" s="10"/>
      <c r="B267" s="10"/>
      <c r="C267" s="10"/>
      <c r="D267" s="10"/>
      <c r="E267" s="10"/>
      <c r="F267" s="10"/>
      <c r="G267" s="10"/>
      <c r="I267" s="10"/>
      <c r="J267" s="10"/>
      <c r="K267" s="10"/>
      <c r="L267" s="10"/>
      <c r="M267" s="10" t="str">
        <f>ifna(VLOOKUP('acft-exerc'!$M267,FIX!$A$2:$D1000,4, false),"")</f>
        <v/>
      </c>
      <c r="N267" s="10"/>
      <c r="O267" s="10"/>
      <c r="P267" s="10"/>
      <c r="Q267" s="10"/>
      <c r="R267" s="10"/>
      <c r="S267" s="10"/>
      <c r="T267" s="10"/>
      <c r="U267" s="10"/>
      <c r="V267" s="10"/>
    </row>
    <row r="268">
      <c r="A268" s="10"/>
      <c r="B268" s="10"/>
      <c r="C268" s="10"/>
      <c r="D268" s="10"/>
      <c r="E268" s="10"/>
      <c r="F268" s="10"/>
      <c r="G268" s="10"/>
      <c r="I268" s="10"/>
      <c r="J268" s="10"/>
      <c r="K268" s="10"/>
      <c r="L268" s="10"/>
      <c r="M268" s="10" t="str">
        <f>ifna(VLOOKUP('acft-exerc'!$M268,FIX!$A$2:$D1000,4, false),"")</f>
        <v/>
      </c>
      <c r="N268" s="10"/>
      <c r="O268" s="10"/>
      <c r="P268" s="10"/>
      <c r="Q268" s="10"/>
      <c r="R268" s="10"/>
      <c r="S268" s="10"/>
      <c r="T268" s="10"/>
      <c r="U268" s="10"/>
      <c r="V268" s="10"/>
    </row>
    <row r="269">
      <c r="A269" s="10"/>
      <c r="B269" s="10"/>
      <c r="C269" s="10"/>
      <c r="D269" s="10"/>
      <c r="E269" s="10"/>
      <c r="F269" s="10"/>
      <c r="G269" s="10"/>
      <c r="I269" s="10"/>
      <c r="J269" s="10"/>
      <c r="K269" s="10"/>
      <c r="L269" s="10"/>
      <c r="M269" s="10" t="str">
        <f>ifna(VLOOKUP('acft-exerc'!$M269,FIX!$A$2:$D1000,4, false),"")</f>
        <v/>
      </c>
      <c r="N269" s="10"/>
      <c r="O269" s="10"/>
      <c r="P269" s="10"/>
      <c r="Q269" s="10"/>
      <c r="R269" s="10"/>
      <c r="S269" s="10"/>
      <c r="T269" s="10"/>
      <c r="U269" s="10"/>
      <c r="V269" s="10"/>
    </row>
    <row r="270">
      <c r="A270" s="10"/>
      <c r="B270" s="10"/>
      <c r="C270" s="10"/>
      <c r="D270" s="10"/>
      <c r="E270" s="10"/>
      <c r="F270" s="10"/>
      <c r="G270" s="10"/>
      <c r="I270" s="10"/>
      <c r="J270" s="10"/>
      <c r="K270" s="10"/>
      <c r="L270" s="10"/>
      <c r="M270" s="10" t="str">
        <f>ifna(VLOOKUP('acft-exerc'!$M270,FIX!$A$2:$D1000,4, false),"")</f>
        <v/>
      </c>
      <c r="N270" s="10"/>
      <c r="O270" s="10"/>
      <c r="P270" s="10"/>
      <c r="Q270" s="10"/>
      <c r="R270" s="10"/>
      <c r="S270" s="10"/>
      <c r="T270" s="10"/>
      <c r="U270" s="10"/>
      <c r="V270" s="10"/>
    </row>
    <row r="271">
      <c r="A271" s="10"/>
      <c r="B271" s="10"/>
      <c r="C271" s="10"/>
      <c r="D271" s="10"/>
      <c r="E271" s="10"/>
      <c r="F271" s="10"/>
      <c r="G271" s="10"/>
      <c r="I271" s="10"/>
      <c r="J271" s="10"/>
      <c r="K271" s="10"/>
      <c r="L271" s="10"/>
      <c r="M271" s="10" t="str">
        <f>ifna(VLOOKUP('acft-exerc'!$M271,FIX!$A$2:$D1000,4, false),"")</f>
        <v/>
      </c>
      <c r="N271" s="10"/>
      <c r="O271" s="10"/>
      <c r="P271" s="10"/>
      <c r="Q271" s="10"/>
      <c r="R271" s="10"/>
      <c r="S271" s="10"/>
      <c r="T271" s="10"/>
      <c r="U271" s="10"/>
      <c r="V271" s="10"/>
    </row>
    <row r="272">
      <c r="A272" s="10"/>
      <c r="B272" s="10"/>
      <c r="C272" s="10"/>
      <c r="D272" s="10"/>
      <c r="E272" s="10"/>
      <c r="F272" s="10"/>
      <c r="G272" s="10"/>
      <c r="I272" s="10"/>
      <c r="J272" s="10"/>
      <c r="K272" s="10"/>
      <c r="L272" s="10"/>
      <c r="M272" s="10" t="str">
        <f>ifna(VLOOKUP('acft-exerc'!$M272,FIX!$A$2:$D1000,4, false),"")</f>
        <v/>
      </c>
      <c r="N272" s="10"/>
      <c r="O272" s="10"/>
      <c r="P272" s="10"/>
      <c r="Q272" s="10"/>
      <c r="R272" s="10"/>
      <c r="S272" s="10"/>
      <c r="T272" s="10"/>
      <c r="U272" s="10"/>
      <c r="V272" s="10"/>
    </row>
    <row r="273">
      <c r="A273" s="10"/>
      <c r="B273" s="10"/>
      <c r="C273" s="10"/>
      <c r="D273" s="10"/>
      <c r="E273" s="10"/>
      <c r="F273" s="10"/>
      <c r="G273" s="10"/>
      <c r="I273" s="10"/>
      <c r="J273" s="10"/>
      <c r="K273" s="10"/>
      <c r="L273" s="10"/>
      <c r="M273" s="10" t="str">
        <f>ifna(VLOOKUP('acft-exerc'!$M273,FIX!$A$2:$D1000,4, false),"")</f>
        <v/>
      </c>
      <c r="N273" s="10"/>
      <c r="O273" s="10"/>
      <c r="P273" s="10"/>
      <c r="Q273" s="10"/>
      <c r="R273" s="10"/>
      <c r="S273" s="10"/>
      <c r="T273" s="10"/>
      <c r="U273" s="10"/>
      <c r="V273" s="10"/>
    </row>
    <row r="274">
      <c r="A274" s="10"/>
      <c r="B274" s="10"/>
      <c r="C274" s="10"/>
      <c r="D274" s="10"/>
      <c r="E274" s="10"/>
      <c r="F274" s="10"/>
      <c r="G274" s="10"/>
      <c r="I274" s="10"/>
      <c r="J274" s="10"/>
      <c r="K274" s="10"/>
      <c r="L274" s="10"/>
      <c r="M274" s="10" t="str">
        <f>ifna(VLOOKUP('acft-exerc'!$M274,FIX!$A$2:$D1000,4, false),"")</f>
        <v/>
      </c>
      <c r="N274" s="10"/>
      <c r="O274" s="10"/>
      <c r="P274" s="10"/>
      <c r="Q274" s="10"/>
      <c r="R274" s="10"/>
      <c r="S274" s="10"/>
      <c r="T274" s="10"/>
      <c r="U274" s="10"/>
      <c r="V274" s="10"/>
    </row>
    <row r="275">
      <c r="A275" s="10"/>
      <c r="B275" s="10"/>
      <c r="C275" s="10"/>
      <c r="D275" s="10"/>
      <c r="E275" s="10"/>
      <c r="F275" s="10"/>
      <c r="G275" s="10"/>
      <c r="I275" s="10"/>
      <c r="J275" s="10"/>
      <c r="K275" s="10"/>
      <c r="L275" s="10"/>
      <c r="M275" s="10" t="str">
        <f>ifna(VLOOKUP('acft-exerc'!$M275,FIX!$A$2:$D1000,4, false),"")</f>
        <v/>
      </c>
      <c r="N275" s="10"/>
      <c r="O275" s="10"/>
      <c r="P275" s="10"/>
      <c r="Q275" s="10"/>
      <c r="R275" s="10"/>
      <c r="S275" s="10"/>
      <c r="T275" s="10"/>
      <c r="U275" s="10"/>
      <c r="V275" s="10"/>
    </row>
    <row r="276">
      <c r="A276" s="10"/>
      <c r="B276" s="10"/>
      <c r="C276" s="10"/>
      <c r="D276" s="10"/>
      <c r="E276" s="10"/>
      <c r="F276" s="10"/>
      <c r="G276" s="10"/>
      <c r="I276" s="10"/>
      <c r="J276" s="10"/>
      <c r="K276" s="10"/>
      <c r="L276" s="10"/>
      <c r="M276" s="10" t="str">
        <f>ifna(VLOOKUP('acft-exerc'!$M276,FIX!$A$2:$D1000,4, false),"")</f>
        <v/>
      </c>
      <c r="N276" s="10"/>
      <c r="O276" s="10"/>
      <c r="P276" s="10"/>
      <c r="Q276" s="10"/>
      <c r="R276" s="10"/>
      <c r="S276" s="10"/>
      <c r="T276" s="10"/>
      <c r="U276" s="10"/>
      <c r="V276" s="10"/>
    </row>
    <row r="277">
      <c r="A277" s="10"/>
      <c r="B277" s="10"/>
      <c r="C277" s="10"/>
      <c r="D277" s="10"/>
      <c r="E277" s="10"/>
      <c r="F277" s="10"/>
      <c r="G277" s="10"/>
      <c r="I277" s="10"/>
      <c r="J277" s="10"/>
      <c r="K277" s="10"/>
      <c r="L277" s="10"/>
      <c r="M277" s="10" t="str">
        <f>ifna(VLOOKUP('acft-exerc'!$M277,FIX!$A$2:$D1000,4, false),"")</f>
        <v/>
      </c>
      <c r="N277" s="10"/>
      <c r="O277" s="10"/>
      <c r="P277" s="10"/>
      <c r="Q277" s="10"/>
      <c r="R277" s="10"/>
      <c r="S277" s="10"/>
      <c r="T277" s="10"/>
      <c r="U277" s="10"/>
      <c r="V277" s="10"/>
    </row>
    <row r="278">
      <c r="A278" s="10"/>
      <c r="B278" s="10"/>
      <c r="C278" s="10"/>
      <c r="D278" s="10"/>
      <c r="E278" s="10"/>
      <c r="F278" s="10"/>
      <c r="G278" s="10"/>
      <c r="I278" s="10"/>
      <c r="J278" s="10"/>
      <c r="K278" s="10"/>
      <c r="L278" s="10"/>
      <c r="M278" s="10" t="str">
        <f>ifna(VLOOKUP('acft-exerc'!$M278,FIX!$A$2:$D1000,4, false),"")</f>
        <v/>
      </c>
      <c r="N278" s="10"/>
      <c r="O278" s="10"/>
      <c r="P278" s="10"/>
      <c r="Q278" s="10"/>
      <c r="R278" s="10"/>
      <c r="S278" s="10"/>
      <c r="T278" s="10"/>
      <c r="U278" s="10"/>
      <c r="V278" s="10"/>
    </row>
    <row r="279">
      <c r="A279" s="10"/>
      <c r="B279" s="10"/>
      <c r="C279" s="10"/>
      <c r="D279" s="10"/>
      <c r="E279" s="10"/>
      <c r="F279" s="10"/>
      <c r="G279" s="10"/>
      <c r="I279" s="10"/>
      <c r="J279" s="10"/>
      <c r="K279" s="10"/>
      <c r="L279" s="10"/>
      <c r="M279" s="10" t="str">
        <f>ifna(VLOOKUP('acft-exerc'!$M279,FIX!$A$2:$D1000,4, false),"")</f>
        <v/>
      </c>
      <c r="N279" s="10"/>
      <c r="O279" s="10"/>
      <c r="P279" s="10"/>
      <c r="Q279" s="10"/>
      <c r="R279" s="10"/>
      <c r="S279" s="10"/>
      <c r="T279" s="10"/>
      <c r="U279" s="10"/>
      <c r="V279" s="10"/>
    </row>
    <row r="280">
      <c r="A280" s="10"/>
      <c r="B280" s="10"/>
      <c r="C280" s="10"/>
      <c r="D280" s="10"/>
      <c r="E280" s="10"/>
      <c r="F280" s="10"/>
      <c r="G280" s="10"/>
      <c r="I280" s="10"/>
      <c r="J280" s="10"/>
      <c r="K280" s="10"/>
      <c r="L280" s="10"/>
      <c r="M280" s="10" t="str">
        <f>ifna(VLOOKUP('acft-exerc'!$M280,FIX!$A$2:$D1000,4, false),"")</f>
        <v/>
      </c>
      <c r="N280" s="10"/>
      <c r="O280" s="10"/>
      <c r="P280" s="10"/>
      <c r="Q280" s="10"/>
      <c r="R280" s="10"/>
      <c r="S280" s="10"/>
      <c r="T280" s="10"/>
      <c r="U280" s="10"/>
      <c r="V280" s="10"/>
    </row>
    <row r="281">
      <c r="A281" s="10"/>
      <c r="B281" s="10"/>
      <c r="C281" s="10"/>
      <c r="D281" s="10"/>
      <c r="E281" s="10"/>
      <c r="F281" s="10"/>
      <c r="G281" s="10"/>
      <c r="I281" s="10"/>
      <c r="J281" s="10"/>
      <c r="K281" s="10"/>
      <c r="L281" s="10"/>
      <c r="M281" s="10" t="str">
        <f>ifna(VLOOKUP('acft-exerc'!$M281,FIX!$A$2:$D1000,4, false),"")</f>
        <v/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>
      <c r="A282" s="10"/>
      <c r="B282" s="10"/>
      <c r="C282" s="10"/>
      <c r="D282" s="10"/>
      <c r="E282" s="10"/>
      <c r="F282" s="10"/>
      <c r="G282" s="10"/>
      <c r="I282" s="10"/>
      <c r="J282" s="10"/>
      <c r="K282" s="10"/>
      <c r="L282" s="10"/>
      <c r="M282" s="10" t="str">
        <f>ifna(VLOOKUP('acft-exerc'!$M282,FIX!$A$2:$D1000,4, false),"")</f>
        <v/>
      </c>
      <c r="N282" s="10"/>
      <c r="O282" s="10"/>
      <c r="P282" s="10"/>
      <c r="Q282" s="10"/>
      <c r="R282" s="10"/>
      <c r="S282" s="10"/>
      <c r="T282" s="10"/>
      <c r="U282" s="10"/>
      <c r="V282" s="10"/>
    </row>
    <row r="283">
      <c r="A283" s="10"/>
      <c r="B283" s="10"/>
      <c r="C283" s="10"/>
      <c r="D283" s="10"/>
      <c r="E283" s="10"/>
      <c r="F283" s="10"/>
      <c r="G283" s="10"/>
      <c r="I283" s="10"/>
      <c r="J283" s="10"/>
      <c r="K283" s="10"/>
      <c r="L283" s="10"/>
      <c r="M283" s="10" t="str">
        <f>ifna(VLOOKUP('acft-exerc'!$M283,FIX!$A$2:$D1000,4, false),"")</f>
        <v/>
      </c>
      <c r="N283" s="10"/>
      <c r="O283" s="10"/>
      <c r="P283" s="10"/>
      <c r="Q283" s="10"/>
      <c r="R283" s="10"/>
      <c r="S283" s="10"/>
      <c r="T283" s="10"/>
      <c r="U283" s="10"/>
      <c r="V283" s="10"/>
    </row>
    <row r="284">
      <c r="A284" s="10"/>
      <c r="B284" s="10"/>
      <c r="C284" s="10"/>
      <c r="D284" s="10"/>
      <c r="E284" s="10"/>
      <c r="F284" s="10"/>
      <c r="G284" s="10"/>
      <c r="I284" s="10"/>
      <c r="J284" s="10"/>
      <c r="K284" s="10"/>
      <c r="L284" s="10"/>
      <c r="M284" s="10" t="str">
        <f>ifna(VLOOKUP('acft-exerc'!$M284,FIX!$A$2:$D1000,4, false),"")</f>
        <v/>
      </c>
      <c r="N284" s="10"/>
      <c r="O284" s="10"/>
      <c r="P284" s="10"/>
      <c r="Q284" s="10"/>
      <c r="R284" s="10"/>
      <c r="S284" s="10"/>
      <c r="T284" s="10"/>
      <c r="U284" s="10"/>
      <c r="V284" s="10"/>
    </row>
    <row r="285">
      <c r="A285" s="10"/>
      <c r="B285" s="10"/>
      <c r="C285" s="10"/>
      <c r="D285" s="10"/>
      <c r="E285" s="10"/>
      <c r="F285" s="10"/>
      <c r="G285" s="10"/>
      <c r="I285" s="10"/>
      <c r="J285" s="10"/>
      <c r="K285" s="10"/>
      <c r="L285" s="10"/>
      <c r="M285" s="10" t="str">
        <f>ifna(VLOOKUP('acft-exerc'!$M285,FIX!$A$2:$D1000,4, false),"")</f>
        <v/>
      </c>
      <c r="N285" s="10"/>
      <c r="O285" s="10"/>
      <c r="P285" s="10"/>
      <c r="Q285" s="10"/>
      <c r="R285" s="10"/>
      <c r="S285" s="10"/>
      <c r="T285" s="10"/>
      <c r="U285" s="10"/>
      <c r="V285" s="10"/>
    </row>
    <row r="286">
      <c r="A286" s="10"/>
      <c r="B286" s="10"/>
      <c r="C286" s="10"/>
      <c r="D286" s="10"/>
      <c r="E286" s="10"/>
      <c r="F286" s="10"/>
      <c r="G286" s="10"/>
      <c r="I286" s="10"/>
      <c r="J286" s="10"/>
      <c r="K286" s="10"/>
      <c r="L286" s="10"/>
      <c r="M286" s="10" t="str">
        <f>ifna(VLOOKUP('acft-exerc'!$M286,FIX!$A$2:$D1000,4, false),"")</f>
        <v/>
      </c>
      <c r="N286" s="10"/>
      <c r="O286" s="10"/>
      <c r="P286" s="10"/>
      <c r="Q286" s="10"/>
      <c r="R286" s="10"/>
      <c r="S286" s="10"/>
      <c r="T286" s="10"/>
      <c r="U286" s="10"/>
      <c r="V286" s="10"/>
    </row>
    <row r="287">
      <c r="A287" s="10"/>
      <c r="B287" s="10"/>
      <c r="C287" s="10"/>
      <c r="D287" s="10"/>
      <c r="E287" s="10"/>
      <c r="F287" s="10"/>
      <c r="G287" s="10"/>
      <c r="I287" s="10"/>
      <c r="J287" s="10"/>
      <c r="K287" s="10"/>
      <c r="L287" s="10"/>
      <c r="M287" s="10" t="str">
        <f>ifna(VLOOKUP('acft-exerc'!$M287,FIX!$A$2:$D1000,4, false),"")</f>
        <v/>
      </c>
      <c r="N287" s="10"/>
      <c r="O287" s="10"/>
      <c r="P287" s="10"/>
      <c r="Q287" s="10"/>
      <c r="R287" s="10"/>
      <c r="S287" s="10"/>
      <c r="T287" s="10"/>
      <c r="U287" s="10"/>
      <c r="V287" s="10"/>
    </row>
    <row r="288">
      <c r="A288" s="10"/>
      <c r="B288" s="10"/>
      <c r="C288" s="10"/>
      <c r="D288" s="10"/>
      <c r="E288" s="10"/>
      <c r="F288" s="10"/>
      <c r="G288" s="10"/>
      <c r="I288" s="10"/>
      <c r="J288" s="10"/>
      <c r="K288" s="10"/>
      <c r="L288" s="10"/>
      <c r="M288" s="10" t="str">
        <f>ifna(VLOOKUP('acft-exerc'!$M288,FIX!$A$2:$D1000,4, false),"")</f>
        <v/>
      </c>
      <c r="N288" s="10"/>
      <c r="O288" s="10"/>
      <c r="P288" s="10"/>
      <c r="Q288" s="10"/>
      <c r="R288" s="10"/>
      <c r="S288" s="10"/>
      <c r="T288" s="10"/>
      <c r="U288" s="10"/>
      <c r="V288" s="10"/>
    </row>
    <row r="289">
      <c r="A289" s="10"/>
      <c r="B289" s="10"/>
      <c r="C289" s="10"/>
      <c r="D289" s="10"/>
      <c r="E289" s="10"/>
      <c r="F289" s="10"/>
      <c r="G289" s="10"/>
      <c r="I289" s="10"/>
      <c r="J289" s="10"/>
      <c r="K289" s="10"/>
      <c r="L289" s="10"/>
      <c r="M289" s="10" t="str">
        <f>ifna(VLOOKUP('acft-exerc'!$M289,FIX!$A$2:$D1000,4, false),"")</f>
        <v/>
      </c>
      <c r="N289" s="10"/>
      <c r="O289" s="10"/>
      <c r="P289" s="10"/>
      <c r="Q289" s="10"/>
      <c r="R289" s="10"/>
      <c r="S289" s="10"/>
      <c r="T289" s="10"/>
      <c r="U289" s="10"/>
      <c r="V289" s="10"/>
    </row>
    <row r="290">
      <c r="A290" s="10"/>
      <c r="B290" s="10"/>
      <c r="C290" s="10"/>
      <c r="D290" s="10"/>
      <c r="E290" s="10"/>
      <c r="F290" s="10"/>
      <c r="G290" s="10"/>
      <c r="I290" s="10"/>
      <c r="J290" s="10"/>
      <c r="K290" s="10"/>
      <c r="L290" s="10"/>
      <c r="M290" s="10" t="str">
        <f>ifna(VLOOKUP('acft-exerc'!$M290,FIX!$A$2:$D1000,4, false),"")</f>
        <v/>
      </c>
      <c r="N290" s="10"/>
      <c r="O290" s="10"/>
      <c r="P290" s="10"/>
      <c r="Q290" s="10"/>
      <c r="R290" s="10"/>
      <c r="S290" s="10"/>
      <c r="T290" s="10"/>
      <c r="U290" s="10"/>
      <c r="V290" s="10"/>
    </row>
    <row r="291">
      <c r="A291" s="10"/>
      <c r="B291" s="10"/>
      <c r="C291" s="10"/>
      <c r="D291" s="10"/>
      <c r="E291" s="10"/>
      <c r="F291" s="10"/>
      <c r="G291" s="10"/>
      <c r="I291" s="10"/>
      <c r="J291" s="10"/>
      <c r="K291" s="10"/>
      <c r="L291" s="10"/>
      <c r="M291" s="10" t="str">
        <f>ifna(VLOOKUP('acft-exerc'!$M291,FIX!$A$2:$D1000,4, false),"")</f>
        <v/>
      </c>
      <c r="N291" s="10"/>
      <c r="O291" s="10"/>
      <c r="P291" s="10"/>
      <c r="Q291" s="10"/>
      <c r="R291" s="10"/>
      <c r="S291" s="10"/>
      <c r="T291" s="10"/>
      <c r="U291" s="10"/>
      <c r="V291" s="10"/>
    </row>
    <row r="292">
      <c r="A292" s="10"/>
      <c r="B292" s="10"/>
      <c r="C292" s="10"/>
      <c r="D292" s="10"/>
      <c r="E292" s="10"/>
      <c r="F292" s="10"/>
      <c r="G292" s="10"/>
      <c r="I292" s="10"/>
      <c r="J292" s="10"/>
      <c r="K292" s="10"/>
      <c r="L292" s="10"/>
      <c r="M292" s="10" t="str">
        <f>ifna(VLOOKUP('acft-exerc'!$M292,FIX!$A$2:$D1000,4, false),"")</f>
        <v/>
      </c>
      <c r="N292" s="10"/>
      <c r="O292" s="10"/>
      <c r="P292" s="10"/>
      <c r="Q292" s="10"/>
      <c r="R292" s="10"/>
      <c r="S292" s="10"/>
      <c r="T292" s="10"/>
      <c r="U292" s="10"/>
      <c r="V292" s="10"/>
    </row>
    <row r="293">
      <c r="A293" s="10"/>
      <c r="B293" s="10"/>
      <c r="C293" s="10"/>
      <c r="D293" s="10"/>
      <c r="E293" s="10"/>
      <c r="F293" s="10"/>
      <c r="G293" s="10"/>
      <c r="I293" s="10"/>
      <c r="J293" s="10"/>
      <c r="K293" s="10"/>
      <c r="L293" s="10"/>
      <c r="M293" s="10" t="str">
        <f>ifna(VLOOKUP('acft-exerc'!$M293,FIX!$A$2:$D1000,4, false),"")</f>
        <v/>
      </c>
      <c r="N293" s="10"/>
      <c r="O293" s="10"/>
      <c r="P293" s="10"/>
      <c r="Q293" s="10"/>
      <c r="R293" s="10"/>
      <c r="S293" s="10"/>
      <c r="T293" s="10"/>
      <c r="U293" s="10"/>
      <c r="V293" s="10"/>
    </row>
    <row r="294">
      <c r="A294" s="10"/>
      <c r="B294" s="10"/>
      <c r="C294" s="10"/>
      <c r="D294" s="10"/>
      <c r="E294" s="10"/>
      <c r="F294" s="10"/>
      <c r="G294" s="10"/>
      <c r="I294" s="10"/>
      <c r="J294" s="10"/>
      <c r="K294" s="10"/>
      <c r="L294" s="10"/>
      <c r="M294" s="10" t="str">
        <f>ifna(VLOOKUP('acft-exerc'!$M294,FIX!$A$2:$D1000,4, false),"")</f>
        <v/>
      </c>
      <c r="N294" s="10"/>
      <c r="O294" s="10"/>
      <c r="P294" s="10"/>
      <c r="Q294" s="10"/>
      <c r="R294" s="10"/>
      <c r="S294" s="10"/>
      <c r="T294" s="10"/>
      <c r="U294" s="10"/>
      <c r="V294" s="10"/>
    </row>
    <row r="295">
      <c r="A295" s="10"/>
      <c r="B295" s="10"/>
      <c r="C295" s="10"/>
      <c r="D295" s="10"/>
      <c r="E295" s="10"/>
      <c r="F295" s="10"/>
      <c r="G295" s="10"/>
      <c r="I295" s="10"/>
      <c r="J295" s="10"/>
      <c r="K295" s="10"/>
      <c r="L295" s="10"/>
      <c r="M295" s="10" t="str">
        <f>ifna(VLOOKUP('acft-exerc'!$M295,FIX!$A$2:$D1000,4, false),"")</f>
        <v/>
      </c>
      <c r="N295" s="10"/>
      <c r="O295" s="10"/>
      <c r="P295" s="10"/>
      <c r="Q295" s="10"/>
      <c r="R295" s="10"/>
      <c r="S295" s="10"/>
      <c r="T295" s="10"/>
      <c r="U295" s="10"/>
      <c r="V295" s="10"/>
    </row>
    <row r="296">
      <c r="A296" s="10"/>
      <c r="B296" s="10"/>
      <c r="C296" s="10"/>
      <c r="D296" s="10"/>
      <c r="E296" s="10"/>
      <c r="F296" s="10"/>
      <c r="G296" s="10"/>
      <c r="I296" s="10"/>
      <c r="J296" s="10"/>
      <c r="K296" s="10"/>
      <c r="L296" s="10"/>
      <c r="M296" s="10" t="str">
        <f>ifna(VLOOKUP('acft-exerc'!$M296,FIX!$A$2:$D1000,4, false),"")</f>
        <v/>
      </c>
      <c r="N296" s="10"/>
      <c r="O296" s="10"/>
      <c r="P296" s="10"/>
      <c r="Q296" s="10"/>
      <c r="R296" s="10"/>
      <c r="S296" s="10"/>
      <c r="T296" s="10"/>
      <c r="U296" s="10"/>
      <c r="V296" s="10"/>
    </row>
    <row r="297">
      <c r="A297" s="10"/>
      <c r="B297" s="10"/>
      <c r="C297" s="10"/>
      <c r="D297" s="10"/>
      <c r="E297" s="10"/>
      <c r="F297" s="10"/>
      <c r="G297" s="10"/>
      <c r="I297" s="10"/>
      <c r="J297" s="10"/>
      <c r="K297" s="10"/>
      <c r="L297" s="10"/>
      <c r="M297" s="10" t="str">
        <f>ifna(VLOOKUP('acft-exerc'!$M297,FIX!$A$2:$D1000,4, false),"")</f>
        <v/>
      </c>
      <c r="N297" s="10"/>
      <c r="O297" s="10"/>
      <c r="P297" s="10"/>
      <c r="Q297" s="10"/>
      <c r="R297" s="10"/>
      <c r="S297" s="10"/>
      <c r="T297" s="10"/>
      <c r="U297" s="10"/>
      <c r="V297" s="10"/>
    </row>
    <row r="298">
      <c r="A298" s="10"/>
      <c r="B298" s="10"/>
      <c r="C298" s="10"/>
      <c r="D298" s="10"/>
      <c r="E298" s="10"/>
      <c r="F298" s="10"/>
      <c r="G298" s="10"/>
      <c r="I298" s="10"/>
      <c r="J298" s="10"/>
      <c r="K298" s="10"/>
      <c r="L298" s="10"/>
      <c r="M298" s="10" t="str">
        <f>ifna(VLOOKUP('acft-exerc'!$M298,FIX!$A$2:$D1000,4, false),"")</f>
        <v/>
      </c>
      <c r="N298" s="10"/>
      <c r="O298" s="10"/>
      <c r="P298" s="10"/>
      <c r="Q298" s="10"/>
      <c r="R298" s="10"/>
      <c r="S298" s="10"/>
      <c r="T298" s="10"/>
      <c r="U298" s="10"/>
      <c r="V298" s="10"/>
    </row>
    <row r="299">
      <c r="A299" s="10"/>
      <c r="B299" s="10"/>
      <c r="C299" s="10"/>
      <c r="D299" s="10"/>
      <c r="E299" s="10"/>
      <c r="F299" s="10"/>
      <c r="G299" s="10"/>
      <c r="I299" s="10"/>
      <c r="J299" s="10"/>
      <c r="K299" s="10"/>
      <c r="L299" s="10"/>
      <c r="M299" s="10" t="str">
        <f>ifna(VLOOKUP('acft-exerc'!$M299,FIX!$A$2:$D1000,4, false),"")</f>
        <v/>
      </c>
      <c r="N299" s="10"/>
      <c r="O299" s="10"/>
      <c r="P299" s="10"/>
      <c r="Q299" s="10"/>
      <c r="R299" s="10"/>
      <c r="S299" s="10"/>
      <c r="T299" s="10"/>
      <c r="U299" s="10"/>
      <c r="V299" s="10"/>
    </row>
    <row r="300">
      <c r="A300" s="10"/>
      <c r="B300" s="10"/>
      <c r="C300" s="10"/>
      <c r="D300" s="10"/>
      <c r="E300" s="10"/>
      <c r="F300" s="10"/>
      <c r="G300" s="10"/>
      <c r="I300" s="10"/>
      <c r="J300" s="10"/>
      <c r="K300" s="10"/>
      <c r="L300" s="10"/>
      <c r="M300" s="10" t="str">
        <f>ifna(VLOOKUP('acft-exerc'!$M300,FIX!$A$2:$D1000,4, false),"")</f>
        <v/>
      </c>
      <c r="N300" s="10"/>
      <c r="O300" s="10"/>
      <c r="P300" s="10"/>
      <c r="Q300" s="10"/>
      <c r="R300" s="10"/>
      <c r="S300" s="10"/>
      <c r="T300" s="10"/>
      <c r="U300" s="10"/>
      <c r="V300" s="10"/>
    </row>
    <row r="301">
      <c r="A301" s="10"/>
      <c r="B301" s="10"/>
      <c r="C301" s="10"/>
      <c r="D301" s="10"/>
      <c r="E301" s="10"/>
      <c r="F301" s="10"/>
      <c r="G301" s="10"/>
      <c r="I301" s="10"/>
      <c r="J301" s="10"/>
      <c r="K301" s="10"/>
      <c r="L301" s="10"/>
      <c r="M301" s="10" t="str">
        <f>ifna(VLOOKUP('acft-exerc'!$M301,FIX!$A$2:$D1000,4, false),"")</f>
        <v/>
      </c>
      <c r="N301" s="10"/>
      <c r="O301" s="10"/>
      <c r="P301" s="10"/>
      <c r="Q301" s="10"/>
      <c r="R301" s="10"/>
      <c r="S301" s="10"/>
      <c r="T301" s="10"/>
      <c r="U301" s="10"/>
      <c r="V301" s="10"/>
    </row>
    <row r="302">
      <c r="A302" s="10"/>
      <c r="B302" s="10"/>
      <c r="C302" s="10"/>
      <c r="D302" s="10"/>
      <c r="E302" s="10"/>
      <c r="F302" s="10"/>
      <c r="G302" s="10"/>
      <c r="I302" s="10"/>
      <c r="J302" s="10"/>
      <c r="K302" s="10"/>
      <c r="L302" s="10"/>
      <c r="M302" s="10" t="str">
        <f>ifna(VLOOKUP('acft-exerc'!$M302,FIX!$A$2:$D1000,4, false),"")</f>
        <v/>
      </c>
      <c r="N302" s="10"/>
      <c r="O302" s="10"/>
      <c r="P302" s="10"/>
      <c r="Q302" s="10"/>
      <c r="R302" s="10"/>
      <c r="S302" s="10"/>
      <c r="T302" s="10"/>
      <c r="U302" s="10"/>
      <c r="V302" s="10"/>
    </row>
    <row r="303">
      <c r="A303" s="10"/>
      <c r="B303" s="10"/>
      <c r="C303" s="10"/>
      <c r="D303" s="10"/>
      <c r="E303" s="10"/>
      <c r="F303" s="10"/>
      <c r="G303" s="10"/>
      <c r="I303" s="10"/>
      <c r="J303" s="10"/>
      <c r="K303" s="10"/>
      <c r="L303" s="10"/>
      <c r="M303" s="10" t="str">
        <f>ifna(VLOOKUP('acft-exerc'!$M303,FIX!$A$2:$D1000,4, false),"")</f>
        <v/>
      </c>
      <c r="N303" s="10"/>
      <c r="O303" s="10"/>
      <c r="P303" s="10"/>
      <c r="Q303" s="10"/>
      <c r="R303" s="10"/>
      <c r="S303" s="10"/>
      <c r="T303" s="10"/>
      <c r="U303" s="10"/>
      <c r="V303" s="10"/>
    </row>
    <row r="304">
      <c r="A304" s="10"/>
      <c r="B304" s="10"/>
      <c r="C304" s="10"/>
      <c r="D304" s="10"/>
      <c r="E304" s="10"/>
      <c r="F304" s="10"/>
      <c r="G304" s="10"/>
      <c r="I304" s="10"/>
      <c r="J304" s="10"/>
      <c r="K304" s="10"/>
      <c r="L304" s="10"/>
      <c r="M304" s="10" t="str">
        <f>ifna(VLOOKUP('acft-exerc'!$M304,FIX!$A$2:$D1000,4, false),"")</f>
        <v/>
      </c>
      <c r="N304" s="10"/>
      <c r="O304" s="10"/>
      <c r="P304" s="10"/>
      <c r="Q304" s="10"/>
      <c r="R304" s="10"/>
      <c r="S304" s="10"/>
      <c r="T304" s="10"/>
      <c r="U304" s="10"/>
      <c r="V304" s="10"/>
    </row>
    <row r="305">
      <c r="A305" s="10"/>
      <c r="B305" s="10"/>
      <c r="C305" s="10"/>
      <c r="D305" s="10"/>
      <c r="E305" s="10"/>
      <c r="F305" s="10"/>
      <c r="G305" s="10"/>
      <c r="I305" s="10"/>
      <c r="J305" s="10"/>
      <c r="K305" s="10"/>
      <c r="L305" s="10"/>
      <c r="M305" s="10" t="str">
        <f>ifna(VLOOKUP('acft-exerc'!$M305,FIX!$A$2:$D1000,4, false),"")</f>
        <v/>
      </c>
      <c r="N305" s="10"/>
      <c r="O305" s="10"/>
      <c r="P305" s="10"/>
      <c r="Q305" s="10"/>
      <c r="R305" s="10"/>
      <c r="S305" s="10"/>
      <c r="T305" s="10"/>
      <c r="U305" s="10"/>
      <c r="V305" s="10"/>
    </row>
    <row r="306">
      <c r="A306" s="10"/>
      <c r="B306" s="10"/>
      <c r="C306" s="10"/>
      <c r="D306" s="10"/>
      <c r="E306" s="10"/>
      <c r="F306" s="10"/>
      <c r="G306" s="10"/>
      <c r="I306" s="10"/>
      <c r="J306" s="10"/>
      <c r="K306" s="10"/>
      <c r="L306" s="10"/>
      <c r="M306" s="10" t="str">
        <f>ifna(VLOOKUP('acft-exerc'!$M306,FIX!$A$2:$D1000,4, false),"")</f>
        <v/>
      </c>
      <c r="N306" s="10"/>
      <c r="O306" s="10"/>
      <c r="P306" s="10"/>
      <c r="Q306" s="10"/>
      <c r="R306" s="10"/>
      <c r="S306" s="10"/>
      <c r="T306" s="10"/>
      <c r="U306" s="10"/>
      <c r="V306" s="10"/>
    </row>
    <row r="307">
      <c r="A307" s="10"/>
      <c r="B307" s="10"/>
      <c r="C307" s="10"/>
      <c r="D307" s="10"/>
      <c r="E307" s="10"/>
      <c r="F307" s="10"/>
      <c r="G307" s="10"/>
      <c r="I307" s="10"/>
      <c r="J307" s="10"/>
      <c r="K307" s="10"/>
      <c r="L307" s="10"/>
      <c r="M307" s="10" t="str">
        <f>ifna(VLOOKUP('acft-exerc'!$M307,FIX!$A$2:$D1000,4, false),"")</f>
        <v/>
      </c>
      <c r="N307" s="10"/>
      <c r="O307" s="10"/>
      <c r="P307" s="10"/>
      <c r="Q307" s="10"/>
      <c r="R307" s="10"/>
      <c r="S307" s="10"/>
      <c r="T307" s="10"/>
      <c r="U307" s="10"/>
      <c r="V307" s="10"/>
    </row>
    <row r="308">
      <c r="A308" s="10"/>
      <c r="B308" s="10"/>
      <c r="C308" s="10"/>
      <c r="D308" s="10"/>
      <c r="E308" s="10"/>
      <c r="F308" s="10"/>
      <c r="G308" s="10"/>
      <c r="I308" s="10"/>
      <c r="J308" s="10"/>
      <c r="K308" s="10"/>
      <c r="L308" s="10"/>
      <c r="M308" s="10" t="str">
        <f>ifna(VLOOKUP('acft-exerc'!$M308,FIX!$A$2:$D1000,4, false),"")</f>
        <v/>
      </c>
      <c r="N308" s="10"/>
      <c r="O308" s="10"/>
      <c r="P308" s="10"/>
      <c r="Q308" s="10"/>
      <c r="R308" s="10"/>
      <c r="S308" s="10"/>
      <c r="T308" s="10"/>
      <c r="U308" s="10"/>
      <c r="V308" s="10"/>
    </row>
    <row r="309">
      <c r="A309" s="10"/>
      <c r="B309" s="10"/>
      <c r="C309" s="10"/>
      <c r="D309" s="10"/>
      <c r="E309" s="10"/>
      <c r="F309" s="10"/>
      <c r="G309" s="10"/>
      <c r="I309" s="10"/>
      <c r="J309" s="10"/>
      <c r="K309" s="10"/>
      <c r="L309" s="10"/>
      <c r="M309" s="10" t="str">
        <f>ifna(VLOOKUP('acft-exerc'!$M309,FIX!$A$2:$D1000,4, false),"")</f>
        <v/>
      </c>
      <c r="N309" s="10"/>
      <c r="O309" s="10"/>
      <c r="P309" s="10"/>
      <c r="Q309" s="10"/>
      <c r="R309" s="10"/>
      <c r="S309" s="10"/>
      <c r="T309" s="10"/>
      <c r="U309" s="10"/>
      <c r="V309" s="10"/>
    </row>
    <row r="310">
      <c r="A310" s="10"/>
      <c r="B310" s="10"/>
      <c r="C310" s="10"/>
      <c r="D310" s="10"/>
      <c r="E310" s="10"/>
      <c r="F310" s="10"/>
      <c r="G310" s="10"/>
      <c r="I310" s="10"/>
      <c r="J310" s="10"/>
      <c r="K310" s="10"/>
      <c r="L310" s="10"/>
      <c r="M310" s="10" t="str">
        <f>ifna(VLOOKUP('acft-exerc'!$M310,FIX!$A$2:$D1000,4, false),"")</f>
        <v/>
      </c>
      <c r="N310" s="10"/>
      <c r="O310" s="10"/>
      <c r="P310" s="10"/>
      <c r="Q310" s="10"/>
      <c r="R310" s="10"/>
      <c r="S310" s="10"/>
      <c r="T310" s="10"/>
      <c r="U310" s="10"/>
      <c r="V310" s="10"/>
    </row>
    <row r="311">
      <c r="A311" s="10"/>
      <c r="B311" s="10"/>
      <c r="C311" s="10"/>
      <c r="D311" s="10"/>
      <c r="E311" s="10"/>
      <c r="F311" s="10"/>
      <c r="G311" s="10"/>
      <c r="I311" s="10"/>
      <c r="J311" s="10"/>
      <c r="K311" s="10"/>
      <c r="L311" s="10"/>
      <c r="M311" s="10" t="str">
        <f>ifna(VLOOKUP('acft-exerc'!$M311,FIX!$A$2:$D1000,4, false),"")</f>
        <v/>
      </c>
      <c r="N311" s="10"/>
      <c r="O311" s="10"/>
      <c r="P311" s="10"/>
      <c r="Q311" s="10"/>
      <c r="R311" s="10"/>
      <c r="S311" s="10"/>
      <c r="T311" s="10"/>
      <c r="U311" s="10"/>
      <c r="V311" s="10"/>
    </row>
    <row r="312">
      <c r="A312" s="10"/>
      <c r="B312" s="10"/>
      <c r="C312" s="10"/>
      <c r="D312" s="10"/>
      <c r="E312" s="10"/>
      <c r="F312" s="10"/>
      <c r="G312" s="10"/>
      <c r="I312" s="10"/>
      <c r="J312" s="10"/>
      <c r="K312" s="10"/>
      <c r="L312" s="10"/>
      <c r="M312" s="10" t="str">
        <f>ifna(VLOOKUP('acft-exerc'!$M312,FIX!$A$2:$D1000,4, false),"")</f>
        <v/>
      </c>
      <c r="N312" s="10"/>
      <c r="O312" s="10"/>
      <c r="P312" s="10"/>
      <c r="Q312" s="10"/>
      <c r="R312" s="10"/>
      <c r="S312" s="10"/>
      <c r="T312" s="10"/>
      <c r="U312" s="10"/>
      <c r="V312" s="10"/>
    </row>
    <row r="313">
      <c r="A313" s="10"/>
      <c r="B313" s="10"/>
      <c r="C313" s="10"/>
      <c r="D313" s="10"/>
      <c r="E313" s="10"/>
      <c r="F313" s="10"/>
      <c r="G313" s="10"/>
      <c r="I313" s="10"/>
      <c r="J313" s="10"/>
      <c r="K313" s="10"/>
      <c r="L313" s="10"/>
      <c r="M313" s="10" t="str">
        <f>ifna(VLOOKUP('acft-exerc'!$M313,FIX!$A$2:$D1000,4, false),"")</f>
        <v/>
      </c>
      <c r="N313" s="10"/>
      <c r="O313" s="10"/>
      <c r="P313" s="10"/>
      <c r="Q313" s="10"/>
      <c r="R313" s="10"/>
      <c r="S313" s="10"/>
      <c r="T313" s="10"/>
      <c r="U313" s="10"/>
      <c r="V313" s="10"/>
    </row>
    <row r="314">
      <c r="A314" s="10"/>
      <c r="B314" s="10"/>
      <c r="C314" s="10"/>
      <c r="D314" s="10"/>
      <c r="E314" s="10"/>
      <c r="F314" s="10"/>
      <c r="G314" s="10"/>
      <c r="I314" s="10"/>
      <c r="J314" s="10"/>
      <c r="K314" s="10"/>
      <c r="L314" s="10"/>
      <c r="M314" s="10" t="str">
        <f>ifna(VLOOKUP('acft-exerc'!$M314,FIX!$A$2:$D1000,4, false),"")</f>
        <v/>
      </c>
      <c r="N314" s="10"/>
      <c r="O314" s="10"/>
      <c r="P314" s="10"/>
      <c r="Q314" s="10"/>
      <c r="R314" s="10"/>
      <c r="S314" s="10"/>
      <c r="T314" s="10"/>
      <c r="U314" s="10"/>
      <c r="V314" s="10"/>
    </row>
    <row r="315">
      <c r="A315" s="10"/>
      <c r="B315" s="10"/>
      <c r="C315" s="10"/>
      <c r="D315" s="10"/>
      <c r="E315" s="10"/>
      <c r="F315" s="10"/>
      <c r="G315" s="10"/>
      <c r="I315" s="10"/>
      <c r="J315" s="10"/>
      <c r="K315" s="10"/>
      <c r="L315" s="10"/>
      <c r="M315" s="10" t="str">
        <f>ifna(VLOOKUP('acft-exerc'!$M315,FIX!$A$2:$D1000,4, false),"")</f>
        <v/>
      </c>
      <c r="N315" s="10"/>
      <c r="O315" s="10"/>
      <c r="P315" s="10"/>
      <c r="Q315" s="10"/>
      <c r="R315" s="10"/>
      <c r="S315" s="10"/>
      <c r="T315" s="10"/>
      <c r="U315" s="10"/>
      <c r="V315" s="10"/>
    </row>
    <row r="316">
      <c r="A316" s="10"/>
      <c r="B316" s="10"/>
      <c r="C316" s="10"/>
      <c r="D316" s="10"/>
      <c r="E316" s="10"/>
      <c r="F316" s="10"/>
      <c r="G316" s="10"/>
      <c r="I316" s="10"/>
      <c r="J316" s="10"/>
      <c r="K316" s="10"/>
      <c r="L316" s="10"/>
      <c r="M316" s="10" t="str">
        <f>ifna(VLOOKUP('acft-exerc'!$M316,FIX!$A$2:$D1000,4, false),"")</f>
        <v/>
      </c>
      <c r="N316" s="10"/>
      <c r="O316" s="10"/>
      <c r="P316" s="10"/>
      <c r="Q316" s="10"/>
      <c r="R316" s="10"/>
      <c r="S316" s="10"/>
      <c r="T316" s="10"/>
      <c r="U316" s="10"/>
      <c r="V316" s="10"/>
    </row>
    <row r="317">
      <c r="A317" s="10"/>
      <c r="B317" s="10"/>
      <c r="C317" s="10"/>
      <c r="D317" s="10"/>
      <c r="E317" s="10"/>
      <c r="F317" s="10"/>
      <c r="G317" s="10"/>
      <c r="I317" s="10"/>
      <c r="J317" s="10"/>
      <c r="K317" s="10"/>
      <c r="L317" s="10"/>
      <c r="M317" s="10" t="str">
        <f>ifna(VLOOKUP('acft-exerc'!$M317,FIX!$A$2:$D1000,4, false),"")</f>
        <v/>
      </c>
      <c r="N317" s="10"/>
      <c r="O317" s="10"/>
      <c r="P317" s="10"/>
      <c r="Q317" s="10"/>
      <c r="R317" s="10"/>
      <c r="S317" s="10"/>
      <c r="T317" s="10"/>
      <c r="U317" s="10"/>
      <c r="V317" s="10"/>
    </row>
    <row r="318">
      <c r="A318" s="10"/>
      <c r="B318" s="10"/>
      <c r="C318" s="10"/>
      <c r="D318" s="10"/>
      <c r="E318" s="10"/>
      <c r="F318" s="10"/>
      <c r="G318" s="10"/>
      <c r="I318" s="10"/>
      <c r="J318" s="10"/>
      <c r="K318" s="10"/>
      <c r="L318" s="10"/>
      <c r="M318" s="10" t="str">
        <f>ifna(VLOOKUP('acft-exerc'!$M318,FIX!$A$2:$D1000,4, false),"")</f>
        <v/>
      </c>
      <c r="N318" s="10"/>
      <c r="O318" s="10"/>
      <c r="P318" s="10"/>
      <c r="Q318" s="10"/>
      <c r="R318" s="10"/>
      <c r="S318" s="10"/>
      <c r="T318" s="10"/>
      <c r="U318" s="10"/>
      <c r="V318" s="10"/>
    </row>
    <row r="319">
      <c r="A319" s="10"/>
      <c r="B319" s="10"/>
      <c r="C319" s="10"/>
      <c r="D319" s="10"/>
      <c r="E319" s="10"/>
      <c r="F319" s="10"/>
      <c r="G319" s="10"/>
      <c r="I319" s="10"/>
      <c r="J319" s="10"/>
      <c r="K319" s="10"/>
      <c r="L319" s="10"/>
      <c r="M319" s="10" t="str">
        <f>ifna(VLOOKUP('acft-exerc'!$M319,FIX!$A$2:$D1000,4, false),"")</f>
        <v/>
      </c>
      <c r="N319" s="10"/>
      <c r="O319" s="10"/>
      <c r="P319" s="10"/>
      <c r="Q319" s="10"/>
      <c r="R319" s="10"/>
      <c r="S319" s="10"/>
      <c r="T319" s="10"/>
      <c r="U319" s="10"/>
      <c r="V319" s="10"/>
    </row>
    <row r="320">
      <c r="A320" s="10"/>
      <c r="B320" s="10"/>
      <c r="C320" s="10"/>
      <c r="D320" s="10"/>
      <c r="E320" s="10"/>
      <c r="F320" s="10"/>
      <c r="G320" s="10"/>
      <c r="I320" s="10"/>
      <c r="J320" s="10"/>
      <c r="K320" s="10"/>
      <c r="L320" s="10"/>
      <c r="M320" s="10" t="str">
        <f>ifna(VLOOKUP('acft-exerc'!$M320,FIX!$A$2:$D1000,4, false),"")</f>
        <v/>
      </c>
      <c r="N320" s="10"/>
      <c r="O320" s="10"/>
      <c r="P320" s="10"/>
      <c r="Q320" s="10"/>
      <c r="R320" s="10"/>
      <c r="S320" s="10"/>
      <c r="T320" s="10"/>
      <c r="U320" s="10"/>
      <c r="V320" s="10"/>
    </row>
    <row r="321">
      <c r="A321" s="10"/>
      <c r="B321" s="10"/>
      <c r="C321" s="10"/>
      <c r="D321" s="10"/>
      <c r="E321" s="10"/>
      <c r="F321" s="10"/>
      <c r="G321" s="10"/>
      <c r="I321" s="10"/>
      <c r="J321" s="10"/>
      <c r="K321" s="10"/>
      <c r="L321" s="10"/>
      <c r="M321" s="10" t="str">
        <f>ifna(VLOOKUP('acft-exerc'!$M321,FIX!$A$2:$D1000,4, false),"")</f>
        <v/>
      </c>
      <c r="N321" s="10"/>
      <c r="O321" s="10"/>
      <c r="P321" s="10"/>
      <c r="Q321" s="10"/>
      <c r="R321" s="10"/>
      <c r="S321" s="10"/>
      <c r="T321" s="10"/>
      <c r="U321" s="10"/>
      <c r="V321" s="10"/>
    </row>
    <row r="322">
      <c r="A322" s="10"/>
      <c r="B322" s="10"/>
      <c r="C322" s="10"/>
      <c r="D322" s="10"/>
      <c r="E322" s="10"/>
      <c r="F322" s="10"/>
      <c r="G322" s="10"/>
      <c r="I322" s="10"/>
      <c r="J322" s="10"/>
      <c r="K322" s="10"/>
      <c r="L322" s="10"/>
      <c r="M322" s="10" t="str">
        <f>ifna(VLOOKUP('acft-exerc'!$M322,FIX!$A$2:$D1000,4, false),"")</f>
        <v/>
      </c>
      <c r="N322" s="10"/>
      <c r="O322" s="10"/>
      <c r="P322" s="10"/>
      <c r="Q322" s="10"/>
      <c r="R322" s="10"/>
      <c r="S322" s="10"/>
      <c r="T322" s="10"/>
      <c r="U322" s="10"/>
      <c r="V322" s="10"/>
    </row>
    <row r="323">
      <c r="A323" s="10"/>
      <c r="B323" s="10"/>
      <c r="C323" s="10"/>
      <c r="D323" s="10"/>
      <c r="E323" s="10"/>
      <c r="F323" s="10"/>
      <c r="G323" s="10"/>
      <c r="I323" s="10"/>
      <c r="J323" s="10"/>
      <c r="K323" s="10"/>
      <c r="L323" s="10"/>
      <c r="M323" s="10" t="str">
        <f>ifna(VLOOKUP('acft-exerc'!$M323,FIX!$A$2:$D1000,4, false),"")</f>
        <v/>
      </c>
      <c r="N323" s="10"/>
      <c r="O323" s="10"/>
      <c r="P323" s="10"/>
      <c r="Q323" s="10"/>
      <c r="R323" s="10"/>
      <c r="S323" s="10"/>
      <c r="T323" s="10"/>
      <c r="U323" s="10"/>
      <c r="V323" s="10"/>
    </row>
    <row r="324">
      <c r="A324" s="10"/>
      <c r="B324" s="10"/>
      <c r="C324" s="10"/>
      <c r="D324" s="10"/>
      <c r="E324" s="10"/>
      <c r="F324" s="10"/>
      <c r="G324" s="10"/>
      <c r="I324" s="10"/>
      <c r="J324" s="10"/>
      <c r="K324" s="10"/>
      <c r="L324" s="10"/>
      <c r="M324" s="10" t="str">
        <f>ifna(VLOOKUP('acft-exerc'!$M324,FIX!$A$2:$D1000,4, false),"")</f>
        <v/>
      </c>
      <c r="N324" s="10"/>
      <c r="O324" s="10"/>
      <c r="P324" s="10"/>
      <c r="Q324" s="10"/>
      <c r="R324" s="10"/>
      <c r="S324" s="10"/>
      <c r="T324" s="10"/>
      <c r="U324" s="10"/>
      <c r="V324" s="10"/>
    </row>
    <row r="325">
      <c r="A325" s="10"/>
      <c r="B325" s="10"/>
      <c r="C325" s="10"/>
      <c r="D325" s="10"/>
      <c r="E325" s="10"/>
      <c r="F325" s="10"/>
      <c r="G325" s="10"/>
      <c r="I325" s="10"/>
      <c r="J325" s="10"/>
      <c r="K325" s="10"/>
      <c r="L325" s="10"/>
      <c r="M325" s="10" t="str">
        <f>ifna(VLOOKUP('acft-exerc'!$M325,FIX!$A$2:$D1000,4, false),"")</f>
        <v/>
      </c>
      <c r="N325" s="10"/>
      <c r="O325" s="10"/>
      <c r="P325" s="10"/>
      <c r="Q325" s="10"/>
      <c r="R325" s="10"/>
      <c r="S325" s="10"/>
      <c r="T325" s="10"/>
      <c r="U325" s="10"/>
      <c r="V325" s="10"/>
    </row>
    <row r="326">
      <c r="A326" s="10"/>
      <c r="B326" s="10"/>
      <c r="C326" s="10"/>
      <c r="D326" s="10"/>
      <c r="E326" s="10"/>
      <c r="F326" s="10"/>
      <c r="G326" s="10"/>
      <c r="I326" s="10"/>
      <c r="J326" s="10"/>
      <c r="K326" s="10"/>
      <c r="L326" s="10"/>
      <c r="M326" s="10" t="str">
        <f>ifna(VLOOKUP('acft-exerc'!$M326,FIX!$A$2:$D1000,4, false),"")</f>
        <v/>
      </c>
      <c r="N326" s="10"/>
      <c r="O326" s="10"/>
      <c r="P326" s="10"/>
      <c r="Q326" s="10"/>
      <c r="R326" s="10"/>
      <c r="S326" s="10"/>
      <c r="T326" s="10"/>
      <c r="U326" s="10"/>
      <c r="V326" s="10"/>
    </row>
    <row r="327">
      <c r="A327" s="10"/>
      <c r="B327" s="10"/>
      <c r="C327" s="10"/>
      <c r="D327" s="10"/>
      <c r="E327" s="10"/>
      <c r="F327" s="10"/>
      <c r="G327" s="10"/>
      <c r="I327" s="10"/>
      <c r="J327" s="10"/>
      <c r="K327" s="10"/>
      <c r="L327" s="10"/>
      <c r="M327" s="10" t="str">
        <f>ifna(VLOOKUP('acft-exerc'!$M327,FIX!$A$2:$D1000,4, false),"")</f>
        <v/>
      </c>
      <c r="N327" s="10"/>
      <c r="O327" s="10"/>
      <c r="P327" s="10"/>
      <c r="Q327" s="10"/>
      <c r="R327" s="10"/>
      <c r="S327" s="10"/>
      <c r="T327" s="10"/>
      <c r="U327" s="10"/>
      <c r="V327" s="10"/>
    </row>
    <row r="328">
      <c r="A328" s="10"/>
      <c r="B328" s="10"/>
      <c r="C328" s="10"/>
      <c r="D328" s="10"/>
      <c r="E328" s="10"/>
      <c r="F328" s="10"/>
      <c r="G328" s="10"/>
      <c r="I328" s="10"/>
      <c r="J328" s="10"/>
      <c r="K328" s="10"/>
      <c r="L328" s="10"/>
      <c r="M328" s="10" t="str">
        <f>ifna(VLOOKUP('acft-exerc'!$M328,FIX!$A$2:$D1000,4, false),"")</f>
        <v/>
      </c>
      <c r="N328" s="10"/>
      <c r="O328" s="10"/>
      <c r="P328" s="10"/>
      <c r="Q328" s="10"/>
      <c r="R328" s="10"/>
      <c r="S328" s="10"/>
      <c r="T328" s="10"/>
      <c r="U328" s="10"/>
      <c r="V328" s="10"/>
    </row>
    <row r="329">
      <c r="A329" s="10"/>
      <c r="B329" s="10"/>
      <c r="C329" s="10"/>
      <c r="D329" s="10"/>
      <c r="E329" s="10"/>
      <c r="F329" s="10"/>
      <c r="G329" s="10"/>
      <c r="I329" s="10"/>
      <c r="J329" s="10"/>
      <c r="K329" s="10"/>
      <c r="L329" s="10"/>
      <c r="M329" s="10" t="str">
        <f>ifna(VLOOKUP('acft-exerc'!$M329,FIX!$A$2:$D1000,4, false),"")</f>
        <v/>
      </c>
      <c r="N329" s="10"/>
      <c r="O329" s="10"/>
      <c r="P329" s="10"/>
      <c r="Q329" s="10"/>
      <c r="R329" s="10"/>
      <c r="S329" s="10"/>
      <c r="T329" s="10"/>
      <c r="U329" s="10"/>
      <c r="V329" s="10"/>
    </row>
    <row r="330">
      <c r="A330" s="10"/>
      <c r="B330" s="10"/>
      <c r="C330" s="10"/>
      <c r="D330" s="10"/>
      <c r="E330" s="10"/>
      <c r="F330" s="10"/>
      <c r="G330" s="10"/>
      <c r="I330" s="10"/>
      <c r="J330" s="10"/>
      <c r="K330" s="10"/>
      <c r="L330" s="10"/>
      <c r="M330" s="10" t="str">
        <f>ifna(VLOOKUP('acft-exerc'!$M330,FIX!$A$2:$D1000,4, false),"")</f>
        <v/>
      </c>
      <c r="N330" s="10"/>
      <c r="O330" s="10"/>
      <c r="P330" s="10"/>
      <c r="Q330" s="10"/>
      <c r="R330" s="10"/>
      <c r="S330" s="10"/>
      <c r="T330" s="10"/>
      <c r="U330" s="10"/>
      <c r="V330" s="10"/>
    </row>
    <row r="331">
      <c r="A331" s="10"/>
      <c r="B331" s="10"/>
      <c r="C331" s="10"/>
      <c r="D331" s="10"/>
      <c r="E331" s="10"/>
      <c r="F331" s="10"/>
      <c r="G331" s="10"/>
      <c r="I331" s="10"/>
      <c r="J331" s="10"/>
      <c r="K331" s="10"/>
      <c r="L331" s="10"/>
      <c r="M331" s="10" t="str">
        <f>ifna(VLOOKUP('acft-exerc'!$M331,FIX!$A$2:$D1000,4, false),"")</f>
        <v/>
      </c>
      <c r="N331" s="10"/>
      <c r="O331" s="10"/>
      <c r="P331" s="10"/>
      <c r="Q331" s="10"/>
      <c r="R331" s="10"/>
      <c r="S331" s="10"/>
      <c r="T331" s="10"/>
      <c r="U331" s="10"/>
      <c r="V331" s="10"/>
    </row>
    <row r="332">
      <c r="A332" s="10"/>
      <c r="B332" s="10"/>
      <c r="C332" s="10"/>
      <c r="D332" s="10"/>
      <c r="E332" s="10"/>
      <c r="F332" s="10"/>
      <c r="G332" s="10"/>
      <c r="I332" s="10"/>
      <c r="J332" s="10"/>
      <c r="K332" s="10"/>
      <c r="L332" s="10"/>
      <c r="M332" s="10" t="str">
        <f>ifna(VLOOKUP('acft-exerc'!$M332,FIX!$A$2:$D1000,4, false),"")</f>
        <v/>
      </c>
      <c r="N332" s="10"/>
      <c r="O332" s="10"/>
      <c r="P332" s="10"/>
      <c r="Q332" s="10"/>
      <c r="R332" s="10"/>
      <c r="S332" s="10"/>
      <c r="T332" s="10"/>
      <c r="U332" s="10"/>
      <c r="V332" s="10"/>
    </row>
    <row r="333">
      <c r="A333" s="10"/>
      <c r="B333" s="10"/>
      <c r="C333" s="10"/>
      <c r="D333" s="10"/>
      <c r="E333" s="10"/>
      <c r="F333" s="10"/>
      <c r="G333" s="10"/>
      <c r="I333" s="10"/>
      <c r="J333" s="10"/>
      <c r="K333" s="10"/>
      <c r="L333" s="10"/>
      <c r="M333" s="10" t="str">
        <f>ifna(VLOOKUP('acft-exerc'!$M333,FIX!$A$2:$D1000,4, false),"")</f>
        <v/>
      </c>
      <c r="N333" s="10"/>
      <c r="O333" s="10"/>
      <c r="P333" s="10"/>
      <c r="Q333" s="10"/>
      <c r="R333" s="10"/>
      <c r="S333" s="10"/>
      <c r="T333" s="10"/>
      <c r="U333" s="10"/>
      <c r="V333" s="10"/>
    </row>
    <row r="334">
      <c r="A334" s="10"/>
      <c r="B334" s="10"/>
      <c r="C334" s="10"/>
      <c r="D334" s="10"/>
      <c r="E334" s="10"/>
      <c r="F334" s="10"/>
      <c r="G334" s="10"/>
      <c r="I334" s="10"/>
      <c r="J334" s="10"/>
      <c r="K334" s="10"/>
      <c r="L334" s="10"/>
      <c r="M334" s="10" t="str">
        <f>ifna(VLOOKUP('acft-exerc'!$M334,FIX!$A$2:$D1000,4, false),"")</f>
        <v/>
      </c>
      <c r="N334" s="10"/>
      <c r="O334" s="10"/>
      <c r="P334" s="10"/>
      <c r="Q334" s="10"/>
      <c r="R334" s="10"/>
      <c r="S334" s="10"/>
      <c r="T334" s="10"/>
      <c r="U334" s="10"/>
      <c r="V334" s="10"/>
    </row>
    <row r="335">
      <c r="A335" s="10"/>
      <c r="B335" s="10"/>
      <c r="C335" s="10"/>
      <c r="D335" s="10"/>
      <c r="E335" s="10"/>
      <c r="F335" s="10"/>
      <c r="G335" s="10"/>
      <c r="I335" s="10"/>
      <c r="J335" s="10"/>
      <c r="K335" s="10"/>
      <c r="L335" s="10"/>
      <c r="M335" s="10" t="str">
        <f>ifna(VLOOKUP('acft-exerc'!$M335,FIX!$A$2:$D1000,4, false),"")</f>
        <v/>
      </c>
      <c r="N335" s="10"/>
      <c r="O335" s="10"/>
      <c r="P335" s="10"/>
      <c r="Q335" s="10"/>
      <c r="R335" s="10"/>
      <c r="S335" s="10"/>
      <c r="T335" s="10"/>
      <c r="U335" s="10"/>
      <c r="V335" s="10"/>
    </row>
    <row r="336">
      <c r="A336" s="10"/>
      <c r="B336" s="10"/>
      <c r="C336" s="10"/>
      <c r="D336" s="10"/>
      <c r="E336" s="10"/>
      <c r="F336" s="10"/>
      <c r="G336" s="10"/>
      <c r="I336" s="10"/>
      <c r="J336" s="10"/>
      <c r="K336" s="10"/>
      <c r="L336" s="10"/>
      <c r="M336" s="10" t="str">
        <f>ifna(VLOOKUP('acft-exerc'!$M336,FIX!$A$2:$D1000,4, false),"")</f>
        <v/>
      </c>
      <c r="N336" s="10"/>
      <c r="O336" s="10"/>
      <c r="P336" s="10"/>
      <c r="Q336" s="10"/>
      <c r="R336" s="10"/>
      <c r="S336" s="10"/>
      <c r="T336" s="10"/>
      <c r="U336" s="10"/>
      <c r="V336" s="10"/>
    </row>
    <row r="337">
      <c r="A337" s="10"/>
      <c r="B337" s="10"/>
      <c r="C337" s="10"/>
      <c r="D337" s="10"/>
      <c r="E337" s="10"/>
      <c r="F337" s="10"/>
      <c r="G337" s="10"/>
      <c r="I337" s="10"/>
      <c r="J337" s="10"/>
      <c r="K337" s="10"/>
      <c r="L337" s="10"/>
      <c r="M337" s="10" t="str">
        <f>ifna(VLOOKUP('acft-exerc'!$M337,FIX!$A$2:$D1000,4, false),"")</f>
        <v/>
      </c>
      <c r="N337" s="10"/>
      <c r="O337" s="10"/>
      <c r="P337" s="10"/>
      <c r="Q337" s="10"/>
      <c r="R337" s="10"/>
      <c r="S337" s="10"/>
      <c r="T337" s="10"/>
      <c r="U337" s="10"/>
      <c r="V337" s="10"/>
    </row>
    <row r="338">
      <c r="A338" s="10"/>
      <c r="B338" s="10"/>
      <c r="C338" s="10"/>
      <c r="D338" s="10"/>
      <c r="E338" s="10"/>
      <c r="F338" s="10"/>
      <c r="G338" s="10"/>
      <c r="I338" s="10"/>
      <c r="J338" s="10"/>
      <c r="K338" s="10"/>
      <c r="L338" s="10"/>
      <c r="M338" s="10" t="str">
        <f>ifna(VLOOKUP('acft-exerc'!$M338,FIX!$A$2:$D1000,4, false),"")</f>
        <v/>
      </c>
      <c r="N338" s="10"/>
      <c r="O338" s="10"/>
      <c r="P338" s="10"/>
      <c r="Q338" s="10"/>
      <c r="R338" s="10"/>
      <c r="S338" s="10"/>
      <c r="T338" s="10"/>
      <c r="U338" s="10"/>
      <c r="V338" s="10"/>
    </row>
    <row r="339">
      <c r="A339" s="10"/>
      <c r="B339" s="10"/>
      <c r="C339" s="10"/>
      <c r="D339" s="10"/>
      <c r="E339" s="10"/>
      <c r="F339" s="10"/>
      <c r="G339" s="10"/>
      <c r="I339" s="10"/>
      <c r="J339" s="10"/>
      <c r="K339" s="10"/>
      <c r="L339" s="10"/>
      <c r="M339" s="10" t="str">
        <f>ifna(VLOOKUP('acft-exerc'!$M339,FIX!$A$2:$D1000,4, false),"")</f>
        <v/>
      </c>
      <c r="N339" s="10"/>
      <c r="O339" s="10"/>
      <c r="P339" s="10"/>
      <c r="Q339" s="10"/>
      <c r="R339" s="10"/>
      <c r="S339" s="10"/>
      <c r="T339" s="10"/>
      <c r="U339" s="10"/>
      <c r="V339" s="10"/>
    </row>
    <row r="340">
      <c r="A340" s="10"/>
      <c r="B340" s="10"/>
      <c r="C340" s="10"/>
      <c r="D340" s="10"/>
      <c r="E340" s="10"/>
      <c r="F340" s="10"/>
      <c r="G340" s="10"/>
      <c r="I340" s="10"/>
      <c r="J340" s="10"/>
      <c r="K340" s="10"/>
      <c r="L340" s="10"/>
      <c r="M340" s="10" t="str">
        <f>ifna(VLOOKUP('acft-exerc'!$M340,FIX!$A$2:$D1000,4, false),"")</f>
        <v/>
      </c>
      <c r="N340" s="10"/>
      <c r="O340" s="10"/>
      <c r="P340" s="10"/>
      <c r="Q340" s="10"/>
      <c r="R340" s="10"/>
      <c r="S340" s="10"/>
      <c r="T340" s="10"/>
      <c r="U340" s="10"/>
      <c r="V340" s="10"/>
    </row>
    <row r="341">
      <c r="A341" s="10"/>
      <c r="B341" s="10"/>
      <c r="C341" s="10"/>
      <c r="D341" s="10"/>
      <c r="E341" s="10"/>
      <c r="F341" s="10"/>
      <c r="G341" s="10"/>
      <c r="I341" s="10"/>
      <c r="J341" s="10"/>
      <c r="K341" s="10"/>
      <c r="L341" s="10"/>
      <c r="M341" s="10" t="str">
        <f>ifna(VLOOKUP('acft-exerc'!$M341,FIX!$A$2:$D1000,4, false),"")</f>
        <v/>
      </c>
      <c r="N341" s="10"/>
      <c r="O341" s="10"/>
      <c r="P341" s="10"/>
      <c r="Q341" s="10"/>
      <c r="R341" s="10"/>
      <c r="S341" s="10"/>
      <c r="T341" s="10"/>
      <c r="U341" s="10"/>
      <c r="V341" s="10"/>
    </row>
    <row r="342">
      <c r="A342" s="10"/>
      <c r="B342" s="10"/>
      <c r="C342" s="10"/>
      <c r="D342" s="10"/>
      <c r="E342" s="10"/>
      <c r="F342" s="10"/>
      <c r="G342" s="10"/>
      <c r="I342" s="10"/>
      <c r="J342" s="10"/>
      <c r="K342" s="10"/>
      <c r="L342" s="10"/>
      <c r="M342" s="10" t="str">
        <f>ifna(VLOOKUP('acft-exerc'!$M342,FIX!$A$2:$D1000,4, false),"")</f>
        <v/>
      </c>
      <c r="N342" s="10"/>
      <c r="O342" s="10"/>
      <c r="P342" s="10"/>
      <c r="Q342" s="10"/>
      <c r="R342" s="10"/>
      <c r="S342" s="10"/>
      <c r="T342" s="10"/>
      <c r="U342" s="10"/>
      <c r="V342" s="10"/>
    </row>
    <row r="343">
      <c r="A343" s="10"/>
      <c r="B343" s="10"/>
      <c r="C343" s="10"/>
      <c r="D343" s="10"/>
      <c r="E343" s="10"/>
      <c r="F343" s="10"/>
      <c r="G343" s="10"/>
      <c r="I343" s="10"/>
      <c r="J343" s="10"/>
      <c r="K343" s="10"/>
      <c r="L343" s="10"/>
      <c r="M343" s="10" t="str">
        <f>ifna(VLOOKUP('acft-exerc'!$M343,FIX!$A$2:$D1000,4, false),"")</f>
        <v/>
      </c>
      <c r="N343" s="10"/>
      <c r="O343" s="10"/>
      <c r="P343" s="10"/>
      <c r="Q343" s="10"/>
      <c r="R343" s="10"/>
      <c r="S343" s="10"/>
      <c r="T343" s="10"/>
      <c r="U343" s="10"/>
      <c r="V343" s="10"/>
    </row>
    <row r="344">
      <c r="A344" s="10"/>
      <c r="B344" s="10"/>
      <c r="C344" s="10"/>
      <c r="D344" s="10"/>
      <c r="E344" s="10"/>
      <c r="F344" s="10"/>
      <c r="G344" s="10"/>
      <c r="I344" s="10"/>
      <c r="J344" s="10"/>
      <c r="K344" s="10"/>
      <c r="L344" s="10"/>
      <c r="M344" s="10" t="str">
        <f>ifna(VLOOKUP('acft-exerc'!$M344,FIX!$A$2:$D1000,4, false),"")</f>
        <v/>
      </c>
      <c r="N344" s="10"/>
      <c r="O344" s="10"/>
      <c r="P344" s="10"/>
      <c r="Q344" s="10"/>
      <c r="R344" s="10"/>
      <c r="S344" s="10"/>
      <c r="T344" s="10"/>
      <c r="U344" s="10"/>
      <c r="V344" s="10"/>
    </row>
    <row r="345">
      <c r="A345" s="10"/>
      <c r="B345" s="10"/>
      <c r="C345" s="10"/>
      <c r="D345" s="10"/>
      <c r="E345" s="10"/>
      <c r="F345" s="10"/>
      <c r="G345" s="10"/>
      <c r="I345" s="10"/>
      <c r="J345" s="10"/>
      <c r="K345" s="10"/>
      <c r="L345" s="10"/>
      <c r="M345" s="10" t="str">
        <f>ifna(VLOOKUP('acft-exerc'!$M345,FIX!$A$2:$D1000,4, false),"")</f>
        <v/>
      </c>
      <c r="N345" s="10"/>
      <c r="O345" s="10"/>
      <c r="P345" s="10"/>
      <c r="Q345" s="10"/>
      <c r="R345" s="10"/>
      <c r="S345" s="10"/>
      <c r="T345" s="10"/>
      <c r="U345" s="10"/>
      <c r="V345" s="10"/>
    </row>
    <row r="346">
      <c r="A346" s="10"/>
      <c r="B346" s="10"/>
      <c r="C346" s="10"/>
      <c r="D346" s="10"/>
      <c r="E346" s="10"/>
      <c r="F346" s="10"/>
      <c r="G346" s="10"/>
      <c r="I346" s="10"/>
      <c r="J346" s="10"/>
      <c r="K346" s="10"/>
      <c r="L346" s="10"/>
      <c r="M346" s="10" t="str">
        <f>ifna(VLOOKUP('acft-exerc'!$M346,FIX!$A$2:$D1000,4, false),"")</f>
        <v/>
      </c>
      <c r="N346" s="10"/>
      <c r="O346" s="10"/>
      <c r="P346" s="10"/>
      <c r="Q346" s="10"/>
      <c r="R346" s="10"/>
      <c r="S346" s="10"/>
      <c r="T346" s="10"/>
      <c r="U346" s="10"/>
      <c r="V346" s="10"/>
    </row>
    <row r="347">
      <c r="A347" s="10"/>
      <c r="B347" s="10"/>
      <c r="C347" s="10"/>
      <c r="D347" s="10"/>
      <c r="E347" s="10"/>
      <c r="F347" s="10"/>
      <c r="G347" s="10"/>
      <c r="I347" s="10"/>
      <c r="J347" s="10"/>
      <c r="K347" s="10"/>
      <c r="L347" s="10"/>
      <c r="M347" s="10" t="str">
        <f>ifna(VLOOKUP('acft-exerc'!$M347,FIX!$A$2:$D1000,4, false),"")</f>
        <v/>
      </c>
      <c r="N347" s="10"/>
      <c r="O347" s="10"/>
      <c r="P347" s="10"/>
      <c r="Q347" s="10"/>
      <c r="R347" s="10"/>
      <c r="S347" s="10"/>
      <c r="T347" s="10"/>
      <c r="U347" s="10"/>
      <c r="V347" s="10"/>
    </row>
    <row r="348">
      <c r="A348" s="10"/>
      <c r="B348" s="10"/>
      <c r="C348" s="10"/>
      <c r="D348" s="10"/>
      <c r="E348" s="10"/>
      <c r="F348" s="10"/>
      <c r="G348" s="10"/>
      <c r="I348" s="10"/>
      <c r="J348" s="10"/>
      <c r="K348" s="10"/>
      <c r="L348" s="10"/>
      <c r="M348" s="10" t="str">
        <f>ifna(VLOOKUP('acft-exerc'!$M348,FIX!$A$2:$D1000,4, false),"")</f>
        <v/>
      </c>
      <c r="N348" s="10"/>
      <c r="O348" s="10"/>
      <c r="P348" s="10"/>
      <c r="Q348" s="10"/>
      <c r="R348" s="10"/>
      <c r="S348" s="10"/>
      <c r="T348" s="10"/>
      <c r="U348" s="10"/>
      <c r="V348" s="10"/>
    </row>
    <row r="349">
      <c r="A349" s="10"/>
      <c r="B349" s="10"/>
      <c r="C349" s="10"/>
      <c r="D349" s="10"/>
      <c r="E349" s="10"/>
      <c r="F349" s="10"/>
      <c r="G349" s="10"/>
      <c r="I349" s="10"/>
      <c r="J349" s="10"/>
      <c r="K349" s="10"/>
      <c r="L349" s="10"/>
      <c r="M349" s="10" t="str">
        <f>ifna(VLOOKUP('acft-exerc'!$M349,FIX!$A$2:$D1000,4, false),"")</f>
        <v/>
      </c>
      <c r="N349" s="10"/>
      <c r="O349" s="10"/>
      <c r="P349" s="10"/>
      <c r="Q349" s="10"/>
      <c r="R349" s="10"/>
      <c r="S349" s="10"/>
      <c r="T349" s="10"/>
      <c r="U349" s="10"/>
      <c r="V349" s="10"/>
    </row>
    <row r="350">
      <c r="A350" s="10"/>
      <c r="B350" s="10"/>
      <c r="C350" s="10"/>
      <c r="D350" s="10"/>
      <c r="E350" s="10"/>
      <c r="F350" s="10"/>
      <c r="G350" s="10"/>
      <c r="I350" s="10"/>
      <c r="J350" s="10"/>
      <c r="K350" s="10"/>
      <c r="L350" s="10"/>
      <c r="M350" s="10" t="str">
        <f>ifna(VLOOKUP('acft-exerc'!$M350,FIX!$A$2:$D1000,4, false),"")</f>
        <v/>
      </c>
      <c r="N350" s="10"/>
      <c r="O350" s="10"/>
      <c r="P350" s="10"/>
      <c r="Q350" s="10"/>
      <c r="R350" s="10"/>
      <c r="S350" s="10"/>
      <c r="T350" s="10"/>
      <c r="U350" s="10"/>
      <c r="V350" s="10"/>
    </row>
    <row r="351">
      <c r="A351" s="10"/>
      <c r="B351" s="10"/>
      <c r="C351" s="10"/>
      <c r="D351" s="10"/>
      <c r="E351" s="10"/>
      <c r="F351" s="10"/>
      <c r="G351" s="10"/>
      <c r="I351" s="10"/>
      <c r="J351" s="10"/>
      <c r="K351" s="10"/>
      <c r="L351" s="10"/>
      <c r="M351" s="10" t="str">
        <f>ifna(VLOOKUP('acft-exerc'!$M351,FIX!$A$2:$D1000,4, false),"")</f>
        <v/>
      </c>
      <c r="N351" s="10"/>
      <c r="O351" s="10"/>
      <c r="P351" s="10"/>
      <c r="Q351" s="10"/>
      <c r="R351" s="10"/>
      <c r="S351" s="10"/>
      <c r="T351" s="10"/>
      <c r="U351" s="10"/>
      <c r="V351" s="10"/>
    </row>
    <row r="352">
      <c r="A352" s="10"/>
      <c r="B352" s="10"/>
      <c r="C352" s="10"/>
      <c r="D352" s="10"/>
      <c r="E352" s="10"/>
      <c r="F352" s="10"/>
      <c r="G352" s="10"/>
      <c r="I352" s="10"/>
      <c r="J352" s="10"/>
      <c r="K352" s="10"/>
      <c r="L352" s="10"/>
      <c r="M352" s="10" t="str">
        <f>ifna(VLOOKUP('acft-exerc'!$M352,FIX!$A$2:$D1000,4, false),"")</f>
        <v/>
      </c>
      <c r="N352" s="10"/>
      <c r="O352" s="10"/>
      <c r="P352" s="10"/>
      <c r="Q352" s="10"/>
      <c r="R352" s="10"/>
      <c r="S352" s="10"/>
      <c r="T352" s="10"/>
      <c r="U352" s="10"/>
      <c r="V352" s="10"/>
    </row>
    <row r="353">
      <c r="A353" s="10"/>
      <c r="B353" s="10"/>
      <c r="C353" s="10"/>
      <c r="D353" s="10"/>
      <c r="E353" s="10"/>
      <c r="F353" s="10"/>
      <c r="G353" s="10"/>
      <c r="I353" s="10"/>
      <c r="J353" s="10"/>
      <c r="K353" s="10"/>
      <c r="L353" s="10"/>
      <c r="M353" s="10" t="str">
        <f>ifna(VLOOKUP('acft-exerc'!$M353,FIX!$A$2:$D1000,4, false),"")</f>
        <v/>
      </c>
      <c r="N353" s="10"/>
      <c r="O353" s="10"/>
      <c r="P353" s="10"/>
      <c r="Q353" s="10"/>
      <c r="R353" s="10"/>
      <c r="S353" s="10"/>
      <c r="T353" s="10"/>
      <c r="U353" s="10"/>
      <c r="V353" s="10"/>
    </row>
    <row r="354">
      <c r="A354" s="10"/>
      <c r="B354" s="10"/>
      <c r="C354" s="10"/>
      <c r="D354" s="10"/>
      <c r="E354" s="10"/>
      <c r="F354" s="10"/>
      <c r="G354" s="10"/>
      <c r="I354" s="10"/>
      <c r="J354" s="10"/>
      <c r="K354" s="10"/>
      <c r="L354" s="10"/>
      <c r="M354" s="10" t="str">
        <f>ifna(VLOOKUP('acft-exerc'!$M354,FIX!$A$2:$D1000,4, false),"")</f>
        <v/>
      </c>
      <c r="N354" s="10"/>
      <c r="O354" s="10"/>
      <c r="P354" s="10"/>
      <c r="Q354" s="10"/>
      <c r="R354" s="10"/>
      <c r="S354" s="10"/>
      <c r="T354" s="10"/>
      <c r="U354" s="10"/>
      <c r="V354" s="10"/>
    </row>
    <row r="355">
      <c r="A355" s="10"/>
      <c r="B355" s="10"/>
      <c r="C355" s="10"/>
      <c r="D355" s="10"/>
      <c r="E355" s="10"/>
      <c r="F355" s="10"/>
      <c r="G355" s="10"/>
      <c r="I355" s="10"/>
      <c r="J355" s="10"/>
      <c r="K355" s="10"/>
      <c r="L355" s="10"/>
      <c r="M355" s="10" t="str">
        <f>ifna(VLOOKUP('acft-exerc'!$M355,FIX!$A$2:$D1000,4, false),"")</f>
        <v/>
      </c>
      <c r="N355" s="10"/>
      <c r="O355" s="10"/>
      <c r="P355" s="10"/>
      <c r="Q355" s="10"/>
      <c r="R355" s="10"/>
      <c r="S355" s="10"/>
      <c r="T355" s="10"/>
      <c r="U355" s="10"/>
      <c r="V355" s="10"/>
    </row>
    <row r="356">
      <c r="A356" s="10"/>
      <c r="B356" s="10"/>
      <c r="C356" s="10"/>
      <c r="D356" s="10"/>
      <c r="E356" s="10"/>
      <c r="F356" s="10"/>
      <c r="G356" s="10"/>
      <c r="I356" s="10"/>
      <c r="J356" s="10"/>
      <c r="K356" s="10"/>
      <c r="L356" s="10"/>
      <c r="M356" s="10" t="str">
        <f>ifna(VLOOKUP('acft-exerc'!$M356,FIX!$A$2:$D1000,4, false),"")</f>
        <v/>
      </c>
      <c r="N356" s="10"/>
      <c r="O356" s="10"/>
      <c r="P356" s="10"/>
      <c r="Q356" s="10"/>
      <c r="R356" s="10"/>
      <c r="S356" s="10"/>
      <c r="T356" s="10"/>
      <c r="U356" s="10"/>
      <c r="V356" s="10"/>
    </row>
    <row r="357">
      <c r="A357" s="10"/>
      <c r="B357" s="10"/>
      <c r="C357" s="10"/>
      <c r="D357" s="10"/>
      <c r="E357" s="10"/>
      <c r="F357" s="10"/>
      <c r="G357" s="10"/>
      <c r="I357" s="10"/>
      <c r="J357" s="10"/>
      <c r="K357" s="10"/>
      <c r="L357" s="10"/>
      <c r="M357" s="10" t="str">
        <f>ifna(VLOOKUP('acft-exerc'!$M357,FIX!$A$2:$D1000,4, false),"")</f>
        <v/>
      </c>
      <c r="N357" s="10"/>
      <c r="O357" s="10"/>
      <c r="P357" s="10"/>
      <c r="Q357" s="10"/>
      <c r="R357" s="10"/>
      <c r="S357" s="10"/>
      <c r="T357" s="10"/>
      <c r="U357" s="10"/>
      <c r="V357" s="10"/>
    </row>
    <row r="358">
      <c r="A358" s="10"/>
      <c r="B358" s="10"/>
      <c r="C358" s="10"/>
      <c r="D358" s="10"/>
      <c r="E358" s="10"/>
      <c r="F358" s="10"/>
      <c r="G358" s="10"/>
      <c r="I358" s="10"/>
      <c r="J358" s="10"/>
      <c r="K358" s="10"/>
      <c r="L358" s="10"/>
      <c r="M358" s="10" t="str">
        <f>ifna(VLOOKUP('acft-exerc'!$M358,FIX!$A$2:$D1000,4, false),"")</f>
        <v/>
      </c>
      <c r="N358" s="10"/>
      <c r="O358" s="10"/>
      <c r="P358" s="10"/>
      <c r="Q358" s="10"/>
      <c r="R358" s="10"/>
      <c r="S358" s="10"/>
      <c r="T358" s="10"/>
      <c r="U358" s="10"/>
      <c r="V358" s="10"/>
    </row>
    <row r="359">
      <c r="A359" s="10"/>
      <c r="B359" s="10"/>
      <c r="C359" s="10"/>
      <c r="D359" s="10"/>
      <c r="E359" s="10"/>
      <c r="F359" s="10"/>
      <c r="G359" s="10"/>
      <c r="I359" s="10"/>
      <c r="J359" s="10"/>
      <c r="K359" s="10"/>
      <c r="L359" s="10"/>
      <c r="M359" s="10" t="str">
        <f>ifna(VLOOKUP('acft-exerc'!$M359,FIX!$A$2:$D1000,4, false),"")</f>
        <v/>
      </c>
      <c r="N359" s="10"/>
      <c r="O359" s="10"/>
      <c r="P359" s="10"/>
      <c r="Q359" s="10"/>
      <c r="R359" s="10"/>
      <c r="S359" s="10"/>
      <c r="T359" s="10"/>
      <c r="U359" s="10"/>
      <c r="V359" s="10"/>
    </row>
    <row r="360">
      <c r="A360" s="10"/>
      <c r="B360" s="10"/>
      <c r="C360" s="10"/>
      <c r="D360" s="10"/>
      <c r="E360" s="10"/>
      <c r="F360" s="10"/>
      <c r="G360" s="10"/>
      <c r="I360" s="10"/>
      <c r="J360" s="10"/>
      <c r="K360" s="10"/>
      <c r="L360" s="10"/>
      <c r="M360" s="10" t="str">
        <f>ifna(VLOOKUP('acft-exerc'!$M360,FIX!$A$2:$D1000,4, false),"")</f>
        <v/>
      </c>
      <c r="N360" s="10"/>
      <c r="O360" s="10"/>
      <c r="P360" s="10"/>
      <c r="Q360" s="10"/>
      <c r="R360" s="10"/>
      <c r="S360" s="10"/>
      <c r="T360" s="10"/>
      <c r="U360" s="10"/>
      <c r="V360" s="10"/>
    </row>
    <row r="361">
      <c r="A361" s="10"/>
      <c r="B361" s="10"/>
      <c r="C361" s="10"/>
      <c r="D361" s="10"/>
      <c r="E361" s="10"/>
      <c r="F361" s="10"/>
      <c r="G361" s="10"/>
      <c r="I361" s="10"/>
      <c r="J361" s="10"/>
      <c r="K361" s="10"/>
      <c r="L361" s="10"/>
      <c r="M361" s="10" t="str">
        <f>ifna(VLOOKUP('acft-exerc'!$M361,FIX!$A$2:$D1000,4, false),"")</f>
        <v/>
      </c>
      <c r="N361" s="10"/>
      <c r="O361" s="10"/>
      <c r="P361" s="10"/>
      <c r="Q361" s="10"/>
      <c r="R361" s="10"/>
      <c r="S361" s="10"/>
      <c r="T361" s="10"/>
      <c r="U361" s="10"/>
      <c r="V361" s="10"/>
    </row>
    <row r="362">
      <c r="A362" s="10"/>
      <c r="B362" s="10"/>
      <c r="C362" s="10"/>
      <c r="D362" s="10"/>
      <c r="E362" s="10"/>
      <c r="F362" s="10"/>
      <c r="G362" s="10"/>
      <c r="I362" s="10"/>
      <c r="J362" s="10"/>
      <c r="K362" s="10"/>
      <c r="L362" s="10"/>
      <c r="M362" s="10" t="str">
        <f>ifna(VLOOKUP('acft-exerc'!$M362,FIX!$A$2:$D1000,4, false),"")</f>
        <v/>
      </c>
      <c r="N362" s="10"/>
      <c r="O362" s="10"/>
      <c r="P362" s="10"/>
      <c r="Q362" s="10"/>
      <c r="R362" s="10"/>
      <c r="S362" s="10"/>
      <c r="T362" s="10"/>
      <c r="U362" s="10"/>
      <c r="V362" s="10"/>
    </row>
    <row r="363">
      <c r="A363" s="10"/>
      <c r="B363" s="10"/>
      <c r="C363" s="10"/>
      <c r="D363" s="10"/>
      <c r="E363" s="10"/>
      <c r="F363" s="10"/>
      <c r="G363" s="10"/>
      <c r="I363" s="10"/>
      <c r="J363" s="10"/>
      <c r="K363" s="10"/>
      <c r="L363" s="10"/>
      <c r="M363" s="10" t="str">
        <f>ifna(VLOOKUP('acft-exerc'!$M363,FIX!$A$2:$D1000,4, false),"")</f>
        <v/>
      </c>
      <c r="N363" s="10"/>
      <c r="O363" s="10"/>
      <c r="P363" s="10"/>
      <c r="Q363" s="10"/>
      <c r="R363" s="10"/>
      <c r="S363" s="10"/>
      <c r="T363" s="10"/>
      <c r="U363" s="10"/>
      <c r="V363" s="10"/>
    </row>
    <row r="364">
      <c r="A364" s="10"/>
      <c r="B364" s="10"/>
      <c r="C364" s="10"/>
      <c r="D364" s="10"/>
      <c r="E364" s="10"/>
      <c r="F364" s="10"/>
      <c r="G364" s="10"/>
      <c r="I364" s="10"/>
      <c r="J364" s="10"/>
      <c r="K364" s="10"/>
      <c r="L364" s="10"/>
      <c r="M364" s="10" t="str">
        <f>ifna(VLOOKUP('acft-exerc'!$M364,FIX!$A$2:$D1000,4, false),"")</f>
        <v/>
      </c>
      <c r="N364" s="10"/>
      <c r="O364" s="10"/>
      <c r="P364" s="10"/>
      <c r="Q364" s="10"/>
      <c r="R364" s="10"/>
      <c r="S364" s="10"/>
      <c r="T364" s="10"/>
      <c r="U364" s="10"/>
      <c r="V364" s="10"/>
    </row>
    <row r="365">
      <c r="A365" s="10"/>
      <c r="B365" s="10"/>
      <c r="C365" s="10"/>
      <c r="D365" s="10"/>
      <c r="E365" s="10"/>
      <c r="F365" s="10"/>
      <c r="G365" s="10"/>
      <c r="I365" s="10"/>
      <c r="J365" s="10"/>
      <c r="K365" s="10"/>
      <c r="L365" s="10"/>
      <c r="M365" s="10" t="str">
        <f>ifna(VLOOKUP('acft-exerc'!$M365,FIX!$A$2:$D1000,4, false),"")</f>
        <v/>
      </c>
      <c r="N365" s="10"/>
      <c r="O365" s="10"/>
      <c r="P365" s="10"/>
      <c r="Q365" s="10"/>
      <c r="R365" s="10"/>
      <c r="S365" s="10"/>
      <c r="T365" s="10"/>
      <c r="U365" s="10"/>
      <c r="V365" s="10"/>
    </row>
    <row r="366">
      <c r="A366" s="10"/>
      <c r="B366" s="10"/>
      <c r="C366" s="10"/>
      <c r="D366" s="10"/>
      <c r="E366" s="10"/>
      <c r="F366" s="10"/>
      <c r="G366" s="10"/>
      <c r="I366" s="10"/>
      <c r="J366" s="10"/>
      <c r="K366" s="10"/>
      <c r="L366" s="10"/>
      <c r="M366" s="10" t="str">
        <f>ifna(VLOOKUP('acft-exerc'!$M366,FIX!$A$2:$D1000,4, false),"")</f>
        <v/>
      </c>
      <c r="N366" s="10"/>
      <c r="O366" s="10"/>
      <c r="P366" s="10"/>
      <c r="Q366" s="10"/>
      <c r="R366" s="10"/>
      <c r="S366" s="10"/>
      <c r="T366" s="10"/>
      <c r="U366" s="10"/>
      <c r="V366" s="10"/>
    </row>
    <row r="367">
      <c r="A367" s="10"/>
      <c r="B367" s="10"/>
      <c r="C367" s="10"/>
      <c r="D367" s="10"/>
      <c r="E367" s="10"/>
      <c r="F367" s="10"/>
      <c r="G367" s="10"/>
      <c r="I367" s="10"/>
      <c r="J367" s="10"/>
      <c r="K367" s="10"/>
      <c r="L367" s="10"/>
      <c r="M367" s="10" t="str">
        <f>ifna(VLOOKUP('acft-exerc'!$M367,FIX!$A$2:$D1000,4, false),"")</f>
        <v/>
      </c>
      <c r="N367" s="10"/>
      <c r="O367" s="10"/>
      <c r="P367" s="10"/>
      <c r="Q367" s="10"/>
      <c r="R367" s="10"/>
      <c r="S367" s="10"/>
      <c r="T367" s="10"/>
      <c r="U367" s="10"/>
      <c r="V367" s="10"/>
    </row>
    <row r="368">
      <c r="A368" s="10"/>
      <c r="B368" s="10"/>
      <c r="C368" s="10"/>
      <c r="D368" s="10"/>
      <c r="E368" s="10"/>
      <c r="F368" s="10"/>
      <c r="G368" s="10"/>
      <c r="I368" s="10"/>
      <c r="J368" s="10"/>
      <c r="K368" s="10"/>
      <c r="L368" s="10"/>
      <c r="M368" s="10" t="str">
        <f>ifna(VLOOKUP('acft-exerc'!$M368,FIX!$A$2:$D1000,4, false),"")</f>
        <v/>
      </c>
      <c r="N368" s="10"/>
      <c r="O368" s="10"/>
      <c r="P368" s="10"/>
      <c r="Q368" s="10"/>
      <c r="R368" s="10"/>
      <c r="S368" s="10"/>
      <c r="T368" s="10"/>
      <c r="U368" s="10"/>
      <c r="V368" s="10"/>
    </row>
    <row r="369">
      <c r="A369" s="10"/>
      <c r="B369" s="10"/>
      <c r="C369" s="10"/>
      <c r="D369" s="10"/>
      <c r="E369" s="10"/>
      <c r="F369" s="10"/>
      <c r="G369" s="10"/>
      <c r="I369" s="10"/>
      <c r="J369" s="10"/>
      <c r="K369" s="10"/>
      <c r="L369" s="10"/>
      <c r="M369" s="10" t="str">
        <f>ifna(VLOOKUP('acft-exerc'!$M369,FIX!$A$2:$D1000,4, false),"")</f>
        <v/>
      </c>
      <c r="N369" s="10"/>
      <c r="O369" s="10"/>
      <c r="P369" s="10"/>
      <c r="Q369" s="10"/>
      <c r="R369" s="10"/>
      <c r="S369" s="10"/>
      <c r="T369" s="10"/>
      <c r="U369" s="10"/>
      <c r="V369" s="10"/>
    </row>
    <row r="370">
      <c r="A370" s="10"/>
      <c r="B370" s="10"/>
      <c r="C370" s="10"/>
      <c r="D370" s="10"/>
      <c r="E370" s="10"/>
      <c r="F370" s="10"/>
      <c r="G370" s="10"/>
      <c r="I370" s="10"/>
      <c r="J370" s="10"/>
      <c r="K370" s="10"/>
      <c r="L370" s="10"/>
      <c r="M370" s="10" t="str">
        <f>ifna(VLOOKUP('acft-exerc'!$M370,FIX!$A$2:$D1000,4, false),"")</f>
        <v/>
      </c>
      <c r="N370" s="10"/>
      <c r="O370" s="10"/>
      <c r="P370" s="10"/>
      <c r="Q370" s="10"/>
      <c r="R370" s="10"/>
      <c r="S370" s="10"/>
      <c r="T370" s="10"/>
      <c r="U370" s="10"/>
      <c r="V370" s="10"/>
    </row>
    <row r="371">
      <c r="A371" s="10"/>
      <c r="B371" s="10"/>
      <c r="C371" s="10"/>
      <c r="D371" s="10"/>
      <c r="E371" s="10"/>
      <c r="F371" s="10"/>
      <c r="G371" s="10"/>
      <c r="I371" s="10"/>
      <c r="J371" s="10"/>
      <c r="K371" s="10"/>
      <c r="L371" s="10"/>
      <c r="M371" s="10" t="str">
        <f>ifna(VLOOKUP('acft-exerc'!$M371,FIX!$A$2:$D1000,4, false),"")</f>
        <v/>
      </c>
      <c r="N371" s="10"/>
      <c r="O371" s="10"/>
      <c r="P371" s="10"/>
      <c r="Q371" s="10"/>
      <c r="R371" s="10"/>
      <c r="S371" s="10"/>
      <c r="T371" s="10"/>
      <c r="U371" s="10"/>
      <c r="V371" s="10"/>
    </row>
    <row r="372">
      <c r="A372" s="10"/>
      <c r="B372" s="10"/>
      <c r="C372" s="10"/>
      <c r="D372" s="10"/>
      <c r="E372" s="10"/>
      <c r="F372" s="10"/>
      <c r="G372" s="10"/>
      <c r="I372" s="10"/>
      <c r="J372" s="10"/>
      <c r="K372" s="10"/>
      <c r="L372" s="10"/>
      <c r="M372" s="10" t="str">
        <f>ifna(VLOOKUP('acft-exerc'!$M372,FIX!$A$2:$D1000,4, false),"")</f>
        <v/>
      </c>
      <c r="N372" s="10"/>
      <c r="O372" s="10"/>
      <c r="P372" s="10"/>
      <c r="Q372" s="10"/>
      <c r="R372" s="10"/>
      <c r="S372" s="10"/>
      <c r="T372" s="10"/>
      <c r="U372" s="10"/>
      <c r="V372" s="10"/>
    </row>
    <row r="373">
      <c r="A373" s="10"/>
      <c r="B373" s="10"/>
      <c r="C373" s="10"/>
      <c r="D373" s="10"/>
      <c r="E373" s="10"/>
      <c r="F373" s="10"/>
      <c r="G373" s="10"/>
      <c r="I373" s="10"/>
      <c r="J373" s="10"/>
      <c r="K373" s="10"/>
      <c r="L373" s="10"/>
      <c r="M373" s="10" t="str">
        <f>ifna(VLOOKUP('acft-exerc'!$M373,FIX!$A$2:$D1000,4, false),"")</f>
        <v/>
      </c>
      <c r="N373" s="10"/>
      <c r="O373" s="10"/>
      <c r="P373" s="10"/>
      <c r="Q373" s="10"/>
      <c r="R373" s="10"/>
      <c r="S373" s="10"/>
      <c r="T373" s="10"/>
      <c r="U373" s="10"/>
      <c r="V373" s="10"/>
    </row>
    <row r="374">
      <c r="A374" s="10"/>
      <c r="B374" s="10"/>
      <c r="C374" s="10"/>
      <c r="D374" s="10"/>
      <c r="E374" s="10"/>
      <c r="F374" s="10"/>
      <c r="G374" s="10"/>
      <c r="I374" s="10"/>
      <c r="J374" s="10"/>
      <c r="K374" s="10"/>
      <c r="L374" s="10"/>
      <c r="M374" s="10" t="str">
        <f>ifna(VLOOKUP('acft-exerc'!$M374,FIX!$A$2:$D1000,4, false),"")</f>
        <v/>
      </c>
      <c r="N374" s="10"/>
      <c r="O374" s="10"/>
      <c r="P374" s="10"/>
      <c r="Q374" s="10"/>
      <c r="R374" s="10"/>
      <c r="S374" s="10"/>
      <c r="T374" s="10"/>
      <c r="U374" s="10"/>
      <c r="V374" s="10"/>
    </row>
    <row r="375">
      <c r="A375" s="10"/>
      <c r="B375" s="10"/>
      <c r="C375" s="10"/>
      <c r="D375" s="10"/>
      <c r="E375" s="10"/>
      <c r="F375" s="10"/>
      <c r="G375" s="10"/>
      <c r="I375" s="10"/>
      <c r="J375" s="10"/>
      <c r="K375" s="10"/>
      <c r="L375" s="10"/>
      <c r="M375" s="10" t="str">
        <f>ifna(VLOOKUP('acft-exerc'!$M375,FIX!$A$2:$D1000,4, false),"")</f>
        <v/>
      </c>
      <c r="N375" s="10"/>
      <c r="O375" s="10"/>
      <c r="P375" s="10"/>
      <c r="Q375" s="10"/>
      <c r="R375" s="10"/>
      <c r="S375" s="10"/>
      <c r="T375" s="10"/>
      <c r="U375" s="10"/>
      <c r="V375" s="10"/>
    </row>
    <row r="376">
      <c r="A376" s="10"/>
      <c r="B376" s="10"/>
      <c r="C376" s="10"/>
      <c r="D376" s="10"/>
      <c r="E376" s="10"/>
      <c r="F376" s="10"/>
      <c r="G376" s="10"/>
      <c r="I376" s="10"/>
      <c r="J376" s="10"/>
      <c r="K376" s="10"/>
      <c r="L376" s="10"/>
      <c r="M376" s="10" t="str">
        <f>ifna(VLOOKUP('acft-exerc'!$M376,FIX!$A$2:$D1000,4, false),"")</f>
        <v/>
      </c>
      <c r="N376" s="10"/>
      <c r="O376" s="10"/>
      <c r="P376" s="10"/>
      <c r="Q376" s="10"/>
      <c r="R376" s="10"/>
      <c r="S376" s="10"/>
      <c r="T376" s="10"/>
      <c r="U376" s="10"/>
      <c r="V376" s="10"/>
    </row>
    <row r="377">
      <c r="A377" s="10"/>
      <c r="B377" s="10"/>
      <c r="C377" s="10"/>
      <c r="D377" s="10"/>
      <c r="E377" s="10"/>
      <c r="F377" s="10"/>
      <c r="G377" s="10"/>
      <c r="I377" s="10"/>
      <c r="J377" s="10"/>
      <c r="K377" s="10"/>
      <c r="L377" s="10"/>
      <c r="M377" s="10" t="str">
        <f>ifna(VLOOKUP('acft-exerc'!$M377,FIX!$A$2:$D1000,4, false),"")</f>
        <v/>
      </c>
      <c r="N377" s="10"/>
      <c r="O377" s="10"/>
      <c r="P377" s="10"/>
      <c r="Q377" s="10"/>
      <c r="R377" s="10"/>
      <c r="S377" s="10"/>
      <c r="T377" s="10"/>
      <c r="U377" s="10"/>
      <c r="V377" s="10"/>
    </row>
    <row r="378">
      <c r="A378" s="10"/>
      <c r="B378" s="10"/>
      <c r="C378" s="10"/>
      <c r="D378" s="10"/>
      <c r="E378" s="10"/>
      <c r="F378" s="10"/>
      <c r="G378" s="10"/>
      <c r="I378" s="10"/>
      <c r="J378" s="10"/>
      <c r="K378" s="10"/>
      <c r="L378" s="10"/>
      <c r="M378" s="10" t="str">
        <f>ifna(VLOOKUP('acft-exerc'!$M378,FIX!$A$2:$D1000,4, false),"")</f>
        <v/>
      </c>
      <c r="N378" s="10"/>
      <c r="O378" s="10"/>
      <c r="P378" s="10"/>
      <c r="Q378" s="10"/>
      <c r="R378" s="10"/>
      <c r="S378" s="10"/>
      <c r="T378" s="10"/>
      <c r="U378" s="10"/>
      <c r="V378" s="10"/>
    </row>
    <row r="379">
      <c r="A379" s="10"/>
      <c r="B379" s="10"/>
      <c r="C379" s="10"/>
      <c r="D379" s="10"/>
      <c r="E379" s="10"/>
      <c r="F379" s="10"/>
      <c r="G379" s="10"/>
      <c r="I379" s="10"/>
      <c r="J379" s="10"/>
      <c r="K379" s="10"/>
      <c r="L379" s="10"/>
      <c r="M379" s="10" t="str">
        <f>ifna(VLOOKUP('acft-exerc'!$M379,FIX!$A$2:$D1000,4, false),"")</f>
        <v/>
      </c>
      <c r="N379" s="10"/>
      <c r="O379" s="10"/>
      <c r="P379" s="10"/>
      <c r="Q379" s="10"/>
      <c r="R379" s="10"/>
      <c r="S379" s="10"/>
      <c r="T379" s="10"/>
      <c r="U379" s="10"/>
      <c r="V379" s="10"/>
    </row>
    <row r="380">
      <c r="A380" s="10"/>
      <c r="B380" s="10"/>
      <c r="C380" s="10"/>
      <c r="D380" s="10"/>
      <c r="E380" s="10"/>
      <c r="F380" s="10"/>
      <c r="G380" s="10"/>
      <c r="I380" s="10"/>
      <c r="J380" s="10"/>
      <c r="K380" s="10"/>
      <c r="L380" s="10"/>
      <c r="M380" s="10" t="str">
        <f>ifna(VLOOKUP('acft-exerc'!$M380,FIX!$A$2:$D1000,4, false),"")</f>
        <v/>
      </c>
      <c r="N380" s="10"/>
      <c r="O380" s="10"/>
      <c r="P380" s="10"/>
      <c r="Q380" s="10"/>
      <c r="R380" s="10"/>
      <c r="S380" s="10"/>
      <c r="T380" s="10"/>
      <c r="U380" s="10"/>
      <c r="V380" s="10"/>
    </row>
    <row r="381">
      <c r="A381" s="10"/>
      <c r="B381" s="10"/>
      <c r="C381" s="10"/>
      <c r="D381" s="10"/>
      <c r="E381" s="10"/>
      <c r="F381" s="10"/>
      <c r="G381" s="10"/>
      <c r="I381" s="10"/>
      <c r="J381" s="10"/>
      <c r="K381" s="10"/>
      <c r="L381" s="10"/>
      <c r="M381" s="10" t="str">
        <f>ifna(VLOOKUP('acft-exerc'!$M381,FIX!$A$2:$D1000,4, false),"")</f>
        <v/>
      </c>
      <c r="N381" s="10"/>
      <c r="O381" s="10"/>
      <c r="P381" s="10"/>
      <c r="Q381" s="10"/>
      <c r="R381" s="10"/>
      <c r="S381" s="10"/>
      <c r="T381" s="10"/>
      <c r="U381" s="10"/>
      <c r="V381" s="10"/>
    </row>
    <row r="382">
      <c r="A382" s="10"/>
      <c r="B382" s="10"/>
      <c r="C382" s="10"/>
      <c r="D382" s="10"/>
      <c r="E382" s="10"/>
      <c r="F382" s="10"/>
      <c r="G382" s="10"/>
      <c r="I382" s="10"/>
      <c r="J382" s="10"/>
      <c r="K382" s="10"/>
      <c r="L382" s="10"/>
      <c r="M382" s="10" t="str">
        <f>ifna(VLOOKUP('acft-exerc'!$M382,FIX!$A$2:$D1000,4, false),"")</f>
        <v/>
      </c>
      <c r="N382" s="10"/>
      <c r="O382" s="10"/>
      <c r="P382" s="10"/>
      <c r="Q382" s="10"/>
      <c r="R382" s="10"/>
      <c r="S382" s="10"/>
      <c r="T382" s="10"/>
      <c r="U382" s="10"/>
      <c r="V382" s="10"/>
    </row>
    <row r="383">
      <c r="A383" s="10"/>
      <c r="B383" s="10"/>
      <c r="C383" s="10"/>
      <c r="D383" s="10"/>
      <c r="E383" s="10"/>
      <c r="F383" s="10"/>
      <c r="G383" s="10"/>
      <c r="I383" s="10"/>
      <c r="J383" s="10"/>
      <c r="K383" s="10"/>
      <c r="L383" s="10"/>
      <c r="M383" s="10" t="str">
        <f>ifna(VLOOKUP('acft-exerc'!$M383,FIX!$A$2:$D1000,4, false),"")</f>
        <v/>
      </c>
      <c r="N383" s="10"/>
      <c r="O383" s="10"/>
      <c r="P383" s="10"/>
      <c r="Q383" s="10"/>
      <c r="R383" s="10"/>
      <c r="S383" s="10"/>
      <c r="T383" s="10"/>
      <c r="U383" s="10"/>
      <c r="V383" s="10"/>
    </row>
    <row r="384">
      <c r="A384" s="10"/>
      <c r="B384" s="10"/>
      <c r="C384" s="10"/>
      <c r="D384" s="10"/>
      <c r="E384" s="10"/>
      <c r="F384" s="10"/>
      <c r="G384" s="10"/>
      <c r="I384" s="10"/>
      <c r="J384" s="10"/>
      <c r="K384" s="10"/>
      <c r="L384" s="10"/>
      <c r="M384" s="10" t="str">
        <f>ifna(VLOOKUP('acft-exerc'!$M384,FIX!$A$2:$D1000,4, false),"")</f>
        <v/>
      </c>
      <c r="N384" s="10"/>
      <c r="O384" s="10"/>
      <c r="P384" s="10"/>
      <c r="Q384" s="10"/>
      <c r="R384" s="10"/>
      <c r="S384" s="10"/>
      <c r="T384" s="10"/>
      <c r="U384" s="10"/>
      <c r="V384" s="10"/>
    </row>
    <row r="385">
      <c r="A385" s="10"/>
      <c r="B385" s="10"/>
      <c r="C385" s="10"/>
      <c r="D385" s="10"/>
      <c r="E385" s="10"/>
      <c r="F385" s="10"/>
      <c r="G385" s="10"/>
      <c r="I385" s="10"/>
      <c r="J385" s="10"/>
      <c r="K385" s="10"/>
      <c r="L385" s="10"/>
      <c r="M385" s="10" t="str">
        <f>ifna(VLOOKUP('acft-exerc'!$M385,FIX!$A$2:$D1000,4, false),"")</f>
        <v/>
      </c>
      <c r="N385" s="10"/>
      <c r="O385" s="10"/>
      <c r="P385" s="10"/>
      <c r="Q385" s="10"/>
      <c r="R385" s="10"/>
      <c r="S385" s="10"/>
      <c r="T385" s="10"/>
      <c r="U385" s="10"/>
      <c r="V385" s="10"/>
    </row>
    <row r="386">
      <c r="A386" s="10"/>
      <c r="B386" s="10"/>
      <c r="C386" s="10"/>
      <c r="D386" s="10"/>
      <c r="E386" s="10"/>
      <c r="F386" s="10"/>
      <c r="G386" s="10"/>
      <c r="I386" s="10"/>
      <c r="J386" s="10"/>
      <c r="K386" s="10"/>
      <c r="L386" s="10"/>
      <c r="M386" s="10" t="str">
        <f>ifna(VLOOKUP('acft-exerc'!$M386,FIX!$A$2:$D1000,4, false),"")</f>
        <v/>
      </c>
      <c r="N386" s="10"/>
      <c r="O386" s="10"/>
      <c r="P386" s="10"/>
      <c r="Q386" s="10"/>
      <c r="R386" s="10"/>
      <c r="S386" s="10"/>
      <c r="T386" s="10"/>
      <c r="U386" s="10"/>
      <c r="V386" s="10"/>
    </row>
    <row r="387">
      <c r="A387" s="10"/>
      <c r="B387" s="10"/>
      <c r="C387" s="10"/>
      <c r="D387" s="10"/>
      <c r="E387" s="10"/>
      <c r="F387" s="10"/>
      <c r="G387" s="10"/>
      <c r="I387" s="10"/>
      <c r="J387" s="10"/>
      <c r="K387" s="10"/>
      <c r="L387" s="10"/>
      <c r="M387" s="10" t="str">
        <f>ifna(VLOOKUP('acft-exerc'!$M387,FIX!$A$2:$D1000,4, false),"")</f>
        <v/>
      </c>
      <c r="N387" s="10"/>
      <c r="O387" s="10"/>
      <c r="P387" s="10"/>
      <c r="Q387" s="10"/>
      <c r="R387" s="10"/>
      <c r="S387" s="10"/>
      <c r="T387" s="10"/>
      <c r="U387" s="10"/>
      <c r="V387" s="10"/>
    </row>
    <row r="388">
      <c r="A388" s="10"/>
      <c r="B388" s="10"/>
      <c r="C388" s="10"/>
      <c r="D388" s="10"/>
      <c r="E388" s="10"/>
      <c r="F388" s="10"/>
      <c r="G388" s="10"/>
      <c r="I388" s="10"/>
      <c r="J388" s="10"/>
      <c r="K388" s="10"/>
      <c r="L388" s="10"/>
      <c r="M388" s="10" t="str">
        <f>ifna(VLOOKUP('acft-exerc'!$M388,FIX!$A$2:$D1000,4, false),"")</f>
        <v/>
      </c>
      <c r="N388" s="10"/>
      <c r="O388" s="10"/>
      <c r="P388" s="10"/>
      <c r="Q388" s="10"/>
      <c r="R388" s="10"/>
      <c r="S388" s="10"/>
      <c r="T388" s="10"/>
      <c r="U388" s="10"/>
      <c r="V388" s="10"/>
    </row>
    <row r="389">
      <c r="A389" s="10"/>
      <c r="B389" s="10"/>
      <c r="C389" s="10"/>
      <c r="D389" s="10"/>
      <c r="E389" s="10"/>
      <c r="F389" s="10"/>
      <c r="G389" s="10"/>
      <c r="I389" s="10"/>
      <c r="J389" s="10"/>
      <c r="K389" s="10"/>
      <c r="L389" s="10"/>
      <c r="M389" s="10" t="str">
        <f>ifna(VLOOKUP('acft-exerc'!$M389,FIX!$A$2:$D1000,4, false),"")</f>
        <v/>
      </c>
      <c r="N389" s="10"/>
      <c r="O389" s="10"/>
      <c r="P389" s="10"/>
      <c r="Q389" s="10"/>
      <c r="R389" s="10"/>
      <c r="S389" s="10"/>
      <c r="T389" s="10"/>
      <c r="U389" s="10"/>
      <c r="V389" s="10"/>
    </row>
    <row r="390">
      <c r="A390" s="10"/>
      <c r="B390" s="10"/>
      <c r="C390" s="10"/>
      <c r="D390" s="10"/>
      <c r="E390" s="10"/>
      <c r="F390" s="10"/>
      <c r="G390" s="10"/>
      <c r="I390" s="10"/>
      <c r="J390" s="10"/>
      <c r="K390" s="10"/>
      <c r="L390" s="10"/>
      <c r="M390" s="10" t="str">
        <f>ifna(VLOOKUP('acft-exerc'!$M390,FIX!$A$2:$D1000,4, false),"")</f>
        <v/>
      </c>
      <c r="N390" s="10"/>
      <c r="O390" s="10"/>
      <c r="P390" s="10"/>
      <c r="Q390" s="10"/>
      <c r="R390" s="10"/>
      <c r="S390" s="10"/>
      <c r="T390" s="10"/>
      <c r="U390" s="10"/>
      <c r="V390" s="10"/>
    </row>
    <row r="391">
      <c r="A391" s="10"/>
      <c r="B391" s="10"/>
      <c r="C391" s="10"/>
      <c r="D391" s="10"/>
      <c r="E391" s="10"/>
      <c r="F391" s="10"/>
      <c r="G391" s="10"/>
      <c r="I391" s="10"/>
      <c r="J391" s="10"/>
      <c r="K391" s="10"/>
      <c r="L391" s="10"/>
      <c r="M391" s="10" t="str">
        <f>ifna(VLOOKUP('acft-exerc'!$M391,FIX!$A$2:$D1000,4, false),"")</f>
        <v/>
      </c>
      <c r="N391" s="10"/>
      <c r="O391" s="10"/>
      <c r="P391" s="10"/>
      <c r="Q391" s="10"/>
      <c r="R391" s="10"/>
      <c r="S391" s="10"/>
      <c r="T391" s="10"/>
      <c r="U391" s="10"/>
      <c r="V391" s="10"/>
    </row>
    <row r="392">
      <c r="A392" s="10"/>
      <c r="B392" s="10"/>
      <c r="C392" s="10"/>
      <c r="D392" s="10"/>
      <c r="E392" s="10"/>
      <c r="F392" s="10"/>
      <c r="G392" s="10"/>
      <c r="I392" s="10"/>
      <c r="J392" s="10"/>
      <c r="K392" s="10"/>
      <c r="L392" s="10"/>
      <c r="M392" s="10" t="str">
        <f>ifna(VLOOKUP('acft-exerc'!$M392,FIX!$A$2:$D1000,4, false),"")</f>
        <v/>
      </c>
      <c r="N392" s="10"/>
      <c r="O392" s="10"/>
      <c r="P392" s="10"/>
      <c r="Q392" s="10"/>
      <c r="R392" s="10"/>
      <c r="S392" s="10"/>
      <c r="T392" s="10"/>
      <c r="U392" s="10"/>
      <c r="V392" s="10"/>
    </row>
    <row r="393">
      <c r="A393" s="10"/>
      <c r="B393" s="10"/>
      <c r="C393" s="10"/>
      <c r="D393" s="10"/>
      <c r="E393" s="10"/>
      <c r="F393" s="10"/>
      <c r="G393" s="10"/>
      <c r="I393" s="10"/>
      <c r="J393" s="10"/>
      <c r="K393" s="10"/>
      <c r="L393" s="10"/>
      <c r="M393" s="10" t="str">
        <f>ifna(VLOOKUP('acft-exerc'!$M393,FIX!$A$2:$D1000,4, false),"")</f>
        <v/>
      </c>
      <c r="N393" s="10"/>
      <c r="O393" s="10"/>
      <c r="P393" s="10"/>
      <c r="Q393" s="10"/>
      <c r="R393" s="10"/>
      <c r="S393" s="10"/>
      <c r="T393" s="10"/>
      <c r="U393" s="10"/>
      <c r="V393" s="10"/>
    </row>
    <row r="394">
      <c r="A394" s="10"/>
      <c r="B394" s="10"/>
      <c r="C394" s="10"/>
      <c r="D394" s="10"/>
      <c r="E394" s="10"/>
      <c r="F394" s="10"/>
      <c r="G394" s="10"/>
      <c r="I394" s="10"/>
      <c r="J394" s="10"/>
      <c r="K394" s="10"/>
      <c r="L394" s="10"/>
      <c r="M394" s="10" t="str">
        <f>ifna(VLOOKUP('acft-exerc'!$M394,FIX!$A$2:$D1000,4, false),"")</f>
        <v/>
      </c>
      <c r="N394" s="10"/>
      <c r="O394" s="10"/>
      <c r="P394" s="10"/>
      <c r="Q394" s="10"/>
      <c r="R394" s="10"/>
      <c r="S394" s="10"/>
      <c r="T394" s="10"/>
      <c r="U394" s="10"/>
      <c r="V394" s="10"/>
    </row>
    <row r="395">
      <c r="A395" s="10"/>
      <c r="B395" s="10"/>
      <c r="C395" s="10"/>
      <c r="D395" s="10"/>
      <c r="E395" s="10"/>
      <c r="F395" s="10"/>
      <c r="G395" s="10"/>
      <c r="I395" s="10"/>
      <c r="J395" s="10"/>
      <c r="K395" s="10"/>
      <c r="L395" s="10"/>
      <c r="M395" s="10" t="str">
        <f>ifna(VLOOKUP('acft-exerc'!$M395,FIX!$A$2:$D1000,4, false),"")</f>
        <v/>
      </c>
      <c r="N395" s="10"/>
      <c r="O395" s="10"/>
      <c r="P395" s="10"/>
      <c r="Q395" s="10"/>
      <c r="R395" s="10"/>
      <c r="S395" s="10"/>
      <c r="T395" s="10"/>
      <c r="U395" s="10"/>
      <c r="V395" s="10"/>
    </row>
    <row r="396">
      <c r="A396" s="10"/>
      <c r="B396" s="10"/>
      <c r="C396" s="10"/>
      <c r="D396" s="10"/>
      <c r="E396" s="10"/>
      <c r="F396" s="10"/>
      <c r="G396" s="10"/>
      <c r="I396" s="10"/>
      <c r="J396" s="10"/>
      <c r="K396" s="10"/>
      <c r="L396" s="10"/>
      <c r="M396" s="10" t="str">
        <f>ifna(VLOOKUP('acft-exerc'!$M396,FIX!$A$2:$D1000,4, false),"")</f>
        <v/>
      </c>
      <c r="N396" s="10"/>
      <c r="O396" s="10"/>
      <c r="P396" s="10"/>
      <c r="Q396" s="10"/>
      <c r="R396" s="10"/>
      <c r="S396" s="10"/>
      <c r="T396" s="10"/>
      <c r="U396" s="10"/>
      <c r="V396" s="10"/>
    </row>
    <row r="397">
      <c r="A397" s="10"/>
      <c r="B397" s="10"/>
      <c r="C397" s="10"/>
      <c r="D397" s="10"/>
      <c r="E397" s="10"/>
      <c r="F397" s="10"/>
      <c r="G397" s="10"/>
      <c r="I397" s="10"/>
      <c r="J397" s="10"/>
      <c r="K397" s="10"/>
      <c r="L397" s="10"/>
      <c r="M397" s="10" t="str">
        <f>ifna(VLOOKUP('acft-exerc'!$M397,FIX!$A$2:$D1000,4, false),"")</f>
        <v/>
      </c>
      <c r="N397" s="10"/>
      <c r="O397" s="10"/>
      <c r="P397" s="10"/>
      <c r="Q397" s="10"/>
      <c r="R397" s="10"/>
      <c r="S397" s="10"/>
      <c r="T397" s="10"/>
      <c r="U397" s="10"/>
      <c r="V397" s="10"/>
    </row>
    <row r="398">
      <c r="A398" s="10"/>
      <c r="B398" s="10"/>
      <c r="C398" s="10"/>
      <c r="D398" s="10"/>
      <c r="E398" s="10"/>
      <c r="F398" s="10"/>
      <c r="G398" s="10"/>
      <c r="I398" s="10"/>
      <c r="J398" s="10"/>
      <c r="K398" s="10"/>
      <c r="L398" s="10"/>
      <c r="M398" s="10" t="str">
        <f>ifna(VLOOKUP('acft-exerc'!$M398,FIX!$A$2:$D1000,4, false),"")</f>
        <v/>
      </c>
      <c r="N398" s="10"/>
      <c r="O398" s="10"/>
      <c r="P398" s="10"/>
      <c r="Q398" s="10"/>
      <c r="R398" s="10"/>
      <c r="S398" s="10"/>
      <c r="T398" s="10"/>
      <c r="U398" s="10"/>
      <c r="V398" s="10"/>
    </row>
    <row r="399">
      <c r="A399" s="10"/>
      <c r="B399" s="10"/>
      <c r="C399" s="10"/>
      <c r="D399" s="10"/>
      <c r="E399" s="10"/>
      <c r="F399" s="10"/>
      <c r="G399" s="10"/>
      <c r="I399" s="10"/>
      <c r="J399" s="10"/>
      <c r="K399" s="10"/>
      <c r="L399" s="10"/>
      <c r="M399" s="10" t="str">
        <f>ifna(VLOOKUP('acft-exerc'!$M399,FIX!$A$2:$D1000,4, false),"")</f>
        <v/>
      </c>
      <c r="N399" s="10"/>
      <c r="O399" s="10"/>
      <c r="P399" s="10"/>
      <c r="Q399" s="10"/>
      <c r="R399" s="10"/>
      <c r="S399" s="10"/>
      <c r="T399" s="10"/>
      <c r="U399" s="10"/>
      <c r="V399" s="10"/>
    </row>
    <row r="400">
      <c r="A400" s="10"/>
      <c r="B400" s="10"/>
      <c r="C400" s="10"/>
      <c r="D400" s="10"/>
      <c r="E400" s="10"/>
      <c r="F400" s="10"/>
      <c r="G400" s="10"/>
      <c r="I400" s="10"/>
      <c r="J400" s="10"/>
      <c r="K400" s="10"/>
      <c r="L400" s="10"/>
      <c r="M400" s="10" t="str">
        <f>ifna(VLOOKUP('acft-exerc'!$M400,FIX!$A$2:$D1000,4, false),"")</f>
        <v/>
      </c>
      <c r="N400" s="10"/>
      <c r="O400" s="10"/>
      <c r="P400" s="10"/>
      <c r="Q400" s="10"/>
      <c r="R400" s="10"/>
      <c r="S400" s="10"/>
      <c r="T400" s="10"/>
      <c r="U400" s="10"/>
      <c r="V400" s="10"/>
    </row>
    <row r="401">
      <c r="A401" s="10"/>
      <c r="B401" s="10"/>
      <c r="C401" s="10"/>
      <c r="D401" s="10"/>
      <c r="E401" s="10"/>
      <c r="F401" s="10"/>
      <c r="G401" s="10"/>
      <c r="I401" s="10"/>
      <c r="J401" s="10"/>
      <c r="K401" s="10"/>
      <c r="L401" s="10"/>
      <c r="M401" s="10" t="str">
        <f>ifna(VLOOKUP('acft-exerc'!$M401,FIX!$A$2:$D1000,4, false),"")</f>
        <v/>
      </c>
      <c r="N401" s="10"/>
      <c r="O401" s="10"/>
      <c r="P401" s="10"/>
      <c r="Q401" s="10"/>
      <c r="R401" s="10"/>
      <c r="S401" s="10"/>
      <c r="T401" s="10"/>
      <c r="U401" s="10"/>
      <c r="V401" s="10"/>
    </row>
    <row r="402">
      <c r="A402" s="10"/>
      <c r="B402" s="10"/>
      <c r="C402" s="10"/>
      <c r="D402" s="10"/>
      <c r="E402" s="10"/>
      <c r="F402" s="10"/>
      <c r="G402" s="10"/>
      <c r="I402" s="10"/>
      <c r="J402" s="10"/>
      <c r="K402" s="10"/>
      <c r="L402" s="10"/>
      <c r="M402" s="10" t="str">
        <f>ifna(VLOOKUP('acft-exerc'!$M402,FIX!$A$2:$D1000,4, false),"")</f>
        <v/>
      </c>
      <c r="N402" s="10"/>
      <c r="O402" s="10"/>
      <c r="P402" s="10"/>
      <c r="Q402" s="10"/>
      <c r="R402" s="10"/>
      <c r="S402" s="10"/>
      <c r="T402" s="10"/>
      <c r="U402" s="10"/>
      <c r="V402" s="10"/>
    </row>
    <row r="403">
      <c r="A403" s="10"/>
      <c r="B403" s="10"/>
      <c r="C403" s="10"/>
      <c r="D403" s="10"/>
      <c r="E403" s="10"/>
      <c r="F403" s="10"/>
      <c r="G403" s="10"/>
      <c r="I403" s="10"/>
      <c r="J403" s="10"/>
      <c r="K403" s="10"/>
      <c r="L403" s="10"/>
      <c r="M403" s="10" t="str">
        <f>ifna(VLOOKUP('acft-exerc'!$M403,FIX!$A$2:$D1000,4, false),"")</f>
        <v/>
      </c>
      <c r="N403" s="10"/>
      <c r="O403" s="10"/>
      <c r="P403" s="10"/>
      <c r="Q403" s="10"/>
      <c r="R403" s="10"/>
      <c r="S403" s="10"/>
      <c r="T403" s="10"/>
      <c r="U403" s="10"/>
      <c r="V403" s="10"/>
    </row>
    <row r="404">
      <c r="A404" s="10"/>
      <c r="B404" s="10"/>
      <c r="C404" s="10"/>
      <c r="D404" s="10"/>
      <c r="E404" s="10"/>
      <c r="F404" s="10"/>
      <c r="G404" s="10"/>
      <c r="I404" s="10"/>
      <c r="J404" s="10"/>
      <c r="K404" s="10"/>
      <c r="L404" s="10"/>
      <c r="M404" s="10" t="str">
        <f>ifna(VLOOKUP('acft-exerc'!$M404,FIX!$A$2:$D1000,4, false),"")</f>
        <v/>
      </c>
      <c r="N404" s="10"/>
      <c r="O404" s="10"/>
      <c r="P404" s="10"/>
      <c r="Q404" s="10"/>
      <c r="R404" s="10"/>
      <c r="S404" s="10"/>
      <c r="T404" s="10"/>
      <c r="U404" s="10"/>
      <c r="V404" s="10"/>
    </row>
    <row r="405">
      <c r="A405" s="10"/>
      <c r="B405" s="10"/>
      <c r="C405" s="10"/>
      <c r="D405" s="10"/>
      <c r="E405" s="10"/>
      <c r="F405" s="10"/>
      <c r="G405" s="10"/>
      <c r="I405" s="10"/>
      <c r="J405" s="10"/>
      <c r="K405" s="10"/>
      <c r="L405" s="10"/>
      <c r="M405" s="10" t="str">
        <f>ifna(VLOOKUP('acft-exerc'!$M405,FIX!$A$2:$D1000,4, false),"")</f>
        <v/>
      </c>
      <c r="N405" s="10"/>
      <c r="O405" s="10"/>
      <c r="P405" s="10"/>
      <c r="Q405" s="10"/>
      <c r="R405" s="10"/>
      <c r="S405" s="10"/>
      <c r="T405" s="10"/>
      <c r="U405" s="10"/>
      <c r="V405" s="10"/>
    </row>
    <row r="406">
      <c r="A406" s="10"/>
      <c r="B406" s="10"/>
      <c r="C406" s="10"/>
      <c r="D406" s="10"/>
      <c r="E406" s="10"/>
      <c r="F406" s="10"/>
      <c r="G406" s="10"/>
      <c r="I406" s="10"/>
      <c r="J406" s="10"/>
      <c r="K406" s="10"/>
      <c r="L406" s="10"/>
      <c r="M406" s="10" t="str">
        <f>ifna(VLOOKUP('acft-exerc'!$M406,FIX!$A$2:$D1000,4, false),"")</f>
        <v/>
      </c>
      <c r="N406" s="10"/>
      <c r="O406" s="10"/>
      <c r="P406" s="10"/>
      <c r="Q406" s="10"/>
      <c r="R406" s="10"/>
      <c r="S406" s="10"/>
      <c r="T406" s="10"/>
      <c r="U406" s="10"/>
      <c r="V406" s="10"/>
    </row>
    <row r="407">
      <c r="A407" s="10"/>
      <c r="B407" s="10"/>
      <c r="C407" s="10"/>
      <c r="D407" s="10"/>
      <c r="E407" s="10"/>
      <c r="F407" s="10"/>
      <c r="G407" s="10"/>
      <c r="I407" s="10"/>
      <c r="J407" s="10"/>
      <c r="K407" s="10"/>
      <c r="L407" s="10"/>
      <c r="M407" s="10" t="str">
        <f>ifna(VLOOKUP('acft-exerc'!$M407,FIX!$A$2:$D1000,4, false),"")</f>
        <v/>
      </c>
      <c r="N407" s="10"/>
      <c r="O407" s="10"/>
      <c r="P407" s="10"/>
      <c r="Q407" s="10"/>
      <c r="R407" s="10"/>
      <c r="S407" s="10"/>
      <c r="T407" s="10"/>
      <c r="U407" s="10"/>
      <c r="V407" s="10"/>
    </row>
    <row r="408">
      <c r="A408" s="10"/>
      <c r="B408" s="10"/>
      <c r="C408" s="10"/>
      <c r="D408" s="10"/>
      <c r="E408" s="10"/>
      <c r="F408" s="10"/>
      <c r="G408" s="10"/>
      <c r="I408" s="10"/>
      <c r="J408" s="10"/>
      <c r="K408" s="10"/>
      <c r="L408" s="10"/>
      <c r="M408" s="10" t="str">
        <f>ifna(VLOOKUP('acft-exerc'!$M408,FIX!$A$2:$D1000,4, false),"")</f>
        <v/>
      </c>
      <c r="N408" s="10"/>
      <c r="O408" s="10"/>
      <c r="P408" s="10"/>
      <c r="Q408" s="10"/>
      <c r="R408" s="10"/>
      <c r="S408" s="10"/>
      <c r="T408" s="10"/>
      <c r="U408" s="10"/>
      <c r="V408" s="10"/>
    </row>
    <row r="409">
      <c r="A409" s="10"/>
      <c r="B409" s="10"/>
      <c r="C409" s="10"/>
      <c r="D409" s="10"/>
      <c r="E409" s="10"/>
      <c r="F409" s="10"/>
      <c r="G409" s="10"/>
      <c r="I409" s="10"/>
      <c r="J409" s="10"/>
      <c r="K409" s="10"/>
      <c r="L409" s="10"/>
      <c r="M409" s="10" t="str">
        <f>ifna(VLOOKUP('acft-exerc'!$M409,FIX!$A$2:$D1000,4, false),"")</f>
        <v/>
      </c>
      <c r="N409" s="10"/>
      <c r="O409" s="10"/>
      <c r="P409" s="10"/>
      <c r="Q409" s="10"/>
      <c r="R409" s="10"/>
      <c r="S409" s="10"/>
      <c r="T409" s="10"/>
      <c r="U409" s="10"/>
      <c r="V409" s="10"/>
    </row>
    <row r="410">
      <c r="A410" s="10"/>
      <c r="B410" s="10"/>
      <c r="C410" s="10"/>
      <c r="D410" s="10"/>
      <c r="E410" s="10"/>
      <c r="F410" s="10"/>
      <c r="G410" s="10"/>
      <c r="I410" s="10"/>
      <c r="J410" s="10"/>
      <c r="K410" s="10"/>
      <c r="L410" s="10"/>
      <c r="M410" s="10" t="str">
        <f>ifna(VLOOKUP('acft-exerc'!$M410,FIX!$A$2:$D1000,4, false),"")</f>
        <v/>
      </c>
      <c r="N410" s="10"/>
      <c r="O410" s="10"/>
      <c r="P410" s="10"/>
      <c r="Q410" s="10"/>
      <c r="R410" s="10"/>
      <c r="S410" s="10"/>
      <c r="T410" s="10"/>
      <c r="U410" s="10"/>
      <c r="V410" s="10"/>
    </row>
    <row r="411">
      <c r="A411" s="10"/>
      <c r="B411" s="10"/>
      <c r="C411" s="10"/>
      <c r="D411" s="10"/>
      <c r="E411" s="10"/>
      <c r="F411" s="10"/>
      <c r="G411" s="10"/>
      <c r="I411" s="10"/>
      <c r="J411" s="10"/>
      <c r="K411" s="10"/>
      <c r="L411" s="10"/>
      <c r="M411" s="10" t="str">
        <f>ifna(VLOOKUP('acft-exerc'!$M411,FIX!$A$2:$D1000,4, false),"")</f>
        <v/>
      </c>
      <c r="N411" s="10"/>
      <c r="O411" s="10"/>
      <c r="P411" s="10"/>
      <c r="Q411" s="10"/>
      <c r="R411" s="10"/>
      <c r="S411" s="10"/>
      <c r="T411" s="10"/>
      <c r="U411" s="10"/>
      <c r="V411" s="10"/>
    </row>
    <row r="412">
      <c r="A412" s="10"/>
      <c r="B412" s="10"/>
      <c r="C412" s="10"/>
      <c r="D412" s="10"/>
      <c r="E412" s="10"/>
      <c r="F412" s="10"/>
      <c r="G412" s="10"/>
      <c r="I412" s="10"/>
      <c r="J412" s="10"/>
      <c r="K412" s="10"/>
      <c r="L412" s="10"/>
      <c r="M412" s="10" t="str">
        <f>ifna(VLOOKUP('acft-exerc'!$M412,FIX!$A$2:$D1000,4, false),"")</f>
        <v/>
      </c>
      <c r="N412" s="10"/>
      <c r="O412" s="10"/>
      <c r="P412" s="10"/>
      <c r="Q412" s="10"/>
      <c r="R412" s="10"/>
      <c r="S412" s="10"/>
      <c r="T412" s="10"/>
      <c r="U412" s="10"/>
      <c r="V412" s="10"/>
    </row>
    <row r="413">
      <c r="A413" s="10"/>
      <c r="B413" s="10"/>
      <c r="C413" s="10"/>
      <c r="D413" s="10"/>
      <c r="E413" s="10"/>
      <c r="F413" s="10"/>
      <c r="G413" s="10"/>
      <c r="I413" s="10"/>
      <c r="J413" s="10"/>
      <c r="K413" s="10"/>
      <c r="L413" s="10"/>
      <c r="M413" s="10" t="str">
        <f>ifna(VLOOKUP('acft-exerc'!$M413,FIX!$A$2:$D1000,4, false),"")</f>
        <v/>
      </c>
      <c r="N413" s="10"/>
      <c r="O413" s="10"/>
      <c r="P413" s="10"/>
      <c r="Q413" s="10"/>
      <c r="R413" s="10"/>
      <c r="S413" s="10"/>
      <c r="T413" s="10"/>
      <c r="U413" s="10"/>
      <c r="V413" s="10"/>
    </row>
    <row r="414">
      <c r="A414" s="10"/>
      <c r="B414" s="10"/>
      <c r="C414" s="10"/>
      <c r="D414" s="10"/>
      <c r="E414" s="10"/>
      <c r="F414" s="10"/>
      <c r="G414" s="10"/>
      <c r="I414" s="10"/>
      <c r="J414" s="10"/>
      <c r="K414" s="10"/>
      <c r="L414" s="10"/>
      <c r="M414" s="10" t="str">
        <f>ifna(VLOOKUP('acft-exerc'!$M414,FIX!$A$2:$D1000,4, false),"")</f>
        <v/>
      </c>
      <c r="N414" s="10"/>
      <c r="O414" s="10"/>
      <c r="P414" s="10"/>
      <c r="Q414" s="10"/>
      <c r="R414" s="10"/>
      <c r="S414" s="10"/>
      <c r="T414" s="10"/>
      <c r="U414" s="10"/>
      <c r="V414" s="10"/>
    </row>
    <row r="415">
      <c r="A415" s="10"/>
      <c r="B415" s="10"/>
      <c r="C415" s="10"/>
      <c r="D415" s="10"/>
      <c r="E415" s="10"/>
      <c r="F415" s="10"/>
      <c r="G415" s="10"/>
      <c r="I415" s="10"/>
      <c r="J415" s="10"/>
      <c r="K415" s="10"/>
      <c r="L415" s="10"/>
      <c r="M415" s="10" t="str">
        <f>ifna(VLOOKUP('acft-exerc'!$M415,FIX!$A$2:$D1000,4, false),"")</f>
        <v/>
      </c>
      <c r="N415" s="10"/>
      <c r="O415" s="10"/>
      <c r="P415" s="10"/>
      <c r="Q415" s="10"/>
      <c r="R415" s="10"/>
      <c r="S415" s="10"/>
      <c r="T415" s="10"/>
      <c r="U415" s="10"/>
      <c r="V415" s="10"/>
    </row>
    <row r="416">
      <c r="A416" s="10"/>
      <c r="B416" s="10"/>
      <c r="C416" s="10"/>
      <c r="D416" s="10"/>
      <c r="E416" s="10"/>
      <c r="F416" s="10"/>
      <c r="G416" s="10"/>
      <c r="I416" s="10"/>
      <c r="J416" s="10"/>
      <c r="K416" s="10"/>
      <c r="L416" s="10"/>
      <c r="M416" s="10" t="str">
        <f>ifna(VLOOKUP('acft-exerc'!$M416,FIX!$A$2:$D1000,4, false),"")</f>
        <v/>
      </c>
      <c r="N416" s="10"/>
      <c r="O416" s="10"/>
      <c r="P416" s="10"/>
      <c r="Q416" s="10"/>
      <c r="R416" s="10"/>
      <c r="S416" s="10"/>
      <c r="T416" s="10"/>
      <c r="U416" s="10"/>
      <c r="V416" s="10"/>
    </row>
    <row r="417">
      <c r="A417" s="10"/>
      <c r="B417" s="10"/>
      <c r="C417" s="10"/>
      <c r="D417" s="10"/>
      <c r="E417" s="10"/>
      <c r="F417" s="10"/>
      <c r="G417" s="10"/>
      <c r="I417" s="10"/>
      <c r="J417" s="10"/>
      <c r="K417" s="10"/>
      <c r="L417" s="10"/>
      <c r="M417" s="10" t="str">
        <f>ifna(VLOOKUP('acft-exerc'!$M417,FIX!$A$2:$D1000,4, false),"")</f>
        <v/>
      </c>
      <c r="N417" s="10"/>
      <c r="O417" s="10"/>
      <c r="P417" s="10"/>
      <c r="Q417" s="10"/>
      <c r="R417" s="10"/>
      <c r="S417" s="10"/>
      <c r="T417" s="10"/>
      <c r="U417" s="10"/>
      <c r="V417" s="10"/>
    </row>
    <row r="418">
      <c r="A418" s="10"/>
      <c r="B418" s="10"/>
      <c r="C418" s="10"/>
      <c r="D418" s="10"/>
      <c r="E418" s="10"/>
      <c r="F418" s="10"/>
      <c r="G418" s="10"/>
      <c r="I418" s="10"/>
      <c r="J418" s="10"/>
      <c r="K418" s="10"/>
      <c r="L418" s="10"/>
      <c r="M418" s="10" t="str">
        <f>ifna(VLOOKUP('acft-exerc'!$M418,FIX!$A$2:$D1000,4, false),"")</f>
        <v/>
      </c>
      <c r="N418" s="10"/>
      <c r="O418" s="10"/>
      <c r="P418" s="10"/>
      <c r="Q418" s="10"/>
      <c r="R418" s="10"/>
      <c r="S418" s="10"/>
      <c r="T418" s="10"/>
      <c r="U418" s="10"/>
      <c r="V418" s="10"/>
    </row>
    <row r="419">
      <c r="A419" s="10"/>
      <c r="B419" s="10"/>
      <c r="C419" s="10"/>
      <c r="D419" s="10"/>
      <c r="E419" s="10"/>
      <c r="F419" s="10"/>
      <c r="G419" s="10"/>
      <c r="I419" s="10"/>
      <c r="J419" s="10"/>
      <c r="K419" s="10"/>
      <c r="L419" s="10"/>
      <c r="M419" s="10" t="str">
        <f>ifna(VLOOKUP('acft-exerc'!$M419,FIX!$A$2:$D1000,4, false),"")</f>
        <v/>
      </c>
      <c r="N419" s="10"/>
      <c r="O419" s="10"/>
      <c r="P419" s="10"/>
      <c r="Q419" s="10"/>
      <c r="R419" s="10"/>
      <c r="S419" s="10"/>
      <c r="T419" s="10"/>
      <c r="U419" s="10"/>
      <c r="V419" s="10"/>
    </row>
    <row r="420">
      <c r="A420" s="10"/>
      <c r="B420" s="10"/>
      <c r="C420" s="10"/>
      <c r="D420" s="10"/>
      <c r="E420" s="10"/>
      <c r="F420" s="10"/>
      <c r="G420" s="10"/>
      <c r="I420" s="10"/>
      <c r="J420" s="10"/>
      <c r="K420" s="10"/>
      <c r="L420" s="10"/>
      <c r="M420" s="10" t="str">
        <f>ifna(VLOOKUP('acft-exerc'!$M420,FIX!$A$2:$D1000,4, false),"")</f>
        <v/>
      </c>
      <c r="N420" s="10"/>
      <c r="O420" s="10"/>
      <c r="P420" s="10"/>
      <c r="Q420" s="10"/>
      <c r="R420" s="10"/>
      <c r="S420" s="10"/>
      <c r="T420" s="10"/>
      <c r="U420" s="10"/>
      <c r="V420" s="10"/>
    </row>
    <row r="421">
      <c r="A421" s="10"/>
      <c r="B421" s="10"/>
      <c r="C421" s="10"/>
      <c r="D421" s="10"/>
      <c r="E421" s="10"/>
      <c r="F421" s="10"/>
      <c r="G421" s="10"/>
      <c r="I421" s="10"/>
      <c r="J421" s="10"/>
      <c r="K421" s="10"/>
      <c r="L421" s="10"/>
      <c r="M421" s="10" t="str">
        <f>ifna(VLOOKUP('acft-exerc'!$M421,FIX!$A$2:$D1000,4, false),"")</f>
        <v/>
      </c>
      <c r="N421" s="10"/>
      <c r="O421" s="10"/>
      <c r="P421" s="10"/>
      <c r="Q421" s="10"/>
      <c r="R421" s="10"/>
      <c r="S421" s="10"/>
      <c r="T421" s="10"/>
      <c r="U421" s="10"/>
      <c r="V421" s="10"/>
    </row>
    <row r="422">
      <c r="A422" s="10"/>
      <c r="B422" s="10"/>
      <c r="C422" s="10"/>
      <c r="D422" s="10"/>
      <c r="E422" s="10"/>
      <c r="F422" s="10"/>
      <c r="G422" s="10"/>
      <c r="I422" s="10"/>
      <c r="J422" s="10"/>
      <c r="K422" s="10"/>
      <c r="L422" s="10"/>
      <c r="M422" s="10" t="str">
        <f>ifna(VLOOKUP('acft-exerc'!$M422,FIX!$A$2:$D1000,4, false),"")</f>
        <v/>
      </c>
      <c r="N422" s="10"/>
      <c r="O422" s="10"/>
      <c r="P422" s="10"/>
      <c r="Q422" s="10"/>
      <c r="R422" s="10"/>
      <c r="S422" s="10"/>
      <c r="T422" s="10"/>
      <c r="U422" s="10"/>
      <c r="V422" s="10"/>
    </row>
    <row r="423">
      <c r="A423" s="10"/>
      <c r="B423" s="10"/>
      <c r="C423" s="10"/>
      <c r="D423" s="10"/>
      <c r="E423" s="10"/>
      <c r="F423" s="10"/>
      <c r="G423" s="10"/>
      <c r="I423" s="10"/>
      <c r="J423" s="10"/>
      <c r="K423" s="10"/>
      <c r="L423" s="10"/>
      <c r="M423" s="10" t="str">
        <f>ifna(VLOOKUP('acft-exerc'!$M423,FIX!$A$2:$D1000,4, false),"")</f>
        <v/>
      </c>
      <c r="N423" s="10"/>
      <c r="O423" s="10"/>
      <c r="P423" s="10"/>
      <c r="Q423" s="10"/>
      <c r="R423" s="10"/>
      <c r="S423" s="10"/>
      <c r="T423" s="10"/>
      <c r="U423" s="10"/>
      <c r="V423" s="10"/>
    </row>
    <row r="424">
      <c r="A424" s="10"/>
      <c r="B424" s="10"/>
      <c r="C424" s="10"/>
      <c r="D424" s="10"/>
      <c r="E424" s="10"/>
      <c r="F424" s="10"/>
      <c r="G424" s="10"/>
      <c r="I424" s="10"/>
      <c r="J424" s="10"/>
      <c r="K424" s="10"/>
      <c r="L424" s="10"/>
      <c r="M424" s="10" t="str">
        <f>ifna(VLOOKUP('acft-exerc'!$M424,FIX!$A$2:$D1000,4, false),"")</f>
        <v/>
      </c>
      <c r="N424" s="10"/>
      <c r="O424" s="10"/>
      <c r="P424" s="10"/>
      <c r="Q424" s="10"/>
      <c r="R424" s="10"/>
      <c r="S424" s="10"/>
      <c r="T424" s="10"/>
      <c r="U424" s="10"/>
      <c r="V424" s="10"/>
    </row>
    <row r="425">
      <c r="A425" s="10"/>
      <c r="B425" s="10"/>
      <c r="C425" s="10"/>
      <c r="D425" s="10"/>
      <c r="E425" s="10"/>
      <c r="F425" s="10"/>
      <c r="G425" s="10"/>
      <c r="I425" s="10"/>
      <c r="J425" s="10"/>
      <c r="K425" s="10"/>
      <c r="L425" s="10"/>
      <c r="M425" s="10" t="str">
        <f>ifna(VLOOKUP('acft-exerc'!$M425,FIX!$A$2:$D1000,4, false),"")</f>
        <v/>
      </c>
      <c r="N425" s="10"/>
      <c r="O425" s="10"/>
      <c r="P425" s="10"/>
      <c r="Q425" s="10"/>
      <c r="R425" s="10"/>
      <c r="S425" s="10"/>
      <c r="T425" s="10"/>
      <c r="U425" s="10"/>
      <c r="V425" s="10"/>
    </row>
    <row r="426">
      <c r="A426" s="10"/>
      <c r="B426" s="10"/>
      <c r="C426" s="10"/>
      <c r="D426" s="10"/>
      <c r="E426" s="10"/>
      <c r="F426" s="10"/>
      <c r="G426" s="10"/>
      <c r="I426" s="10"/>
      <c r="J426" s="10"/>
      <c r="K426" s="10"/>
      <c r="L426" s="10"/>
      <c r="M426" s="10" t="str">
        <f>ifna(VLOOKUP('acft-exerc'!$M426,FIX!$A$2:$D1000,4, false),"")</f>
        <v/>
      </c>
      <c r="N426" s="10"/>
      <c r="O426" s="10"/>
      <c r="P426" s="10"/>
      <c r="Q426" s="10"/>
      <c r="R426" s="10"/>
      <c r="S426" s="10"/>
      <c r="T426" s="10"/>
      <c r="U426" s="10"/>
      <c r="V426" s="10"/>
    </row>
    <row r="427">
      <c r="A427" s="10"/>
      <c r="B427" s="10"/>
      <c r="C427" s="10"/>
      <c r="D427" s="10"/>
      <c r="E427" s="10"/>
      <c r="F427" s="10"/>
      <c r="G427" s="10"/>
      <c r="I427" s="10"/>
      <c r="J427" s="10"/>
      <c r="K427" s="10"/>
      <c r="L427" s="10"/>
      <c r="M427" s="10" t="str">
        <f>ifna(VLOOKUP('acft-exerc'!$M427,FIX!$A$2:$D1000,4, false),"")</f>
        <v/>
      </c>
      <c r="N427" s="10"/>
      <c r="O427" s="10"/>
      <c r="P427" s="10"/>
      <c r="Q427" s="10"/>
      <c r="R427" s="10"/>
      <c r="S427" s="10"/>
      <c r="T427" s="10"/>
      <c r="U427" s="10"/>
      <c r="V427" s="10"/>
    </row>
    <row r="428">
      <c r="A428" s="10"/>
      <c r="B428" s="10"/>
      <c r="C428" s="10"/>
      <c r="D428" s="10"/>
      <c r="E428" s="10"/>
      <c r="F428" s="10"/>
      <c r="G428" s="10"/>
      <c r="I428" s="10"/>
      <c r="J428" s="10"/>
      <c r="K428" s="10"/>
      <c r="L428" s="10"/>
      <c r="M428" s="10" t="str">
        <f>ifna(VLOOKUP('acft-exerc'!$M428,FIX!$A$2:$D1000,4, false),"")</f>
        <v/>
      </c>
      <c r="N428" s="10"/>
      <c r="O428" s="10"/>
      <c r="P428" s="10"/>
      <c r="Q428" s="10"/>
      <c r="R428" s="10"/>
      <c r="S428" s="10"/>
      <c r="T428" s="10"/>
      <c r="U428" s="10"/>
      <c r="V428" s="10"/>
    </row>
    <row r="429">
      <c r="A429" s="10"/>
      <c r="B429" s="10"/>
      <c r="C429" s="10"/>
      <c r="D429" s="10"/>
      <c r="E429" s="10"/>
      <c r="F429" s="10"/>
      <c r="G429" s="10"/>
      <c r="I429" s="10"/>
      <c r="J429" s="10"/>
      <c r="K429" s="10"/>
      <c r="L429" s="10"/>
      <c r="M429" s="10" t="str">
        <f>ifna(VLOOKUP('acft-exerc'!$M429,FIX!$A$2:$D1000,4, false),"")</f>
        <v/>
      </c>
      <c r="N429" s="10"/>
      <c r="O429" s="10"/>
      <c r="P429" s="10"/>
      <c r="Q429" s="10"/>
      <c r="R429" s="10"/>
      <c r="S429" s="10"/>
      <c r="T429" s="10"/>
      <c r="U429" s="10"/>
      <c r="V429" s="10"/>
    </row>
    <row r="430">
      <c r="A430" s="10"/>
      <c r="B430" s="10"/>
      <c r="C430" s="10"/>
      <c r="D430" s="10"/>
      <c r="E430" s="10"/>
      <c r="F430" s="10"/>
      <c r="G430" s="10"/>
      <c r="I430" s="10"/>
      <c r="J430" s="10"/>
      <c r="K430" s="10"/>
      <c r="L430" s="10"/>
      <c r="M430" s="10" t="str">
        <f>ifna(VLOOKUP('acft-exerc'!$M430,FIX!$A$2:$D1000,4, false),"")</f>
        <v/>
      </c>
      <c r="N430" s="10"/>
      <c r="O430" s="10"/>
      <c r="P430" s="10"/>
      <c r="Q430" s="10"/>
      <c r="R430" s="10"/>
      <c r="S430" s="10"/>
      <c r="T430" s="10"/>
      <c r="U430" s="10"/>
      <c r="V430" s="10"/>
    </row>
    <row r="431">
      <c r="A431" s="10"/>
      <c r="B431" s="10"/>
      <c r="C431" s="10"/>
      <c r="D431" s="10"/>
      <c r="E431" s="10"/>
      <c r="F431" s="10"/>
      <c r="G431" s="10"/>
      <c r="I431" s="10"/>
      <c r="J431" s="10"/>
      <c r="K431" s="10"/>
      <c r="L431" s="10"/>
      <c r="M431" s="10" t="str">
        <f>ifna(VLOOKUP('acft-exerc'!$M431,FIX!$A$2:$D1000,4, false),"")</f>
        <v/>
      </c>
      <c r="N431" s="10"/>
      <c r="O431" s="10"/>
      <c r="P431" s="10"/>
      <c r="Q431" s="10"/>
      <c r="R431" s="10"/>
      <c r="S431" s="10"/>
      <c r="T431" s="10"/>
      <c r="U431" s="10"/>
      <c r="V431" s="10"/>
    </row>
    <row r="432">
      <c r="A432" s="10"/>
      <c r="B432" s="10"/>
      <c r="C432" s="10"/>
      <c r="D432" s="10"/>
      <c r="E432" s="10"/>
      <c r="F432" s="10"/>
      <c r="G432" s="10"/>
      <c r="I432" s="10"/>
      <c r="J432" s="10"/>
      <c r="K432" s="10"/>
      <c r="L432" s="10"/>
      <c r="M432" s="10" t="str">
        <f>ifna(VLOOKUP('acft-exerc'!$M432,FIX!$A$2:$D1000,4, false),"")</f>
        <v/>
      </c>
      <c r="N432" s="10"/>
      <c r="O432" s="10"/>
      <c r="P432" s="10"/>
      <c r="Q432" s="10"/>
      <c r="R432" s="10"/>
      <c r="S432" s="10"/>
      <c r="T432" s="10"/>
      <c r="U432" s="10"/>
      <c r="V432" s="10"/>
    </row>
    <row r="433">
      <c r="A433" s="10"/>
      <c r="B433" s="10"/>
      <c r="C433" s="10"/>
      <c r="D433" s="10"/>
      <c r="E433" s="10"/>
      <c r="F433" s="10"/>
      <c r="G433" s="10"/>
      <c r="I433" s="10"/>
      <c r="J433" s="10"/>
      <c r="K433" s="10"/>
      <c r="L433" s="10"/>
      <c r="M433" s="10" t="str">
        <f>ifna(VLOOKUP('acft-exerc'!$M433,FIX!$A$2:$D1000,4, false),"")</f>
        <v/>
      </c>
      <c r="N433" s="10"/>
      <c r="O433" s="10"/>
      <c r="P433" s="10"/>
      <c r="Q433" s="10"/>
      <c r="R433" s="10"/>
      <c r="S433" s="10"/>
      <c r="T433" s="10"/>
      <c r="U433" s="10"/>
      <c r="V433" s="10"/>
    </row>
    <row r="434">
      <c r="A434" s="10"/>
      <c r="B434" s="10"/>
      <c r="C434" s="10"/>
      <c r="D434" s="10"/>
      <c r="E434" s="10"/>
      <c r="F434" s="10"/>
      <c r="G434" s="10"/>
      <c r="I434" s="10"/>
      <c r="J434" s="10"/>
      <c r="K434" s="10"/>
      <c r="L434" s="10"/>
      <c r="M434" s="10" t="str">
        <f>ifna(VLOOKUP('acft-exerc'!$M434,FIX!$A$2:$D1000,4, false),"")</f>
        <v/>
      </c>
      <c r="N434" s="10"/>
      <c r="O434" s="10"/>
      <c r="P434" s="10"/>
      <c r="Q434" s="10"/>
      <c r="R434" s="10"/>
      <c r="S434" s="10"/>
      <c r="T434" s="10"/>
      <c r="U434" s="10"/>
      <c r="V434" s="10"/>
    </row>
    <row r="435">
      <c r="A435" s="10"/>
      <c r="B435" s="10"/>
      <c r="C435" s="10"/>
      <c r="D435" s="10"/>
      <c r="E435" s="10"/>
      <c r="F435" s="10"/>
      <c r="G435" s="10"/>
      <c r="I435" s="10"/>
      <c r="J435" s="10"/>
      <c r="K435" s="10"/>
      <c r="L435" s="10"/>
      <c r="M435" s="10" t="str">
        <f>ifna(VLOOKUP('acft-exerc'!$M435,FIX!$A$2:$D1000,4, false),"")</f>
        <v/>
      </c>
      <c r="N435" s="10"/>
      <c r="O435" s="10"/>
      <c r="P435" s="10"/>
      <c r="Q435" s="10"/>
      <c r="R435" s="10"/>
      <c r="S435" s="10"/>
      <c r="T435" s="10"/>
      <c r="U435" s="10"/>
      <c r="V435" s="10"/>
    </row>
    <row r="436">
      <c r="A436" s="10"/>
      <c r="B436" s="10"/>
      <c r="C436" s="10"/>
      <c r="D436" s="10"/>
      <c r="E436" s="10"/>
      <c r="F436" s="10"/>
      <c r="G436" s="10"/>
      <c r="I436" s="10"/>
      <c r="J436" s="10"/>
      <c r="K436" s="10"/>
      <c r="L436" s="10"/>
      <c r="M436" s="10" t="str">
        <f>ifna(VLOOKUP('acft-exerc'!$M436,FIX!$A$2:$D1000,4, false),"")</f>
        <v/>
      </c>
      <c r="N436" s="10"/>
      <c r="O436" s="10"/>
      <c r="P436" s="10"/>
      <c r="Q436" s="10"/>
      <c r="R436" s="10"/>
      <c r="S436" s="10"/>
      <c r="T436" s="10"/>
      <c r="U436" s="10"/>
      <c r="V436" s="10"/>
    </row>
    <row r="437">
      <c r="A437" s="10"/>
      <c r="B437" s="10"/>
      <c r="C437" s="10"/>
      <c r="D437" s="10"/>
      <c r="E437" s="10"/>
      <c r="F437" s="10"/>
      <c r="G437" s="10"/>
      <c r="I437" s="10"/>
      <c r="J437" s="10"/>
      <c r="K437" s="10"/>
      <c r="L437" s="10"/>
      <c r="M437" s="10" t="str">
        <f>ifna(VLOOKUP('acft-exerc'!$M437,FIX!$A$2:$D1000,4, false),"")</f>
        <v/>
      </c>
      <c r="N437" s="10"/>
      <c r="O437" s="10"/>
      <c r="P437" s="10"/>
      <c r="Q437" s="10"/>
      <c r="R437" s="10"/>
      <c r="S437" s="10"/>
      <c r="T437" s="10"/>
      <c r="U437" s="10"/>
      <c r="V437" s="10"/>
    </row>
    <row r="438">
      <c r="A438" s="10"/>
      <c r="B438" s="10"/>
      <c r="C438" s="10"/>
      <c r="D438" s="10"/>
      <c r="E438" s="10"/>
      <c r="F438" s="10"/>
      <c r="G438" s="10"/>
      <c r="I438" s="10"/>
      <c r="J438" s="10"/>
      <c r="K438" s="10"/>
      <c r="L438" s="10"/>
      <c r="M438" s="10" t="str">
        <f>ifna(VLOOKUP('acft-exerc'!$M438,FIX!$A$2:$D1000,4, false),"")</f>
        <v/>
      </c>
      <c r="N438" s="10"/>
      <c r="O438" s="10"/>
      <c r="P438" s="10"/>
      <c r="Q438" s="10"/>
      <c r="R438" s="10"/>
      <c r="S438" s="10"/>
      <c r="T438" s="10"/>
      <c r="U438" s="10"/>
      <c r="V438" s="10"/>
    </row>
    <row r="439">
      <c r="A439" s="10"/>
      <c r="B439" s="10"/>
      <c r="C439" s="10"/>
      <c r="D439" s="10"/>
      <c r="E439" s="10"/>
      <c r="F439" s="10"/>
      <c r="G439" s="10"/>
      <c r="I439" s="10"/>
      <c r="J439" s="10"/>
      <c r="K439" s="10"/>
      <c r="L439" s="10"/>
      <c r="M439" s="10" t="str">
        <f>ifna(VLOOKUP('acft-exerc'!$M439,FIX!$A$2:$D1000,4, false),"")</f>
        <v/>
      </c>
      <c r="N439" s="10"/>
      <c r="O439" s="10"/>
      <c r="P439" s="10"/>
      <c r="Q439" s="10"/>
      <c r="R439" s="10"/>
      <c r="S439" s="10"/>
      <c r="T439" s="10"/>
      <c r="U439" s="10"/>
      <c r="V439" s="10"/>
    </row>
    <row r="440">
      <c r="A440" s="10"/>
      <c r="B440" s="10"/>
      <c r="C440" s="10"/>
      <c r="D440" s="10"/>
      <c r="E440" s="10"/>
      <c r="F440" s="10"/>
      <c r="G440" s="10"/>
      <c r="I440" s="10"/>
      <c r="J440" s="10"/>
      <c r="K440" s="10"/>
      <c r="L440" s="10"/>
      <c r="M440" s="10" t="str">
        <f>ifna(VLOOKUP('acft-exerc'!$M440,FIX!$A$2:$D1000,4, false),"")</f>
        <v/>
      </c>
      <c r="N440" s="10"/>
      <c r="O440" s="10"/>
      <c r="P440" s="10"/>
      <c r="Q440" s="10"/>
      <c r="R440" s="10"/>
      <c r="S440" s="10"/>
      <c r="T440" s="10"/>
      <c r="U440" s="10"/>
      <c r="V440" s="10"/>
    </row>
    <row r="441">
      <c r="A441" s="10"/>
      <c r="B441" s="10"/>
      <c r="C441" s="10"/>
      <c r="D441" s="10"/>
      <c r="E441" s="10"/>
      <c r="F441" s="10"/>
      <c r="G441" s="10"/>
      <c r="I441" s="10"/>
      <c r="J441" s="10"/>
      <c r="K441" s="10"/>
      <c r="L441" s="10"/>
      <c r="M441" s="10" t="str">
        <f>ifna(VLOOKUP('acft-exerc'!$M441,FIX!$A$2:$D1000,4, false),"")</f>
        <v/>
      </c>
      <c r="N441" s="10"/>
      <c r="O441" s="10"/>
      <c r="P441" s="10"/>
      <c r="Q441" s="10"/>
      <c r="R441" s="10"/>
      <c r="S441" s="10"/>
      <c r="T441" s="10"/>
      <c r="U441" s="10"/>
      <c r="V441" s="10"/>
    </row>
    <row r="442">
      <c r="A442" s="10"/>
      <c r="B442" s="10"/>
      <c r="C442" s="10"/>
      <c r="D442" s="10"/>
      <c r="E442" s="10"/>
      <c r="F442" s="10"/>
      <c r="G442" s="10"/>
      <c r="I442" s="10"/>
      <c r="J442" s="10"/>
      <c r="K442" s="10"/>
      <c r="L442" s="10"/>
      <c r="M442" s="10" t="str">
        <f>ifna(VLOOKUP('acft-exerc'!$M442,FIX!$A$2:$D1000,4, false),"")</f>
        <v/>
      </c>
      <c r="N442" s="10"/>
      <c r="O442" s="10"/>
      <c r="P442" s="10"/>
      <c r="Q442" s="10"/>
      <c r="R442" s="10"/>
      <c r="S442" s="10"/>
      <c r="T442" s="10"/>
      <c r="U442" s="10"/>
      <c r="V442" s="10"/>
    </row>
    <row r="443">
      <c r="A443" s="10"/>
      <c r="B443" s="10"/>
      <c r="C443" s="10"/>
      <c r="D443" s="10"/>
      <c r="E443" s="10"/>
      <c r="F443" s="10"/>
      <c r="G443" s="10"/>
      <c r="I443" s="10"/>
      <c r="J443" s="10"/>
      <c r="K443" s="10"/>
      <c r="L443" s="10"/>
      <c r="M443" s="10" t="str">
        <f>ifna(VLOOKUP('acft-exerc'!$M443,FIX!$A$2:$D1000,4, false),"")</f>
        <v/>
      </c>
      <c r="N443" s="10"/>
      <c r="O443" s="10"/>
      <c r="P443" s="10"/>
      <c r="Q443" s="10"/>
      <c r="R443" s="10"/>
      <c r="S443" s="10"/>
      <c r="T443" s="10"/>
      <c r="U443" s="10"/>
      <c r="V443" s="10"/>
    </row>
    <row r="444">
      <c r="A444" s="10"/>
      <c r="B444" s="10"/>
      <c r="C444" s="10"/>
      <c r="D444" s="10"/>
      <c r="E444" s="10"/>
      <c r="F444" s="10"/>
      <c r="G444" s="10"/>
      <c r="I444" s="10"/>
      <c r="J444" s="10"/>
      <c r="K444" s="10"/>
      <c r="L444" s="10"/>
      <c r="M444" s="10" t="str">
        <f>ifna(VLOOKUP('acft-exerc'!$M444,FIX!$A$2:$D1000,4, false),"")</f>
        <v/>
      </c>
      <c r="N444" s="10"/>
      <c r="O444" s="10"/>
      <c r="P444" s="10"/>
      <c r="Q444" s="10"/>
      <c r="R444" s="10"/>
      <c r="S444" s="10"/>
      <c r="T444" s="10"/>
      <c r="U444" s="10"/>
      <c r="V444" s="10"/>
    </row>
    <row r="445">
      <c r="A445" s="10"/>
      <c r="B445" s="10"/>
      <c r="C445" s="10"/>
      <c r="D445" s="10"/>
      <c r="E445" s="10"/>
      <c r="F445" s="10"/>
      <c r="G445" s="10"/>
      <c r="I445" s="10"/>
      <c r="J445" s="10"/>
      <c r="K445" s="10"/>
      <c r="L445" s="10"/>
      <c r="M445" s="10" t="str">
        <f>ifna(VLOOKUP('acft-exerc'!$M445,FIX!$A$2:$D1000,4, false),"")</f>
        <v/>
      </c>
      <c r="N445" s="10"/>
      <c r="O445" s="10"/>
      <c r="P445" s="10"/>
      <c r="Q445" s="10"/>
      <c r="R445" s="10"/>
      <c r="S445" s="10"/>
      <c r="T445" s="10"/>
      <c r="U445" s="10"/>
      <c r="V445" s="10"/>
    </row>
    <row r="446">
      <c r="A446" s="10"/>
      <c r="B446" s="10"/>
      <c r="C446" s="10"/>
      <c r="D446" s="10"/>
      <c r="E446" s="10"/>
      <c r="F446" s="10"/>
      <c r="G446" s="10"/>
      <c r="I446" s="10"/>
      <c r="J446" s="10"/>
      <c r="K446" s="10"/>
      <c r="L446" s="10"/>
      <c r="M446" s="10" t="str">
        <f>ifna(VLOOKUP('acft-exerc'!$M446,FIX!$A$2:$D1000,4, false),"")</f>
        <v/>
      </c>
      <c r="N446" s="10"/>
      <c r="O446" s="10"/>
      <c r="P446" s="10"/>
      <c r="Q446" s="10"/>
      <c r="R446" s="10"/>
      <c r="S446" s="10"/>
      <c r="T446" s="10"/>
      <c r="U446" s="10"/>
      <c r="V446" s="10"/>
    </row>
    <row r="447">
      <c r="A447" s="10"/>
      <c r="B447" s="10"/>
      <c r="C447" s="10"/>
      <c r="D447" s="10"/>
      <c r="E447" s="10"/>
      <c r="F447" s="10"/>
      <c r="G447" s="10"/>
      <c r="I447" s="10"/>
      <c r="J447" s="10"/>
      <c r="K447" s="10"/>
      <c r="L447" s="10"/>
      <c r="M447" s="10" t="str">
        <f>ifna(VLOOKUP('acft-exerc'!$M447,FIX!$A$2:$D1000,4, false),"")</f>
        <v/>
      </c>
      <c r="N447" s="10"/>
      <c r="O447" s="10"/>
      <c r="P447" s="10"/>
      <c r="Q447" s="10"/>
      <c r="R447" s="10"/>
      <c r="S447" s="10"/>
      <c r="T447" s="10"/>
      <c r="U447" s="10"/>
      <c r="V447" s="10"/>
    </row>
    <row r="448">
      <c r="A448" s="10"/>
      <c r="B448" s="10"/>
      <c r="C448" s="10"/>
      <c r="D448" s="10"/>
      <c r="E448" s="10"/>
      <c r="F448" s="10"/>
      <c r="G448" s="10"/>
      <c r="I448" s="10"/>
      <c r="J448" s="10"/>
      <c r="K448" s="10"/>
      <c r="L448" s="10"/>
      <c r="M448" s="10" t="str">
        <f>ifna(VLOOKUP('acft-exerc'!$M448,FIX!$A$2:$D1000,4, false),"")</f>
        <v/>
      </c>
      <c r="N448" s="10"/>
      <c r="O448" s="10"/>
      <c r="P448" s="10"/>
      <c r="Q448" s="10"/>
      <c r="R448" s="10"/>
      <c r="S448" s="10"/>
      <c r="T448" s="10"/>
      <c r="U448" s="10"/>
      <c r="V448" s="10"/>
    </row>
    <row r="449">
      <c r="A449" s="10"/>
      <c r="B449" s="10"/>
      <c r="C449" s="10"/>
      <c r="D449" s="10"/>
      <c r="E449" s="10"/>
      <c r="F449" s="10"/>
      <c r="G449" s="10"/>
      <c r="I449" s="10"/>
      <c r="J449" s="10"/>
      <c r="K449" s="10"/>
      <c r="L449" s="10"/>
      <c r="M449" s="10" t="str">
        <f>ifna(VLOOKUP('acft-exerc'!$M449,FIX!$A$2:$D1000,4, false),"")</f>
        <v/>
      </c>
      <c r="N449" s="10"/>
      <c r="O449" s="10"/>
      <c r="P449" s="10"/>
      <c r="Q449" s="10"/>
      <c r="R449" s="10"/>
      <c r="S449" s="10"/>
      <c r="T449" s="10"/>
      <c r="U449" s="10"/>
      <c r="V449" s="10"/>
    </row>
    <row r="450">
      <c r="A450" s="10"/>
      <c r="B450" s="10"/>
      <c r="C450" s="10"/>
      <c r="D450" s="10"/>
      <c r="E450" s="10"/>
      <c r="F450" s="10"/>
      <c r="G450" s="10"/>
      <c r="I450" s="10"/>
      <c r="J450" s="10"/>
      <c r="K450" s="10"/>
      <c r="L450" s="10"/>
      <c r="M450" s="10" t="str">
        <f>ifna(VLOOKUP('acft-exerc'!$M450,FIX!$A$2:$D1000,4, false),"")</f>
        <v/>
      </c>
      <c r="N450" s="10"/>
      <c r="O450" s="10"/>
      <c r="P450" s="10"/>
      <c r="Q450" s="10"/>
      <c r="R450" s="10"/>
      <c r="S450" s="10"/>
      <c r="T450" s="10"/>
      <c r="U450" s="10"/>
      <c r="V450" s="10"/>
    </row>
    <row r="451">
      <c r="A451" s="10"/>
      <c r="B451" s="10"/>
      <c r="C451" s="10"/>
      <c r="D451" s="10"/>
      <c r="E451" s="10"/>
      <c r="F451" s="10"/>
      <c r="G451" s="10"/>
      <c r="I451" s="10"/>
      <c r="J451" s="10"/>
      <c r="K451" s="10"/>
      <c r="L451" s="10"/>
      <c r="M451" s="10" t="str">
        <f>ifna(VLOOKUP('acft-exerc'!$M451,FIX!$A$2:$D1000,4, false),"")</f>
        <v/>
      </c>
      <c r="N451" s="10"/>
      <c r="O451" s="10"/>
      <c r="P451" s="10"/>
      <c r="Q451" s="10"/>
      <c r="R451" s="10"/>
      <c r="S451" s="10"/>
      <c r="T451" s="10"/>
      <c r="U451" s="10"/>
      <c r="V451" s="10"/>
    </row>
    <row r="452">
      <c r="A452" s="10"/>
      <c r="B452" s="10"/>
      <c r="C452" s="10"/>
      <c r="D452" s="10"/>
      <c r="E452" s="10"/>
      <c r="F452" s="10"/>
      <c r="G452" s="10"/>
      <c r="I452" s="10"/>
      <c r="J452" s="10"/>
      <c r="K452" s="10"/>
      <c r="L452" s="10"/>
      <c r="M452" s="10" t="str">
        <f>ifna(VLOOKUP('acft-exerc'!$M452,FIX!$A$2:$D1000,4, false),"")</f>
        <v/>
      </c>
      <c r="N452" s="10"/>
      <c r="O452" s="10"/>
      <c r="P452" s="10"/>
      <c r="Q452" s="10"/>
      <c r="R452" s="10"/>
      <c r="S452" s="10"/>
      <c r="T452" s="10"/>
      <c r="U452" s="10"/>
      <c r="V452" s="10"/>
    </row>
    <row r="453">
      <c r="A453" s="10"/>
      <c r="B453" s="10"/>
      <c r="C453" s="10"/>
      <c r="D453" s="10"/>
      <c r="E453" s="10"/>
      <c r="F453" s="10"/>
      <c r="G453" s="10"/>
      <c r="I453" s="10"/>
      <c r="J453" s="10"/>
      <c r="K453" s="10"/>
      <c r="L453" s="10"/>
      <c r="M453" s="10" t="str">
        <f>ifna(VLOOKUP('acft-exerc'!$M453,FIX!$A$2:$D1000,4, false),"")</f>
        <v/>
      </c>
      <c r="N453" s="10"/>
      <c r="O453" s="10"/>
      <c r="P453" s="10"/>
      <c r="Q453" s="10"/>
      <c r="R453" s="10"/>
      <c r="S453" s="10"/>
      <c r="T453" s="10"/>
      <c r="U453" s="10"/>
      <c r="V453" s="10"/>
    </row>
    <row r="454">
      <c r="A454" s="10"/>
      <c r="B454" s="10"/>
      <c r="C454" s="10"/>
      <c r="D454" s="10"/>
      <c r="E454" s="10"/>
      <c r="F454" s="10"/>
      <c r="G454" s="10"/>
      <c r="I454" s="10"/>
      <c r="J454" s="10"/>
      <c r="K454" s="10"/>
      <c r="L454" s="10"/>
      <c r="M454" s="10" t="str">
        <f>ifna(VLOOKUP('acft-exerc'!$M454,FIX!$A$2:$D1000,4, false),"")</f>
        <v/>
      </c>
      <c r="N454" s="10"/>
      <c r="O454" s="10"/>
      <c r="P454" s="10"/>
      <c r="Q454" s="10"/>
      <c r="R454" s="10"/>
      <c r="S454" s="10"/>
      <c r="T454" s="10"/>
      <c r="U454" s="10"/>
      <c r="V454" s="10"/>
    </row>
    <row r="455">
      <c r="A455" s="10"/>
      <c r="B455" s="10"/>
      <c r="C455" s="10"/>
      <c r="D455" s="10"/>
      <c r="E455" s="10"/>
      <c r="F455" s="10"/>
      <c r="G455" s="10"/>
      <c r="I455" s="10"/>
      <c r="J455" s="10"/>
      <c r="K455" s="10"/>
      <c r="L455" s="10"/>
      <c r="M455" s="10" t="str">
        <f>ifna(VLOOKUP('acft-exerc'!$M455,FIX!$A$2:$D1000,4, false),"")</f>
        <v/>
      </c>
      <c r="N455" s="10"/>
      <c r="O455" s="10"/>
      <c r="P455" s="10"/>
      <c r="Q455" s="10"/>
      <c r="R455" s="10"/>
      <c r="S455" s="10"/>
      <c r="T455" s="10"/>
      <c r="U455" s="10"/>
      <c r="V455" s="10"/>
    </row>
    <row r="456">
      <c r="A456" s="10"/>
      <c r="B456" s="10"/>
      <c r="C456" s="10"/>
      <c r="D456" s="10"/>
      <c r="E456" s="10"/>
      <c r="F456" s="10"/>
      <c r="G456" s="10"/>
      <c r="I456" s="10"/>
      <c r="J456" s="10"/>
      <c r="K456" s="10"/>
      <c r="L456" s="10"/>
      <c r="M456" s="10" t="str">
        <f>ifna(VLOOKUP('acft-exerc'!$M456,FIX!$A$2:$D1000,4, false),"")</f>
        <v/>
      </c>
      <c r="N456" s="10"/>
      <c r="O456" s="10"/>
      <c r="P456" s="10"/>
      <c r="Q456" s="10"/>
      <c r="R456" s="10"/>
      <c r="S456" s="10"/>
      <c r="T456" s="10"/>
      <c r="U456" s="10"/>
      <c r="V456" s="10"/>
    </row>
    <row r="457">
      <c r="A457" s="10"/>
      <c r="B457" s="10"/>
      <c r="C457" s="10"/>
      <c r="D457" s="10"/>
      <c r="E457" s="10"/>
      <c r="F457" s="10"/>
      <c r="G457" s="10"/>
      <c r="I457" s="10"/>
      <c r="J457" s="10"/>
      <c r="K457" s="10"/>
      <c r="L457" s="10"/>
      <c r="M457" s="10" t="str">
        <f>ifna(VLOOKUP('acft-exerc'!$M457,FIX!$A$2:$D1000,4, false),"")</f>
        <v/>
      </c>
      <c r="N457" s="10"/>
      <c r="O457" s="10"/>
      <c r="P457" s="10"/>
      <c r="Q457" s="10"/>
      <c r="R457" s="10"/>
      <c r="S457" s="10"/>
      <c r="T457" s="10"/>
      <c r="U457" s="10"/>
      <c r="V457" s="10"/>
    </row>
    <row r="458">
      <c r="A458" s="10"/>
      <c r="B458" s="10"/>
      <c r="C458" s="10"/>
      <c r="D458" s="10"/>
      <c r="E458" s="10"/>
      <c r="F458" s="10"/>
      <c r="G458" s="10"/>
      <c r="I458" s="10"/>
      <c r="J458" s="10"/>
      <c r="K458" s="10"/>
      <c r="L458" s="10"/>
      <c r="M458" s="10" t="str">
        <f>ifna(VLOOKUP('acft-exerc'!$M458,FIX!$A$2:$D1000,4, false),"")</f>
        <v/>
      </c>
      <c r="N458" s="10"/>
      <c r="O458" s="10"/>
      <c r="P458" s="10"/>
      <c r="Q458" s="10"/>
      <c r="R458" s="10"/>
      <c r="S458" s="10"/>
      <c r="T458" s="10"/>
      <c r="U458" s="10"/>
      <c r="V458" s="10"/>
    </row>
    <row r="459">
      <c r="A459" s="10"/>
      <c r="B459" s="10"/>
      <c r="C459" s="10"/>
      <c r="D459" s="10"/>
      <c r="E459" s="10"/>
      <c r="F459" s="10"/>
      <c r="G459" s="10"/>
      <c r="I459" s="10"/>
      <c r="J459" s="10"/>
      <c r="K459" s="10"/>
      <c r="L459" s="10"/>
      <c r="M459" s="10" t="str">
        <f>ifna(VLOOKUP('acft-exerc'!$M459,FIX!$A$2:$D1000,4, false),"")</f>
        <v/>
      </c>
      <c r="N459" s="10"/>
      <c r="O459" s="10"/>
      <c r="P459" s="10"/>
      <c r="Q459" s="10"/>
      <c r="R459" s="10"/>
      <c r="S459" s="10"/>
      <c r="T459" s="10"/>
      <c r="U459" s="10"/>
      <c r="V459" s="10"/>
    </row>
    <row r="460">
      <c r="A460" s="10"/>
      <c r="B460" s="10"/>
      <c r="C460" s="10"/>
      <c r="D460" s="10"/>
      <c r="E460" s="10"/>
      <c r="F460" s="10"/>
      <c r="G460" s="10"/>
      <c r="I460" s="10"/>
      <c r="J460" s="10"/>
      <c r="K460" s="10"/>
      <c r="L460" s="10"/>
      <c r="M460" s="10" t="str">
        <f>ifna(VLOOKUP('acft-exerc'!$M460,FIX!$A$2:$D1000,4, false),"")</f>
        <v/>
      </c>
      <c r="N460" s="10"/>
      <c r="O460" s="10"/>
      <c r="P460" s="10"/>
      <c r="Q460" s="10"/>
      <c r="R460" s="10"/>
      <c r="S460" s="10"/>
      <c r="T460" s="10"/>
      <c r="U460" s="10"/>
      <c r="V460" s="10"/>
    </row>
    <row r="461">
      <c r="A461" s="10"/>
      <c r="B461" s="10"/>
      <c r="C461" s="10"/>
      <c r="D461" s="10"/>
      <c r="E461" s="10"/>
      <c r="F461" s="10"/>
      <c r="G461" s="10"/>
      <c r="I461" s="10"/>
      <c r="J461" s="10"/>
      <c r="K461" s="10"/>
      <c r="L461" s="10"/>
      <c r="M461" s="10" t="str">
        <f>ifna(VLOOKUP('acft-exerc'!$M461,FIX!$A$2:$D1000,4, false),"")</f>
        <v/>
      </c>
      <c r="N461" s="10"/>
      <c r="O461" s="10"/>
      <c r="P461" s="10"/>
      <c r="Q461" s="10"/>
      <c r="R461" s="10"/>
      <c r="S461" s="10"/>
      <c r="T461" s="10"/>
      <c r="U461" s="10"/>
      <c r="V461" s="10"/>
    </row>
    <row r="462">
      <c r="A462" s="10"/>
      <c r="B462" s="10"/>
      <c r="C462" s="10"/>
      <c r="D462" s="10"/>
      <c r="E462" s="10"/>
      <c r="F462" s="10"/>
      <c r="G462" s="10"/>
      <c r="I462" s="10"/>
      <c r="J462" s="10"/>
      <c r="K462" s="10"/>
      <c r="L462" s="10"/>
      <c r="M462" s="10" t="str">
        <f>ifna(VLOOKUP('acft-exerc'!$M462,FIX!$A$2:$D1000,4, false),"")</f>
        <v/>
      </c>
      <c r="N462" s="10"/>
      <c r="O462" s="10"/>
      <c r="P462" s="10"/>
      <c r="Q462" s="10"/>
      <c r="R462" s="10"/>
      <c r="S462" s="10"/>
      <c r="T462" s="10"/>
      <c r="U462" s="10"/>
      <c r="V462" s="10"/>
    </row>
    <row r="463">
      <c r="A463" s="10"/>
      <c r="B463" s="10"/>
      <c r="C463" s="10"/>
      <c r="D463" s="10"/>
      <c r="E463" s="10"/>
      <c r="F463" s="10"/>
      <c r="G463" s="10"/>
      <c r="I463" s="10"/>
      <c r="J463" s="10"/>
      <c r="K463" s="10"/>
      <c r="L463" s="10"/>
      <c r="M463" s="10" t="str">
        <f>ifna(VLOOKUP('acft-exerc'!$M463,FIX!$A$2:$D1000,4, false),"")</f>
        <v/>
      </c>
      <c r="N463" s="10"/>
      <c r="O463" s="10"/>
      <c r="P463" s="10"/>
      <c r="Q463" s="10"/>
      <c r="R463" s="10"/>
      <c r="S463" s="10"/>
      <c r="T463" s="10"/>
      <c r="U463" s="10"/>
      <c r="V463" s="10"/>
    </row>
    <row r="464">
      <c r="A464" s="10"/>
      <c r="B464" s="10"/>
      <c r="C464" s="10"/>
      <c r="D464" s="10"/>
      <c r="E464" s="10"/>
      <c r="F464" s="10"/>
      <c r="G464" s="10"/>
      <c r="I464" s="10"/>
      <c r="J464" s="10"/>
      <c r="K464" s="10"/>
      <c r="L464" s="10"/>
      <c r="M464" s="10" t="str">
        <f>ifna(VLOOKUP('acft-exerc'!$M464,FIX!$A$2:$D1000,4, false),"")</f>
        <v/>
      </c>
      <c r="N464" s="10"/>
      <c r="O464" s="10"/>
      <c r="P464" s="10"/>
      <c r="Q464" s="10"/>
      <c r="R464" s="10"/>
      <c r="S464" s="10"/>
      <c r="T464" s="10"/>
      <c r="U464" s="10"/>
      <c r="V464" s="10"/>
    </row>
    <row r="465">
      <c r="A465" s="10"/>
      <c r="B465" s="10"/>
      <c r="C465" s="10"/>
      <c r="D465" s="10"/>
      <c r="E465" s="10"/>
      <c r="F465" s="10"/>
      <c r="G465" s="10"/>
      <c r="I465" s="10"/>
      <c r="J465" s="10"/>
      <c r="K465" s="10"/>
      <c r="L465" s="10"/>
      <c r="M465" s="10" t="str">
        <f>ifna(VLOOKUP('acft-exerc'!$M465,FIX!$A$2:$D1000,4, false),"")</f>
        <v/>
      </c>
      <c r="N465" s="10"/>
      <c r="O465" s="10"/>
      <c r="P465" s="10"/>
      <c r="Q465" s="10"/>
      <c r="R465" s="10"/>
      <c r="S465" s="10"/>
      <c r="T465" s="10"/>
      <c r="U465" s="10"/>
      <c r="V465" s="10"/>
    </row>
    <row r="466">
      <c r="A466" s="10"/>
      <c r="B466" s="10"/>
      <c r="C466" s="10"/>
      <c r="D466" s="10"/>
      <c r="E466" s="10"/>
      <c r="F466" s="10"/>
      <c r="G466" s="10"/>
      <c r="I466" s="10"/>
      <c r="J466" s="10"/>
      <c r="K466" s="10"/>
      <c r="L466" s="10"/>
      <c r="M466" s="10" t="str">
        <f>ifna(VLOOKUP('acft-exerc'!$M466,FIX!$A$2:$D1000,4, false),"")</f>
        <v/>
      </c>
      <c r="N466" s="10"/>
      <c r="O466" s="10"/>
      <c r="P466" s="10"/>
      <c r="Q466" s="10"/>
      <c r="R466" s="10"/>
      <c r="S466" s="10"/>
      <c r="T466" s="10"/>
      <c r="U466" s="10"/>
      <c r="V466" s="10"/>
    </row>
    <row r="467">
      <c r="A467" s="10"/>
      <c r="B467" s="10"/>
      <c r="C467" s="10"/>
      <c r="D467" s="10"/>
      <c r="E467" s="10"/>
      <c r="F467" s="10"/>
      <c r="G467" s="10"/>
      <c r="I467" s="10"/>
      <c r="J467" s="10"/>
      <c r="K467" s="10"/>
      <c r="L467" s="10"/>
      <c r="M467" s="10" t="str">
        <f>ifna(VLOOKUP('acft-exerc'!$M467,FIX!$A$2:$D1000,4, false),"")</f>
        <v/>
      </c>
      <c r="N467" s="10"/>
      <c r="O467" s="10"/>
      <c r="P467" s="10"/>
      <c r="Q467" s="10"/>
      <c r="R467" s="10"/>
      <c r="S467" s="10"/>
      <c r="T467" s="10"/>
      <c r="U467" s="10"/>
      <c r="V467" s="10"/>
    </row>
    <row r="468">
      <c r="A468" s="10"/>
      <c r="B468" s="10"/>
      <c r="C468" s="10"/>
      <c r="D468" s="10"/>
      <c r="E468" s="10"/>
      <c r="F468" s="10"/>
      <c r="G468" s="10"/>
      <c r="I468" s="10"/>
      <c r="J468" s="10"/>
      <c r="K468" s="10"/>
      <c r="L468" s="10"/>
      <c r="M468" s="10" t="str">
        <f>ifna(VLOOKUP('acft-exerc'!$M468,FIX!$A$2:$D1000,4, false),"")</f>
        <v/>
      </c>
      <c r="N468" s="10"/>
      <c r="O468" s="10"/>
      <c r="P468" s="10"/>
      <c r="Q468" s="10"/>
      <c r="R468" s="10"/>
      <c r="S468" s="10"/>
      <c r="T468" s="10"/>
      <c r="U468" s="10"/>
      <c r="V468" s="10"/>
    </row>
    <row r="469">
      <c r="A469" s="10"/>
      <c r="B469" s="10"/>
      <c r="C469" s="10"/>
      <c r="D469" s="10"/>
      <c r="E469" s="10"/>
      <c r="F469" s="10"/>
      <c r="G469" s="10"/>
      <c r="I469" s="10"/>
      <c r="J469" s="10"/>
      <c r="K469" s="10"/>
      <c r="L469" s="10"/>
      <c r="M469" s="10" t="str">
        <f>ifna(VLOOKUP('acft-exerc'!$M469,FIX!$A$2:$D1000,4, false),"")</f>
        <v/>
      </c>
      <c r="N469" s="10"/>
      <c r="O469" s="10"/>
      <c r="P469" s="10"/>
      <c r="Q469" s="10"/>
      <c r="R469" s="10"/>
      <c r="S469" s="10"/>
      <c r="T469" s="10"/>
      <c r="U469" s="10"/>
      <c r="V469" s="10"/>
    </row>
    <row r="470">
      <c r="A470" s="10"/>
      <c r="B470" s="10"/>
      <c r="C470" s="10"/>
      <c r="D470" s="10"/>
      <c r="E470" s="10"/>
      <c r="F470" s="10"/>
      <c r="G470" s="10"/>
      <c r="I470" s="10"/>
      <c r="J470" s="10"/>
      <c r="K470" s="10"/>
      <c r="L470" s="10"/>
      <c r="M470" s="10" t="str">
        <f>ifna(VLOOKUP('acft-exerc'!$M470,FIX!$A$2:$D1000,4, false),"")</f>
        <v/>
      </c>
      <c r="N470" s="10"/>
      <c r="O470" s="10"/>
      <c r="P470" s="10"/>
      <c r="Q470" s="10"/>
      <c r="R470" s="10"/>
      <c r="S470" s="10"/>
      <c r="T470" s="10"/>
      <c r="U470" s="10"/>
      <c r="V470" s="10"/>
    </row>
    <row r="471">
      <c r="A471" s="10"/>
      <c r="B471" s="10"/>
      <c r="C471" s="10"/>
      <c r="D471" s="10"/>
      <c r="E471" s="10"/>
      <c r="F471" s="10"/>
      <c r="G471" s="10"/>
      <c r="I471" s="10"/>
      <c r="J471" s="10"/>
      <c r="K471" s="10"/>
      <c r="L471" s="10"/>
      <c r="M471" s="10" t="str">
        <f>ifna(VLOOKUP('acft-exerc'!$M471,FIX!$A$2:$D1000,4, false),"")</f>
        <v/>
      </c>
      <c r="N471" s="10"/>
      <c r="O471" s="10"/>
      <c r="P471" s="10"/>
      <c r="Q471" s="10"/>
      <c r="R471" s="10"/>
      <c r="S471" s="10"/>
      <c r="T471" s="10"/>
      <c r="U471" s="10"/>
      <c r="V471" s="10"/>
    </row>
    <row r="472">
      <c r="A472" s="10"/>
      <c r="B472" s="10"/>
      <c r="C472" s="10"/>
      <c r="D472" s="10"/>
      <c r="E472" s="10"/>
      <c r="F472" s="10"/>
      <c r="G472" s="10"/>
      <c r="I472" s="10"/>
      <c r="J472" s="10"/>
      <c r="K472" s="10"/>
      <c r="L472" s="10"/>
      <c r="M472" s="10" t="str">
        <f>ifna(VLOOKUP('acft-exerc'!$M472,FIX!$A$2:$D1000,4, false),"")</f>
        <v/>
      </c>
      <c r="N472" s="10"/>
      <c r="O472" s="10"/>
      <c r="P472" s="10"/>
      <c r="Q472" s="10"/>
      <c r="R472" s="10"/>
      <c r="S472" s="10"/>
      <c r="T472" s="10"/>
      <c r="U472" s="10"/>
      <c r="V472" s="10"/>
    </row>
    <row r="473">
      <c r="A473" s="10"/>
      <c r="B473" s="10"/>
      <c r="C473" s="10"/>
      <c r="D473" s="10"/>
      <c r="E473" s="10"/>
      <c r="F473" s="10"/>
      <c r="G473" s="10"/>
      <c r="I473" s="10"/>
      <c r="J473" s="10"/>
      <c r="K473" s="10"/>
      <c r="L473" s="10"/>
      <c r="M473" s="10" t="str">
        <f>ifna(VLOOKUP('acft-exerc'!$M473,FIX!$A$2:$D1000,4, false),"")</f>
        <v/>
      </c>
      <c r="N473" s="10"/>
      <c r="O473" s="10"/>
      <c r="P473" s="10"/>
      <c r="Q473" s="10"/>
      <c r="R473" s="10"/>
      <c r="S473" s="10"/>
      <c r="T473" s="10"/>
      <c r="U473" s="10"/>
      <c r="V473" s="10"/>
    </row>
    <row r="474">
      <c r="A474" s="10"/>
      <c r="B474" s="10"/>
      <c r="C474" s="10"/>
      <c r="D474" s="10"/>
      <c r="E474" s="10"/>
      <c r="F474" s="10"/>
      <c r="G474" s="10"/>
      <c r="I474" s="10"/>
      <c r="J474" s="10"/>
      <c r="K474" s="10"/>
      <c r="L474" s="10"/>
      <c r="M474" s="10" t="str">
        <f>ifna(VLOOKUP('acft-exerc'!$M474,FIX!$A$2:$D1000,4, false),"")</f>
        <v/>
      </c>
      <c r="N474" s="10"/>
      <c r="O474" s="10"/>
      <c r="P474" s="10"/>
      <c r="Q474" s="10"/>
      <c r="R474" s="10"/>
      <c r="S474" s="10"/>
      <c r="T474" s="10"/>
      <c r="U474" s="10"/>
      <c r="V474" s="10"/>
    </row>
    <row r="475">
      <c r="A475" s="10"/>
      <c r="B475" s="10"/>
      <c r="C475" s="10"/>
      <c r="D475" s="10"/>
      <c r="E475" s="10"/>
      <c r="F475" s="10"/>
      <c r="G475" s="10"/>
      <c r="I475" s="10"/>
      <c r="J475" s="10"/>
      <c r="K475" s="10"/>
      <c r="L475" s="10"/>
      <c r="M475" s="10" t="str">
        <f>ifna(VLOOKUP('acft-exerc'!$M475,FIX!$A$2:$D1000,4, false),"")</f>
        <v/>
      </c>
      <c r="N475" s="10"/>
      <c r="O475" s="10"/>
      <c r="P475" s="10"/>
      <c r="Q475" s="10"/>
      <c r="R475" s="10"/>
      <c r="S475" s="10"/>
      <c r="T475" s="10"/>
      <c r="U475" s="10"/>
      <c r="V475" s="10"/>
    </row>
    <row r="476">
      <c r="A476" s="10"/>
      <c r="B476" s="10"/>
      <c r="C476" s="10"/>
      <c r="D476" s="10"/>
      <c r="E476" s="10"/>
      <c r="F476" s="10"/>
      <c r="G476" s="10"/>
      <c r="I476" s="10"/>
      <c r="J476" s="10"/>
      <c r="K476" s="10"/>
      <c r="L476" s="10"/>
      <c r="M476" s="10" t="str">
        <f>ifna(VLOOKUP('acft-exerc'!$M476,FIX!$A$2:$D1000,4, false),"")</f>
        <v/>
      </c>
      <c r="N476" s="10"/>
      <c r="O476" s="10"/>
      <c r="P476" s="10"/>
      <c r="Q476" s="10"/>
      <c r="R476" s="10"/>
      <c r="S476" s="10"/>
      <c r="T476" s="10"/>
      <c r="U476" s="10"/>
      <c r="V476" s="10"/>
    </row>
    <row r="477">
      <c r="A477" s="10"/>
      <c r="B477" s="10"/>
      <c r="C477" s="10"/>
      <c r="D477" s="10"/>
      <c r="E477" s="10"/>
      <c r="F477" s="10"/>
      <c r="G477" s="10"/>
      <c r="I477" s="10"/>
      <c r="J477" s="10"/>
      <c r="K477" s="10"/>
      <c r="L477" s="10"/>
      <c r="M477" s="10" t="str">
        <f>ifna(VLOOKUP('acft-exerc'!$M477,FIX!$A$2:$D1000,4, false),"")</f>
        <v/>
      </c>
      <c r="N477" s="10"/>
      <c r="O477" s="10"/>
      <c r="P477" s="10"/>
      <c r="Q477" s="10"/>
      <c r="R477" s="10"/>
      <c r="S477" s="10"/>
      <c r="T477" s="10"/>
      <c r="U477" s="10"/>
      <c r="V477" s="10"/>
    </row>
    <row r="478">
      <c r="A478" s="10"/>
      <c r="B478" s="10"/>
      <c r="C478" s="10"/>
      <c r="D478" s="10"/>
      <c r="E478" s="10"/>
      <c r="F478" s="10"/>
      <c r="G478" s="10"/>
      <c r="I478" s="10"/>
      <c r="J478" s="10"/>
      <c r="K478" s="10"/>
      <c r="L478" s="10"/>
      <c r="M478" s="10" t="str">
        <f>ifna(VLOOKUP('acft-exerc'!$M478,FIX!$A$2:$D1000,4, false),"")</f>
        <v/>
      </c>
      <c r="N478" s="10"/>
      <c r="O478" s="10"/>
      <c r="P478" s="10"/>
      <c r="Q478" s="10"/>
      <c r="R478" s="10"/>
      <c r="S478" s="10"/>
      <c r="T478" s="10"/>
      <c r="U478" s="10"/>
      <c r="V478" s="10"/>
    </row>
    <row r="479">
      <c r="A479" s="10"/>
      <c r="B479" s="10"/>
      <c r="C479" s="10"/>
      <c r="D479" s="10"/>
      <c r="E479" s="10"/>
      <c r="F479" s="10"/>
      <c r="G479" s="10"/>
      <c r="I479" s="10"/>
      <c r="J479" s="10"/>
      <c r="K479" s="10"/>
      <c r="L479" s="10"/>
      <c r="M479" s="10" t="str">
        <f>ifna(VLOOKUP('acft-exerc'!$M479,FIX!$A$2:$D1000,4, false),"")</f>
        <v/>
      </c>
      <c r="N479" s="10"/>
      <c r="O479" s="10"/>
      <c r="P479" s="10"/>
      <c r="Q479" s="10"/>
      <c r="R479" s="10"/>
      <c r="S479" s="10"/>
      <c r="T479" s="10"/>
      <c r="U479" s="10"/>
      <c r="V479" s="10"/>
    </row>
    <row r="480">
      <c r="A480" s="10"/>
      <c r="B480" s="10"/>
      <c r="C480" s="10"/>
      <c r="D480" s="10"/>
      <c r="E480" s="10"/>
      <c r="F480" s="10"/>
      <c r="G480" s="10"/>
      <c r="I480" s="10"/>
      <c r="J480" s="10"/>
      <c r="K480" s="10"/>
      <c r="L480" s="10"/>
      <c r="M480" s="10" t="str">
        <f>ifna(VLOOKUP('acft-exerc'!$M480,FIX!$A$2:$D1000,4, false),"")</f>
        <v/>
      </c>
      <c r="N480" s="10"/>
      <c r="O480" s="10"/>
      <c r="P480" s="10"/>
      <c r="Q480" s="10"/>
      <c r="R480" s="10"/>
      <c r="S480" s="10"/>
      <c r="T480" s="10"/>
      <c r="U480" s="10"/>
      <c r="V480" s="10"/>
    </row>
    <row r="481">
      <c r="A481" s="10"/>
      <c r="B481" s="10"/>
      <c r="C481" s="10"/>
      <c r="D481" s="10"/>
      <c r="E481" s="10"/>
      <c r="F481" s="10"/>
      <c r="G481" s="10"/>
      <c r="I481" s="10"/>
      <c r="J481" s="10"/>
      <c r="K481" s="10"/>
      <c r="L481" s="10"/>
      <c r="M481" s="10" t="str">
        <f>ifna(VLOOKUP('acft-exerc'!$M481,FIX!$A$2:$D1000,4, false),"")</f>
        <v/>
      </c>
      <c r="N481" s="10"/>
      <c r="O481" s="10"/>
      <c r="P481" s="10"/>
      <c r="Q481" s="10"/>
      <c r="R481" s="10"/>
      <c r="S481" s="10"/>
      <c r="T481" s="10"/>
      <c r="U481" s="10"/>
      <c r="V481" s="10"/>
    </row>
    <row r="482">
      <c r="A482" s="10"/>
      <c r="B482" s="10"/>
      <c r="C482" s="10"/>
      <c r="D482" s="10"/>
      <c r="E482" s="10"/>
      <c r="F482" s="10"/>
      <c r="G482" s="10"/>
      <c r="I482" s="10"/>
      <c r="J482" s="10"/>
      <c r="K482" s="10"/>
      <c r="L482" s="10"/>
      <c r="M482" s="10" t="str">
        <f>ifna(VLOOKUP('acft-exerc'!$M482,FIX!$A$2:$D1000,4, false),"")</f>
        <v/>
      </c>
      <c r="N482" s="10"/>
      <c r="O482" s="10"/>
      <c r="P482" s="10"/>
      <c r="Q482" s="10"/>
      <c r="R482" s="10"/>
      <c r="S482" s="10"/>
      <c r="T482" s="10"/>
      <c r="U482" s="10"/>
      <c r="V482" s="10"/>
    </row>
    <row r="483">
      <c r="A483" s="10"/>
      <c r="B483" s="10"/>
      <c r="C483" s="10"/>
      <c r="D483" s="10"/>
      <c r="E483" s="10"/>
      <c r="F483" s="10"/>
      <c r="G483" s="10"/>
      <c r="I483" s="10"/>
      <c r="J483" s="10"/>
      <c r="K483" s="10"/>
      <c r="L483" s="10"/>
      <c r="M483" s="10" t="str">
        <f>ifna(VLOOKUP('acft-exerc'!$M483,FIX!$A$2:$D1000,4, false),"")</f>
        <v/>
      </c>
      <c r="N483" s="10"/>
      <c r="O483" s="10"/>
      <c r="P483" s="10"/>
      <c r="Q483" s="10"/>
      <c r="R483" s="10"/>
      <c r="S483" s="10"/>
      <c r="T483" s="10"/>
      <c r="U483" s="10"/>
      <c r="V483" s="10"/>
    </row>
    <row r="484">
      <c r="A484" s="10"/>
      <c r="B484" s="10"/>
      <c r="C484" s="10"/>
      <c r="D484" s="10"/>
      <c r="E484" s="10"/>
      <c r="F484" s="10"/>
      <c r="G484" s="10"/>
      <c r="I484" s="10"/>
      <c r="J484" s="10"/>
      <c r="K484" s="10"/>
      <c r="L484" s="10"/>
      <c r="M484" s="10" t="str">
        <f>ifna(VLOOKUP('acft-exerc'!$M484,FIX!$A$2:$D1000,4, false),"")</f>
        <v/>
      </c>
      <c r="N484" s="10"/>
      <c r="O484" s="10"/>
      <c r="P484" s="10"/>
      <c r="Q484" s="10"/>
      <c r="R484" s="10"/>
      <c r="S484" s="10"/>
      <c r="T484" s="10"/>
      <c r="U484" s="10"/>
      <c r="V484" s="10"/>
    </row>
    <row r="485">
      <c r="A485" s="10"/>
      <c r="B485" s="10"/>
      <c r="C485" s="10"/>
      <c r="D485" s="10"/>
      <c r="E485" s="10"/>
      <c r="F485" s="10"/>
      <c r="G485" s="10"/>
      <c r="I485" s="10"/>
      <c r="J485" s="10"/>
      <c r="K485" s="10"/>
      <c r="L485" s="10"/>
      <c r="M485" s="10" t="str">
        <f>ifna(VLOOKUP('acft-exerc'!$M485,FIX!$A$2:$D1000,4, false),"")</f>
        <v/>
      </c>
      <c r="N485" s="10"/>
      <c r="O485" s="10"/>
      <c r="P485" s="10"/>
      <c r="Q485" s="10"/>
      <c r="R485" s="10"/>
      <c r="S485" s="10"/>
      <c r="T485" s="10"/>
      <c r="U485" s="10"/>
      <c r="V485" s="10"/>
    </row>
    <row r="486">
      <c r="A486" s="10"/>
      <c r="B486" s="10"/>
      <c r="C486" s="10"/>
      <c r="D486" s="10"/>
      <c r="E486" s="10"/>
      <c r="F486" s="10"/>
      <c r="G486" s="10"/>
      <c r="I486" s="10"/>
      <c r="J486" s="10"/>
      <c r="K486" s="10"/>
      <c r="L486" s="10"/>
      <c r="M486" s="10" t="str">
        <f>ifna(VLOOKUP('acft-exerc'!$M486,FIX!$A$2:$D1000,4, false),"")</f>
        <v/>
      </c>
      <c r="N486" s="10"/>
      <c r="O486" s="10"/>
      <c r="P486" s="10"/>
      <c r="Q486" s="10"/>
      <c r="R486" s="10"/>
      <c r="S486" s="10"/>
      <c r="T486" s="10"/>
      <c r="U486" s="10"/>
      <c r="V486" s="10"/>
    </row>
    <row r="487">
      <c r="A487" s="10"/>
      <c r="B487" s="10"/>
      <c r="C487" s="10"/>
      <c r="D487" s="10"/>
      <c r="E487" s="10"/>
      <c r="F487" s="10"/>
      <c r="G487" s="10"/>
      <c r="I487" s="10"/>
      <c r="J487" s="10"/>
      <c r="K487" s="10"/>
      <c r="L487" s="10"/>
      <c r="M487" s="10" t="str">
        <f>ifna(VLOOKUP('acft-exerc'!$M487,FIX!$A$2:$D1000,4, false),"")</f>
        <v/>
      </c>
      <c r="N487" s="10"/>
      <c r="O487" s="10"/>
      <c r="P487" s="10"/>
      <c r="Q487" s="10"/>
      <c r="R487" s="10"/>
      <c r="S487" s="10"/>
      <c r="T487" s="10"/>
      <c r="U487" s="10"/>
      <c r="V487" s="10"/>
    </row>
    <row r="488">
      <c r="A488" s="10"/>
      <c r="B488" s="10"/>
      <c r="C488" s="10"/>
      <c r="D488" s="10"/>
      <c r="E488" s="10"/>
      <c r="F488" s="10"/>
      <c r="G488" s="10"/>
      <c r="I488" s="10"/>
      <c r="J488" s="10"/>
      <c r="K488" s="10"/>
      <c r="L488" s="10"/>
      <c r="M488" s="10" t="str">
        <f>ifna(VLOOKUP('acft-exerc'!$M488,FIX!$A$2:$D1000,4, false),"")</f>
        <v/>
      </c>
      <c r="N488" s="10"/>
      <c r="O488" s="10"/>
      <c r="P488" s="10"/>
      <c r="Q488" s="10"/>
      <c r="R488" s="10"/>
      <c r="S488" s="10"/>
      <c r="T488" s="10"/>
      <c r="U488" s="10"/>
      <c r="V488" s="10"/>
    </row>
    <row r="489">
      <c r="A489" s="10"/>
      <c r="B489" s="10"/>
      <c r="C489" s="10"/>
      <c r="D489" s="10"/>
      <c r="E489" s="10"/>
      <c r="F489" s="10"/>
      <c r="G489" s="10"/>
      <c r="I489" s="10"/>
      <c r="J489" s="10"/>
      <c r="K489" s="10"/>
      <c r="L489" s="10"/>
      <c r="M489" s="10" t="str">
        <f>ifna(VLOOKUP('acft-exerc'!$M489,FIX!$A$2:$D1000,4, false),"")</f>
        <v/>
      </c>
      <c r="N489" s="10"/>
      <c r="O489" s="10"/>
      <c r="P489" s="10"/>
      <c r="Q489" s="10"/>
      <c r="R489" s="10"/>
      <c r="S489" s="10"/>
      <c r="T489" s="10"/>
      <c r="U489" s="10"/>
      <c r="V489" s="10"/>
    </row>
    <row r="490">
      <c r="A490" s="10"/>
      <c r="B490" s="10"/>
      <c r="C490" s="10"/>
      <c r="D490" s="10"/>
      <c r="E490" s="10"/>
      <c r="F490" s="10"/>
      <c r="G490" s="10"/>
      <c r="I490" s="10"/>
      <c r="J490" s="10"/>
      <c r="K490" s="10"/>
      <c r="L490" s="10"/>
      <c r="M490" s="10" t="str">
        <f>ifna(VLOOKUP('acft-exerc'!$M490,FIX!$A$2:$D1000,4, false),"")</f>
        <v/>
      </c>
      <c r="N490" s="10"/>
      <c r="O490" s="10"/>
      <c r="P490" s="10"/>
      <c r="Q490" s="10"/>
      <c r="R490" s="10"/>
      <c r="S490" s="10"/>
      <c r="T490" s="10"/>
      <c r="U490" s="10"/>
      <c r="V490" s="10"/>
    </row>
    <row r="491">
      <c r="A491" s="10"/>
      <c r="B491" s="10"/>
      <c r="C491" s="10"/>
      <c r="D491" s="10"/>
      <c r="E491" s="10"/>
      <c r="F491" s="10"/>
      <c r="G491" s="10"/>
      <c r="I491" s="10"/>
      <c r="J491" s="10"/>
      <c r="K491" s="10"/>
      <c r="L491" s="10"/>
      <c r="M491" s="10" t="str">
        <f>ifna(VLOOKUP('acft-exerc'!$M491,FIX!$A$2:$D1000,4, false),"")</f>
        <v/>
      </c>
      <c r="N491" s="10"/>
      <c r="O491" s="10"/>
      <c r="P491" s="10"/>
      <c r="Q491" s="10"/>
      <c r="R491" s="10"/>
      <c r="S491" s="10"/>
      <c r="T491" s="10"/>
      <c r="U491" s="10"/>
      <c r="V491" s="10"/>
    </row>
    <row r="492">
      <c r="A492" s="10"/>
      <c r="B492" s="10"/>
      <c r="C492" s="10"/>
      <c r="D492" s="10"/>
      <c r="E492" s="10"/>
      <c r="F492" s="10"/>
      <c r="G492" s="10"/>
      <c r="I492" s="10"/>
      <c r="J492" s="10"/>
      <c r="K492" s="10"/>
      <c r="L492" s="10"/>
      <c r="M492" s="10" t="str">
        <f>ifna(VLOOKUP('acft-exerc'!$M492,FIX!$A$2:$D1000,4, false),"")</f>
        <v/>
      </c>
      <c r="N492" s="10"/>
      <c r="O492" s="10"/>
      <c r="P492" s="10"/>
      <c r="Q492" s="10"/>
      <c r="R492" s="10"/>
      <c r="S492" s="10"/>
      <c r="T492" s="10"/>
      <c r="U492" s="10"/>
      <c r="V492" s="10"/>
    </row>
    <row r="493">
      <c r="A493" s="10"/>
      <c r="B493" s="10"/>
      <c r="C493" s="10"/>
      <c r="D493" s="10"/>
      <c r="E493" s="10"/>
      <c r="F493" s="10"/>
      <c r="G493" s="10"/>
      <c r="I493" s="10"/>
      <c r="J493" s="10"/>
      <c r="K493" s="10"/>
      <c r="L493" s="10"/>
      <c r="M493" s="10" t="str">
        <f>ifna(VLOOKUP('acft-exerc'!$M493,FIX!$A$2:$D1000,4, false),"")</f>
        <v/>
      </c>
      <c r="N493" s="10"/>
      <c r="O493" s="10"/>
      <c r="P493" s="10"/>
      <c r="Q493" s="10"/>
      <c r="R493" s="10"/>
      <c r="S493" s="10"/>
      <c r="T493" s="10"/>
      <c r="U493" s="10"/>
      <c r="V493" s="10"/>
    </row>
    <row r="494">
      <c r="A494" s="10"/>
      <c r="B494" s="10"/>
      <c r="C494" s="10"/>
      <c r="D494" s="10"/>
      <c r="E494" s="10"/>
      <c r="F494" s="10"/>
      <c r="G494" s="10"/>
      <c r="I494" s="10"/>
      <c r="J494" s="10"/>
      <c r="K494" s="10"/>
      <c r="L494" s="10"/>
      <c r="M494" s="10" t="str">
        <f>ifna(VLOOKUP('acft-exerc'!$M494,FIX!$A$2:$D1000,4, false),"")</f>
        <v/>
      </c>
      <c r="N494" s="10"/>
      <c r="O494" s="10"/>
      <c r="P494" s="10"/>
      <c r="Q494" s="10"/>
      <c r="R494" s="10"/>
      <c r="S494" s="10"/>
      <c r="T494" s="10"/>
      <c r="U494" s="10"/>
      <c r="V494" s="10"/>
    </row>
    <row r="495">
      <c r="A495" s="10"/>
      <c r="B495" s="10"/>
      <c r="C495" s="10"/>
      <c r="D495" s="10"/>
      <c r="E495" s="10"/>
      <c r="F495" s="10"/>
      <c r="G495" s="10"/>
      <c r="I495" s="10"/>
      <c r="J495" s="10"/>
      <c r="K495" s="10"/>
      <c r="L495" s="10"/>
      <c r="M495" s="10" t="str">
        <f>ifna(VLOOKUP('acft-exerc'!$M495,FIX!$A$2:$D1000,4, false),"")</f>
        <v/>
      </c>
      <c r="N495" s="10"/>
      <c r="O495" s="10"/>
      <c r="P495" s="10"/>
      <c r="Q495" s="10"/>
      <c r="R495" s="10"/>
      <c r="S495" s="10"/>
      <c r="T495" s="10"/>
      <c r="U495" s="10"/>
      <c r="V495" s="10"/>
    </row>
    <row r="496">
      <c r="A496" s="10"/>
      <c r="B496" s="10"/>
      <c r="C496" s="10"/>
      <c r="D496" s="10"/>
      <c r="E496" s="10"/>
      <c r="F496" s="10"/>
      <c r="G496" s="10"/>
      <c r="I496" s="10"/>
      <c r="J496" s="10"/>
      <c r="K496" s="10"/>
      <c r="L496" s="10"/>
      <c r="M496" s="10" t="str">
        <f>ifna(VLOOKUP('acft-exerc'!$M496,FIX!$A$2:$D1000,4, false),"")</f>
        <v/>
      </c>
      <c r="N496" s="10"/>
      <c r="O496" s="10"/>
      <c r="P496" s="10"/>
      <c r="Q496" s="10"/>
      <c r="R496" s="10"/>
      <c r="S496" s="10"/>
      <c r="T496" s="10"/>
      <c r="U496" s="10"/>
      <c r="V496" s="10"/>
    </row>
    <row r="497">
      <c r="A497" s="10"/>
      <c r="B497" s="10"/>
      <c r="C497" s="10"/>
      <c r="D497" s="10"/>
      <c r="E497" s="10"/>
      <c r="F497" s="10"/>
      <c r="G497" s="10"/>
      <c r="I497" s="10"/>
      <c r="J497" s="10"/>
      <c r="K497" s="10"/>
      <c r="L497" s="10"/>
      <c r="M497" s="10" t="str">
        <f>ifna(VLOOKUP('acft-exerc'!$M497,FIX!$A$2:$D1000,4, false),"")</f>
        <v/>
      </c>
      <c r="N497" s="10"/>
      <c r="O497" s="10"/>
      <c r="P497" s="10"/>
      <c r="Q497" s="10"/>
      <c r="R497" s="10"/>
      <c r="S497" s="10"/>
      <c r="T497" s="10"/>
      <c r="U497" s="10"/>
      <c r="V497" s="10"/>
    </row>
    <row r="498">
      <c r="A498" s="10"/>
      <c r="B498" s="10"/>
      <c r="C498" s="10"/>
      <c r="D498" s="10"/>
      <c r="E498" s="10"/>
      <c r="F498" s="10"/>
      <c r="G498" s="10"/>
      <c r="I498" s="10"/>
      <c r="J498" s="10"/>
      <c r="K498" s="10"/>
      <c r="L498" s="10"/>
      <c r="M498" s="10" t="str">
        <f>ifna(VLOOKUP('acft-exerc'!$M498,FIX!$A$2:$D1000,4, false),"")</f>
        <v/>
      </c>
      <c r="N498" s="10"/>
      <c r="O498" s="10"/>
      <c r="P498" s="10"/>
      <c r="Q498" s="10"/>
      <c r="R498" s="10"/>
      <c r="S498" s="10"/>
      <c r="T498" s="10"/>
      <c r="U498" s="10"/>
      <c r="V498" s="10"/>
    </row>
    <row r="499">
      <c r="A499" s="10"/>
      <c r="B499" s="10"/>
      <c r="C499" s="10"/>
      <c r="D499" s="10"/>
      <c r="E499" s="10"/>
      <c r="F499" s="10"/>
      <c r="G499" s="10"/>
      <c r="I499" s="10"/>
      <c r="J499" s="10"/>
      <c r="K499" s="10"/>
      <c r="L499" s="10"/>
      <c r="M499" s="10" t="str">
        <f>ifna(VLOOKUP('acft-exerc'!$M499,FIX!$A$2:$D1000,4, false),"")</f>
        <v/>
      </c>
      <c r="N499" s="10"/>
      <c r="O499" s="10"/>
      <c r="P499" s="10"/>
      <c r="Q499" s="10"/>
      <c r="R499" s="10"/>
      <c r="S499" s="10"/>
      <c r="T499" s="10"/>
      <c r="U499" s="10"/>
      <c r="V499" s="10"/>
    </row>
    <row r="500">
      <c r="A500" s="10"/>
      <c r="B500" s="10"/>
      <c r="C500" s="10"/>
      <c r="D500" s="10"/>
      <c r="E500" s="10"/>
      <c r="F500" s="10"/>
      <c r="G500" s="10"/>
      <c r="I500" s="10"/>
      <c r="J500" s="10"/>
      <c r="K500" s="10"/>
      <c r="L500" s="10"/>
      <c r="M500" s="10" t="str">
        <f>ifna(VLOOKUP('acft-exerc'!$M500,FIX!$A$2:$D1000,4, false),"")</f>
        <v/>
      </c>
      <c r="N500" s="10"/>
      <c r="O500" s="10"/>
      <c r="P500" s="10"/>
      <c r="Q500" s="10"/>
      <c r="R500" s="10"/>
      <c r="S500" s="10"/>
      <c r="T500" s="10"/>
      <c r="U500" s="10"/>
      <c r="V500" s="10"/>
    </row>
    <row r="501">
      <c r="A501" s="10"/>
      <c r="B501" s="10"/>
      <c r="C501" s="10"/>
      <c r="D501" s="10"/>
      <c r="E501" s="10"/>
      <c r="F501" s="10"/>
      <c r="G501" s="10"/>
      <c r="I501" s="10"/>
      <c r="J501" s="10"/>
      <c r="K501" s="10"/>
      <c r="L501" s="10"/>
      <c r="M501" s="10" t="str">
        <f>ifna(VLOOKUP('acft-exerc'!$M501,FIX!$A$2:$D1000,4, false),"")</f>
        <v/>
      </c>
      <c r="N501" s="10"/>
      <c r="O501" s="10"/>
      <c r="P501" s="10"/>
      <c r="Q501" s="10"/>
      <c r="R501" s="10"/>
      <c r="S501" s="10"/>
      <c r="T501" s="10"/>
      <c r="U501" s="10"/>
      <c r="V501" s="10"/>
    </row>
    <row r="502">
      <c r="A502" s="10"/>
      <c r="B502" s="10"/>
      <c r="C502" s="10"/>
      <c r="D502" s="10"/>
      <c r="E502" s="10"/>
      <c r="F502" s="10"/>
      <c r="G502" s="10"/>
      <c r="I502" s="10"/>
      <c r="J502" s="10"/>
      <c r="K502" s="10"/>
      <c r="L502" s="10"/>
      <c r="M502" s="10" t="str">
        <f>ifna(VLOOKUP('acft-exerc'!$M502,FIX!$A$2:$D1000,4, false),"")</f>
        <v/>
      </c>
      <c r="N502" s="10"/>
      <c r="O502" s="10"/>
      <c r="P502" s="10"/>
      <c r="Q502" s="10"/>
      <c r="R502" s="10"/>
      <c r="S502" s="10"/>
      <c r="T502" s="10"/>
      <c r="U502" s="10"/>
      <c r="V502" s="10"/>
    </row>
    <row r="503">
      <c r="A503" s="10"/>
      <c r="B503" s="10"/>
      <c r="C503" s="10"/>
      <c r="D503" s="10"/>
      <c r="E503" s="10"/>
      <c r="F503" s="10"/>
      <c r="G503" s="10"/>
      <c r="I503" s="10"/>
      <c r="J503" s="10"/>
      <c r="K503" s="10"/>
      <c r="L503" s="10"/>
      <c r="M503" s="10" t="str">
        <f>ifna(VLOOKUP('acft-exerc'!$M503,FIX!$A$2:$D1000,4, false),"")</f>
        <v/>
      </c>
      <c r="N503" s="10"/>
      <c r="O503" s="10"/>
      <c r="P503" s="10"/>
      <c r="Q503" s="10"/>
      <c r="R503" s="10"/>
      <c r="S503" s="10"/>
      <c r="T503" s="10"/>
      <c r="U503" s="10"/>
      <c r="V503" s="10"/>
    </row>
    <row r="504">
      <c r="A504" s="10"/>
      <c r="B504" s="10"/>
      <c r="C504" s="10"/>
      <c r="D504" s="10"/>
      <c r="E504" s="10"/>
      <c r="F504" s="10"/>
      <c r="G504" s="10"/>
      <c r="I504" s="10"/>
      <c r="J504" s="10"/>
      <c r="K504" s="10"/>
      <c r="L504" s="10"/>
      <c r="M504" s="10" t="str">
        <f>ifna(VLOOKUP('acft-exerc'!$M504,FIX!$A$2:$D1000,4, false),"")</f>
        <v/>
      </c>
      <c r="N504" s="10"/>
      <c r="O504" s="10"/>
      <c r="P504" s="10"/>
      <c r="Q504" s="10"/>
      <c r="R504" s="10"/>
      <c r="S504" s="10"/>
      <c r="T504" s="10"/>
      <c r="U504" s="10"/>
      <c r="V504" s="10"/>
    </row>
    <row r="505">
      <c r="A505" s="10"/>
      <c r="B505" s="10"/>
      <c r="C505" s="10"/>
      <c r="D505" s="10"/>
      <c r="E505" s="10"/>
      <c r="F505" s="10"/>
      <c r="G505" s="10"/>
      <c r="I505" s="10"/>
      <c r="J505" s="10"/>
      <c r="K505" s="10"/>
      <c r="L505" s="10"/>
      <c r="M505" s="10" t="str">
        <f>ifna(VLOOKUP('acft-exerc'!$M505,FIX!$A$2:$D1000,4, false),"")</f>
        <v/>
      </c>
      <c r="N505" s="10"/>
      <c r="O505" s="10"/>
      <c r="P505" s="10"/>
      <c r="Q505" s="10"/>
      <c r="R505" s="10"/>
      <c r="S505" s="10"/>
      <c r="T505" s="10"/>
      <c r="U505" s="10"/>
      <c r="V505" s="10"/>
    </row>
    <row r="506">
      <c r="A506" s="10"/>
      <c r="B506" s="10"/>
      <c r="C506" s="10"/>
      <c r="D506" s="10"/>
      <c r="E506" s="10"/>
      <c r="F506" s="10"/>
      <c r="G506" s="10"/>
      <c r="I506" s="10"/>
      <c r="J506" s="10"/>
      <c r="K506" s="10"/>
      <c r="L506" s="10"/>
      <c r="M506" s="10" t="str">
        <f>ifna(VLOOKUP('acft-exerc'!$M506,FIX!$A$2:$D1000,4, false),"")</f>
        <v/>
      </c>
      <c r="N506" s="10"/>
      <c r="O506" s="10"/>
      <c r="P506" s="10"/>
      <c r="Q506" s="10"/>
      <c r="R506" s="10"/>
      <c r="S506" s="10"/>
      <c r="T506" s="10"/>
      <c r="U506" s="10"/>
      <c r="V506" s="10"/>
    </row>
    <row r="507">
      <c r="A507" s="10"/>
      <c r="B507" s="10"/>
      <c r="C507" s="10"/>
      <c r="D507" s="10"/>
      <c r="E507" s="10"/>
      <c r="F507" s="10"/>
      <c r="G507" s="10"/>
      <c r="I507" s="10"/>
      <c r="J507" s="10"/>
      <c r="K507" s="10"/>
      <c r="L507" s="10"/>
      <c r="M507" s="10" t="str">
        <f>ifna(VLOOKUP('acft-exerc'!$M507,FIX!$A$2:$D1000,4, false),"")</f>
        <v/>
      </c>
      <c r="N507" s="10"/>
      <c r="O507" s="10"/>
      <c r="P507" s="10"/>
      <c r="Q507" s="10"/>
      <c r="R507" s="10"/>
      <c r="S507" s="10"/>
      <c r="T507" s="10"/>
      <c r="U507" s="10"/>
      <c r="V507" s="10"/>
    </row>
    <row r="508">
      <c r="A508" s="10"/>
      <c r="B508" s="10"/>
      <c r="C508" s="10"/>
      <c r="D508" s="10"/>
      <c r="E508" s="10"/>
      <c r="F508" s="10"/>
      <c r="G508" s="10"/>
      <c r="I508" s="10"/>
      <c r="J508" s="10"/>
      <c r="K508" s="10"/>
      <c r="L508" s="10"/>
      <c r="M508" s="10" t="str">
        <f>ifna(VLOOKUP('acft-exerc'!$M508,FIX!$A$2:$D1000,4, false),"")</f>
        <v/>
      </c>
      <c r="N508" s="10"/>
      <c r="O508" s="10"/>
      <c r="P508" s="10"/>
      <c r="Q508" s="10"/>
      <c r="R508" s="10"/>
      <c r="S508" s="10"/>
      <c r="T508" s="10"/>
      <c r="U508" s="10"/>
      <c r="V508" s="10"/>
    </row>
    <row r="509">
      <c r="A509" s="10"/>
      <c r="B509" s="10"/>
      <c r="C509" s="10"/>
      <c r="D509" s="10"/>
      <c r="E509" s="10"/>
      <c r="F509" s="10"/>
      <c r="G509" s="10"/>
      <c r="I509" s="10"/>
      <c r="J509" s="10"/>
      <c r="K509" s="10"/>
      <c r="L509" s="10"/>
      <c r="M509" s="10" t="str">
        <f>ifna(VLOOKUP('acft-exerc'!$M509,FIX!$A$2:$D1000,4, false),"")</f>
        <v/>
      </c>
      <c r="N509" s="10"/>
      <c r="O509" s="10"/>
      <c r="P509" s="10"/>
      <c r="Q509" s="10"/>
      <c r="R509" s="10"/>
      <c r="S509" s="10"/>
      <c r="T509" s="10"/>
      <c r="U509" s="10"/>
      <c r="V509" s="10"/>
    </row>
    <row r="510">
      <c r="A510" s="10"/>
      <c r="B510" s="10"/>
      <c r="C510" s="10"/>
      <c r="D510" s="10"/>
      <c r="E510" s="10"/>
      <c r="F510" s="10"/>
      <c r="G510" s="10"/>
      <c r="I510" s="10"/>
      <c r="J510" s="10"/>
      <c r="K510" s="10"/>
      <c r="L510" s="10"/>
      <c r="M510" s="10" t="str">
        <f>ifna(VLOOKUP('acft-exerc'!$M510,FIX!$A$2:$D1000,4, false),"")</f>
        <v/>
      </c>
      <c r="N510" s="10"/>
      <c r="O510" s="10"/>
      <c r="P510" s="10"/>
      <c r="Q510" s="10"/>
      <c r="R510" s="10"/>
      <c r="S510" s="10"/>
      <c r="T510" s="10"/>
      <c r="U510" s="10"/>
      <c r="V510" s="10"/>
    </row>
    <row r="511">
      <c r="A511" s="10"/>
      <c r="B511" s="10"/>
      <c r="C511" s="10"/>
      <c r="D511" s="10"/>
      <c r="E511" s="10"/>
      <c r="F511" s="10"/>
      <c r="G511" s="10"/>
      <c r="I511" s="10"/>
      <c r="J511" s="10"/>
      <c r="K511" s="10"/>
      <c r="L511" s="10"/>
      <c r="M511" s="10" t="str">
        <f>ifna(VLOOKUP('acft-exerc'!$M511,FIX!$A$2:$D1000,4, false),"")</f>
        <v/>
      </c>
      <c r="N511" s="10"/>
      <c r="O511" s="10"/>
      <c r="P511" s="10"/>
      <c r="Q511" s="10"/>
      <c r="R511" s="10"/>
      <c r="S511" s="10"/>
      <c r="T511" s="10"/>
      <c r="U511" s="10"/>
      <c r="V511" s="10"/>
    </row>
    <row r="512">
      <c r="A512" s="10"/>
      <c r="B512" s="10"/>
      <c r="C512" s="10"/>
      <c r="D512" s="10"/>
      <c r="E512" s="10"/>
      <c r="F512" s="10"/>
      <c r="G512" s="10"/>
      <c r="I512" s="10"/>
      <c r="J512" s="10"/>
      <c r="K512" s="10"/>
      <c r="L512" s="10"/>
      <c r="M512" s="10" t="str">
        <f>ifna(VLOOKUP('acft-exerc'!$M512,FIX!$A$2:$D1000,4, false),"")</f>
        <v/>
      </c>
      <c r="N512" s="10"/>
      <c r="O512" s="10"/>
      <c r="P512" s="10"/>
      <c r="Q512" s="10"/>
      <c r="R512" s="10"/>
      <c r="S512" s="10"/>
      <c r="T512" s="10"/>
      <c r="U512" s="10"/>
      <c r="V512" s="10"/>
    </row>
    <row r="513">
      <c r="A513" s="10"/>
      <c r="B513" s="10"/>
      <c r="C513" s="10"/>
      <c r="D513" s="10"/>
      <c r="E513" s="10"/>
      <c r="F513" s="10"/>
      <c r="G513" s="10"/>
      <c r="I513" s="10"/>
      <c r="J513" s="10"/>
      <c r="K513" s="10"/>
      <c r="L513" s="10"/>
      <c r="M513" s="10" t="str">
        <f>ifna(VLOOKUP('acft-exerc'!$M513,FIX!$A$2:$D1000,4, false),"")</f>
        <v/>
      </c>
      <c r="N513" s="10"/>
      <c r="O513" s="10"/>
      <c r="P513" s="10"/>
      <c r="Q513" s="10"/>
      <c r="R513" s="10"/>
      <c r="S513" s="10"/>
      <c r="T513" s="10"/>
      <c r="U513" s="10"/>
      <c r="V513" s="10"/>
    </row>
    <row r="514">
      <c r="A514" s="10"/>
      <c r="B514" s="10"/>
      <c r="C514" s="10"/>
      <c r="D514" s="10"/>
      <c r="E514" s="10"/>
      <c r="F514" s="10"/>
      <c r="G514" s="10"/>
      <c r="I514" s="10"/>
      <c r="J514" s="10"/>
      <c r="K514" s="10"/>
      <c r="L514" s="10"/>
      <c r="M514" s="10" t="str">
        <f>ifna(VLOOKUP('acft-exerc'!$M514,FIX!$A$2:$D1000,4, false),"")</f>
        <v/>
      </c>
      <c r="N514" s="10"/>
      <c r="O514" s="10"/>
      <c r="P514" s="10"/>
      <c r="Q514" s="10"/>
      <c r="R514" s="10"/>
      <c r="S514" s="10"/>
      <c r="T514" s="10"/>
      <c r="U514" s="10"/>
      <c r="V514" s="10"/>
    </row>
    <row r="515">
      <c r="A515" s="10"/>
      <c r="B515" s="10"/>
      <c r="C515" s="10"/>
      <c r="D515" s="10"/>
      <c r="E515" s="10"/>
      <c r="F515" s="10"/>
      <c r="G515" s="10"/>
      <c r="I515" s="10"/>
      <c r="J515" s="10"/>
      <c r="K515" s="10"/>
      <c r="L515" s="10"/>
      <c r="M515" s="10" t="str">
        <f>ifna(VLOOKUP('acft-exerc'!$M515,FIX!$A$2:$D1000,4, false),"")</f>
        <v/>
      </c>
      <c r="N515" s="10"/>
      <c r="O515" s="10"/>
      <c r="P515" s="10"/>
      <c r="Q515" s="10"/>
      <c r="R515" s="10"/>
      <c r="S515" s="10"/>
      <c r="T515" s="10"/>
      <c r="U515" s="10"/>
      <c r="V515" s="10"/>
    </row>
    <row r="516">
      <c r="A516" s="10"/>
      <c r="B516" s="10"/>
      <c r="C516" s="10"/>
      <c r="D516" s="10"/>
      <c r="E516" s="10"/>
      <c r="F516" s="10"/>
      <c r="G516" s="10"/>
      <c r="I516" s="10"/>
      <c r="J516" s="10"/>
      <c r="K516" s="10"/>
      <c r="L516" s="10"/>
      <c r="M516" s="10" t="str">
        <f>ifna(VLOOKUP('acft-exerc'!$M516,FIX!$A$2:$D1000,4, false),"")</f>
        <v/>
      </c>
      <c r="N516" s="10"/>
      <c r="O516" s="10"/>
      <c r="P516" s="10"/>
      <c r="Q516" s="10"/>
      <c r="R516" s="10"/>
      <c r="S516" s="10"/>
      <c r="T516" s="10"/>
      <c r="U516" s="10"/>
      <c r="V516" s="10"/>
    </row>
    <row r="517">
      <c r="A517" s="10"/>
      <c r="B517" s="10"/>
      <c r="C517" s="10"/>
      <c r="D517" s="10"/>
      <c r="E517" s="10"/>
      <c r="F517" s="10"/>
      <c r="G517" s="10"/>
      <c r="I517" s="10"/>
      <c r="J517" s="10"/>
      <c r="K517" s="10"/>
      <c r="L517" s="10"/>
      <c r="M517" s="10" t="str">
        <f>ifna(VLOOKUP('acft-exerc'!$M517,FIX!$A$2:$D1000,4, false),"")</f>
        <v/>
      </c>
      <c r="N517" s="10"/>
      <c r="O517" s="10"/>
      <c r="P517" s="10"/>
      <c r="Q517" s="10"/>
      <c r="R517" s="10"/>
      <c r="S517" s="10"/>
      <c r="T517" s="10"/>
      <c r="U517" s="10"/>
      <c r="V517" s="10"/>
    </row>
    <row r="518">
      <c r="A518" s="10"/>
      <c r="B518" s="10"/>
      <c r="C518" s="10"/>
      <c r="D518" s="10"/>
      <c r="E518" s="10"/>
      <c r="F518" s="10"/>
      <c r="G518" s="10"/>
      <c r="I518" s="10"/>
      <c r="J518" s="10"/>
      <c r="K518" s="10"/>
      <c r="L518" s="10"/>
      <c r="M518" s="10" t="str">
        <f>ifna(VLOOKUP('acft-exerc'!$M518,FIX!$A$2:$D1000,4, false),"")</f>
        <v/>
      </c>
      <c r="N518" s="10"/>
      <c r="O518" s="10"/>
      <c r="P518" s="10"/>
      <c r="Q518" s="10"/>
      <c r="R518" s="10"/>
      <c r="S518" s="10"/>
      <c r="T518" s="10"/>
      <c r="U518" s="10"/>
      <c r="V518" s="10"/>
    </row>
    <row r="519">
      <c r="A519" s="10"/>
      <c r="B519" s="10"/>
      <c r="C519" s="10"/>
      <c r="D519" s="10"/>
      <c r="E519" s="10"/>
      <c r="F519" s="10"/>
      <c r="G519" s="10"/>
      <c r="I519" s="10"/>
      <c r="J519" s="10"/>
      <c r="K519" s="10"/>
      <c r="L519" s="10"/>
      <c r="M519" s="10" t="str">
        <f>ifna(VLOOKUP('acft-exerc'!$M519,FIX!$A$2:$D1000,4, false),"")</f>
        <v/>
      </c>
      <c r="N519" s="10"/>
      <c r="O519" s="10"/>
      <c r="P519" s="10"/>
      <c r="Q519" s="10"/>
      <c r="R519" s="10"/>
      <c r="S519" s="10"/>
      <c r="T519" s="10"/>
      <c r="U519" s="10"/>
      <c r="V519" s="10"/>
    </row>
    <row r="520">
      <c r="A520" s="10"/>
      <c r="B520" s="10"/>
      <c r="C520" s="10"/>
      <c r="D520" s="10"/>
      <c r="E520" s="10"/>
      <c r="F520" s="10"/>
      <c r="G520" s="10"/>
      <c r="I520" s="10"/>
      <c r="J520" s="10"/>
      <c r="K520" s="10"/>
      <c r="L520" s="10"/>
      <c r="M520" s="10" t="str">
        <f>ifna(VLOOKUP('acft-exerc'!$M520,FIX!$A$2:$D1000,4, false),"")</f>
        <v/>
      </c>
      <c r="N520" s="10"/>
      <c r="O520" s="10"/>
      <c r="P520" s="10"/>
      <c r="Q520" s="10"/>
      <c r="R520" s="10"/>
      <c r="S520" s="10"/>
      <c r="T520" s="10"/>
      <c r="U520" s="10"/>
      <c r="V520" s="10"/>
    </row>
    <row r="521">
      <c r="A521" s="10"/>
      <c r="B521" s="10"/>
      <c r="C521" s="10"/>
      <c r="D521" s="10"/>
      <c r="E521" s="10"/>
      <c r="F521" s="10"/>
      <c r="G521" s="10"/>
      <c r="I521" s="10"/>
      <c r="J521" s="10"/>
      <c r="K521" s="10"/>
      <c r="L521" s="10"/>
      <c r="M521" s="10" t="str">
        <f>ifna(VLOOKUP('acft-exerc'!$M521,FIX!$A$2:$D1000,4, false),"")</f>
        <v/>
      </c>
      <c r="N521" s="10"/>
      <c r="O521" s="10"/>
      <c r="P521" s="10"/>
      <c r="Q521" s="10"/>
      <c r="R521" s="10"/>
      <c r="S521" s="10"/>
      <c r="T521" s="10"/>
      <c r="U521" s="10"/>
      <c r="V521" s="10"/>
    </row>
    <row r="522">
      <c r="A522" s="10"/>
      <c r="B522" s="10"/>
      <c r="C522" s="10"/>
      <c r="D522" s="10"/>
      <c r="E522" s="10"/>
      <c r="F522" s="10"/>
      <c r="G522" s="10"/>
      <c r="I522" s="10"/>
      <c r="J522" s="10"/>
      <c r="K522" s="10"/>
      <c r="L522" s="10"/>
      <c r="M522" s="10" t="str">
        <f>ifna(VLOOKUP('acft-exerc'!$M522,FIX!$A$2:$D1000,4, false),"")</f>
        <v/>
      </c>
      <c r="N522" s="10"/>
      <c r="O522" s="10"/>
      <c r="P522" s="10"/>
      <c r="Q522" s="10"/>
      <c r="R522" s="10"/>
      <c r="S522" s="10"/>
      <c r="T522" s="10"/>
      <c r="U522" s="10"/>
      <c r="V522" s="10"/>
    </row>
    <row r="523">
      <c r="A523" s="10"/>
      <c r="B523" s="10"/>
      <c r="C523" s="10"/>
      <c r="D523" s="10"/>
      <c r="E523" s="10"/>
      <c r="F523" s="10"/>
      <c r="G523" s="10"/>
      <c r="I523" s="10"/>
      <c r="J523" s="10"/>
      <c r="K523" s="10"/>
      <c r="L523" s="10"/>
      <c r="M523" s="10" t="str">
        <f>ifna(VLOOKUP('acft-exerc'!$M523,FIX!$A$2:$D1000,4, false),"")</f>
        <v/>
      </c>
      <c r="N523" s="10"/>
      <c r="O523" s="10"/>
      <c r="P523" s="10"/>
      <c r="Q523" s="10"/>
      <c r="R523" s="10"/>
      <c r="S523" s="10"/>
      <c r="T523" s="10"/>
      <c r="U523" s="10"/>
      <c r="V523" s="10"/>
    </row>
    <row r="524">
      <c r="A524" s="10"/>
      <c r="B524" s="10"/>
      <c r="C524" s="10"/>
      <c r="D524" s="10"/>
      <c r="E524" s="10"/>
      <c r="F524" s="10"/>
      <c r="G524" s="10"/>
      <c r="I524" s="10"/>
      <c r="J524" s="10"/>
      <c r="K524" s="10"/>
      <c r="L524" s="10"/>
      <c r="M524" s="10" t="str">
        <f>ifna(VLOOKUP('acft-exerc'!$M524,FIX!$A$2:$D1000,4, false),"")</f>
        <v/>
      </c>
      <c r="N524" s="10"/>
      <c r="O524" s="10"/>
      <c r="P524" s="10"/>
      <c r="Q524" s="10"/>
      <c r="R524" s="10"/>
      <c r="S524" s="10"/>
      <c r="T524" s="10"/>
      <c r="U524" s="10"/>
      <c r="V524" s="10"/>
    </row>
    <row r="525">
      <c r="A525" s="10"/>
      <c r="B525" s="10"/>
      <c r="C525" s="10"/>
      <c r="D525" s="10"/>
      <c r="E525" s="10"/>
      <c r="F525" s="10"/>
      <c r="G525" s="10"/>
      <c r="I525" s="10"/>
      <c r="J525" s="10"/>
      <c r="K525" s="10"/>
      <c r="L525" s="10"/>
      <c r="M525" s="10" t="str">
        <f>ifna(VLOOKUP('acft-exerc'!$M525,FIX!$A$2:$D1000,4, false),"")</f>
        <v/>
      </c>
      <c r="N525" s="10"/>
      <c r="O525" s="10"/>
      <c r="P525" s="10"/>
      <c r="Q525" s="10"/>
      <c r="R525" s="10"/>
      <c r="S525" s="10"/>
      <c r="T525" s="10"/>
      <c r="U525" s="10"/>
      <c r="V525" s="10"/>
    </row>
    <row r="526">
      <c r="A526" s="10"/>
      <c r="B526" s="10"/>
      <c r="C526" s="10"/>
      <c r="D526" s="10"/>
      <c r="E526" s="10"/>
      <c r="F526" s="10"/>
      <c r="G526" s="10"/>
      <c r="I526" s="10"/>
      <c r="J526" s="10"/>
      <c r="K526" s="10"/>
      <c r="L526" s="10"/>
      <c r="M526" s="10" t="str">
        <f>ifna(VLOOKUP('acft-exerc'!$M526,FIX!$A$2:$D1000,4, false),"")</f>
        <v/>
      </c>
      <c r="N526" s="10"/>
      <c r="O526" s="10"/>
      <c r="P526" s="10"/>
      <c r="Q526" s="10"/>
      <c r="R526" s="10"/>
      <c r="S526" s="10"/>
      <c r="T526" s="10"/>
      <c r="U526" s="10"/>
      <c r="V526" s="10"/>
    </row>
    <row r="527">
      <c r="A527" s="10"/>
      <c r="B527" s="10"/>
      <c r="C527" s="10"/>
      <c r="D527" s="10"/>
      <c r="E527" s="10"/>
      <c r="F527" s="10"/>
      <c r="G527" s="10"/>
      <c r="I527" s="10"/>
      <c r="J527" s="10"/>
      <c r="K527" s="10"/>
      <c r="L527" s="10"/>
      <c r="M527" s="10" t="str">
        <f>ifna(VLOOKUP('acft-exerc'!$M527,FIX!$A$2:$D1000,4, false),"")</f>
        <v/>
      </c>
      <c r="N527" s="10"/>
      <c r="O527" s="10"/>
      <c r="P527" s="10"/>
      <c r="Q527" s="10"/>
      <c r="R527" s="10"/>
      <c r="S527" s="10"/>
      <c r="T527" s="10"/>
      <c r="U527" s="10"/>
      <c r="V527" s="10"/>
    </row>
    <row r="528">
      <c r="A528" s="10"/>
      <c r="B528" s="10"/>
      <c r="C528" s="10"/>
      <c r="D528" s="10"/>
      <c r="E528" s="10"/>
      <c r="F528" s="10"/>
      <c r="G528" s="10"/>
      <c r="I528" s="10"/>
      <c r="J528" s="10"/>
      <c r="K528" s="10"/>
      <c r="L528" s="10"/>
      <c r="M528" s="10" t="str">
        <f>ifna(VLOOKUP('acft-exerc'!$M528,FIX!$A$2:$D1000,4, false),"")</f>
        <v/>
      </c>
      <c r="N528" s="10"/>
      <c r="O528" s="10"/>
      <c r="P528" s="10"/>
      <c r="Q528" s="10"/>
      <c r="R528" s="10"/>
      <c r="S528" s="10"/>
      <c r="T528" s="10"/>
      <c r="U528" s="10"/>
      <c r="V528" s="10"/>
    </row>
    <row r="529">
      <c r="A529" s="10"/>
      <c r="B529" s="10"/>
      <c r="C529" s="10"/>
      <c r="D529" s="10"/>
      <c r="E529" s="10"/>
      <c r="F529" s="10"/>
      <c r="G529" s="10"/>
      <c r="I529" s="10"/>
      <c r="J529" s="10"/>
      <c r="K529" s="10"/>
      <c r="L529" s="10"/>
      <c r="M529" s="10" t="str">
        <f>ifna(VLOOKUP('acft-exerc'!$M529,FIX!$A$2:$D1000,4, false),"")</f>
        <v/>
      </c>
      <c r="N529" s="10"/>
      <c r="O529" s="10"/>
      <c r="P529" s="10"/>
      <c r="Q529" s="10"/>
      <c r="R529" s="10"/>
      <c r="S529" s="10"/>
      <c r="T529" s="10"/>
      <c r="U529" s="10"/>
      <c r="V529" s="10"/>
    </row>
    <row r="530">
      <c r="A530" s="10"/>
      <c r="B530" s="10"/>
      <c r="C530" s="10"/>
      <c r="D530" s="10"/>
      <c r="E530" s="10"/>
      <c r="F530" s="10"/>
      <c r="G530" s="10"/>
      <c r="I530" s="10"/>
      <c r="J530" s="10"/>
      <c r="K530" s="10"/>
      <c r="L530" s="10"/>
      <c r="M530" s="10" t="str">
        <f>ifna(VLOOKUP('acft-exerc'!$M530,FIX!$A$2:$D1000,4, false),"")</f>
        <v/>
      </c>
      <c r="N530" s="10"/>
      <c r="O530" s="10"/>
      <c r="P530" s="10"/>
      <c r="Q530" s="10"/>
      <c r="R530" s="10"/>
      <c r="S530" s="10"/>
      <c r="T530" s="10"/>
      <c r="U530" s="10"/>
      <c r="V530" s="10"/>
    </row>
    <row r="531">
      <c r="A531" s="10"/>
      <c r="B531" s="10"/>
      <c r="C531" s="10"/>
      <c r="D531" s="10"/>
      <c r="E531" s="10"/>
      <c r="F531" s="10"/>
      <c r="G531" s="10"/>
      <c r="I531" s="10"/>
      <c r="J531" s="10"/>
      <c r="K531" s="10"/>
      <c r="L531" s="10"/>
      <c r="M531" s="10" t="str">
        <f>ifna(VLOOKUP('acft-exerc'!$M531,FIX!$A$2:$D1000,4, false),"")</f>
        <v/>
      </c>
      <c r="N531" s="10"/>
      <c r="O531" s="10"/>
      <c r="P531" s="10"/>
      <c r="Q531" s="10"/>
      <c r="R531" s="10"/>
      <c r="S531" s="10"/>
      <c r="T531" s="10"/>
      <c r="U531" s="10"/>
      <c r="V531" s="10"/>
    </row>
    <row r="532">
      <c r="A532" s="10"/>
      <c r="B532" s="10"/>
      <c r="C532" s="10"/>
      <c r="D532" s="10"/>
      <c r="E532" s="10"/>
      <c r="F532" s="10"/>
      <c r="G532" s="10"/>
      <c r="I532" s="10"/>
      <c r="J532" s="10"/>
      <c r="K532" s="10"/>
      <c r="L532" s="10"/>
      <c r="M532" s="10" t="str">
        <f>ifna(VLOOKUP('acft-exerc'!$M532,FIX!$A$2:$D1000,4, false),"")</f>
        <v/>
      </c>
      <c r="N532" s="10"/>
      <c r="O532" s="10"/>
      <c r="P532" s="10"/>
      <c r="Q532" s="10"/>
      <c r="R532" s="10"/>
      <c r="S532" s="10"/>
      <c r="T532" s="10"/>
      <c r="U532" s="10"/>
      <c r="V532" s="10"/>
    </row>
    <row r="533">
      <c r="A533" s="10"/>
      <c r="B533" s="10"/>
      <c r="C533" s="10"/>
      <c r="D533" s="10"/>
      <c r="E533" s="10"/>
      <c r="F533" s="10"/>
      <c r="G533" s="10"/>
      <c r="I533" s="10"/>
      <c r="J533" s="10"/>
      <c r="K533" s="10"/>
      <c r="L533" s="10"/>
      <c r="M533" s="10" t="str">
        <f>ifna(VLOOKUP('acft-exerc'!$M533,FIX!$A$2:$D1000,4, false),"")</f>
        <v/>
      </c>
      <c r="N533" s="10"/>
      <c r="O533" s="10"/>
      <c r="P533" s="10"/>
      <c r="Q533" s="10"/>
      <c r="R533" s="10"/>
      <c r="S533" s="10"/>
      <c r="T533" s="10"/>
      <c r="U533" s="10"/>
      <c r="V533" s="10"/>
    </row>
    <row r="534">
      <c r="A534" s="10"/>
      <c r="B534" s="10"/>
      <c r="C534" s="10"/>
      <c r="D534" s="10"/>
      <c r="E534" s="10"/>
      <c r="F534" s="10"/>
      <c r="G534" s="10"/>
      <c r="I534" s="10"/>
      <c r="J534" s="10"/>
      <c r="K534" s="10"/>
      <c r="L534" s="10"/>
      <c r="M534" s="10" t="str">
        <f>ifna(VLOOKUP('acft-exerc'!$M534,FIX!$A$2:$D1000,4, false),"")</f>
        <v/>
      </c>
      <c r="N534" s="10"/>
      <c r="O534" s="10"/>
      <c r="P534" s="10"/>
      <c r="Q534" s="10"/>
      <c r="R534" s="10"/>
      <c r="S534" s="10"/>
      <c r="T534" s="10"/>
      <c r="U534" s="10"/>
      <c r="V534" s="10"/>
    </row>
    <row r="535">
      <c r="A535" s="10"/>
      <c r="B535" s="10"/>
      <c r="C535" s="10"/>
      <c r="D535" s="10"/>
      <c r="E535" s="10"/>
      <c r="F535" s="10"/>
      <c r="G535" s="10"/>
      <c r="I535" s="10"/>
      <c r="J535" s="10"/>
      <c r="K535" s="10"/>
      <c r="L535" s="10"/>
      <c r="M535" s="10" t="str">
        <f>ifna(VLOOKUP('acft-exerc'!$M535,FIX!$A$2:$D1000,4, false),"")</f>
        <v/>
      </c>
      <c r="N535" s="10"/>
      <c r="O535" s="10"/>
      <c r="P535" s="10"/>
      <c r="Q535" s="10"/>
      <c r="R535" s="10"/>
      <c r="S535" s="10"/>
      <c r="T535" s="10"/>
      <c r="U535" s="10"/>
      <c r="V535" s="10"/>
    </row>
    <row r="536">
      <c r="A536" s="10"/>
      <c r="B536" s="10"/>
      <c r="C536" s="10"/>
      <c r="D536" s="10"/>
      <c r="E536" s="10"/>
      <c r="F536" s="10"/>
      <c r="G536" s="10"/>
      <c r="I536" s="10"/>
      <c r="J536" s="10"/>
      <c r="K536" s="10"/>
      <c r="L536" s="10"/>
      <c r="M536" s="10" t="str">
        <f>ifna(VLOOKUP('acft-exerc'!$M536,FIX!$A$2:$D1000,4, false),"")</f>
        <v/>
      </c>
      <c r="N536" s="10"/>
      <c r="O536" s="10"/>
      <c r="P536" s="10"/>
      <c r="Q536" s="10"/>
      <c r="R536" s="10"/>
      <c r="S536" s="10"/>
      <c r="T536" s="10"/>
      <c r="U536" s="10"/>
      <c r="V536" s="10"/>
    </row>
    <row r="537">
      <c r="A537" s="10"/>
      <c r="B537" s="10"/>
      <c r="C537" s="10"/>
      <c r="D537" s="10"/>
      <c r="E537" s="10"/>
      <c r="F537" s="10"/>
      <c r="G537" s="10"/>
      <c r="I537" s="10"/>
      <c r="J537" s="10"/>
      <c r="K537" s="10"/>
      <c r="L537" s="10"/>
      <c r="M537" s="10" t="str">
        <f>ifna(VLOOKUP('acft-exerc'!$M537,FIX!$A$2:$D1000,4, false),"")</f>
        <v/>
      </c>
      <c r="N537" s="10"/>
      <c r="O537" s="10"/>
      <c r="P537" s="10"/>
      <c r="Q537" s="10"/>
      <c r="R537" s="10"/>
      <c r="S537" s="10"/>
      <c r="T537" s="10"/>
      <c r="U537" s="10"/>
      <c r="V537" s="10"/>
    </row>
    <row r="538">
      <c r="A538" s="10"/>
      <c r="B538" s="10"/>
      <c r="C538" s="10"/>
      <c r="D538" s="10"/>
      <c r="E538" s="10"/>
      <c r="F538" s="10"/>
      <c r="G538" s="10"/>
      <c r="I538" s="10"/>
      <c r="J538" s="10"/>
      <c r="K538" s="10"/>
      <c r="L538" s="10"/>
      <c r="M538" s="10" t="str">
        <f>ifna(VLOOKUP('acft-exerc'!$M538,FIX!$A$2:$D1000,4, false),"")</f>
        <v/>
      </c>
      <c r="N538" s="10"/>
      <c r="O538" s="10"/>
      <c r="P538" s="10"/>
      <c r="Q538" s="10"/>
      <c r="R538" s="10"/>
      <c r="S538" s="10"/>
      <c r="T538" s="10"/>
      <c r="U538" s="10"/>
      <c r="V538" s="10"/>
    </row>
    <row r="539">
      <c r="A539" s="10"/>
      <c r="B539" s="10"/>
      <c r="C539" s="10"/>
      <c r="D539" s="10"/>
      <c r="E539" s="10"/>
      <c r="F539" s="10"/>
      <c r="G539" s="10"/>
      <c r="I539" s="10"/>
      <c r="J539" s="10"/>
      <c r="K539" s="10"/>
      <c r="L539" s="10"/>
      <c r="M539" s="10" t="str">
        <f>ifna(VLOOKUP('acft-exerc'!$M539,FIX!$A$2:$D1000,4, false),"")</f>
        <v/>
      </c>
      <c r="N539" s="10"/>
      <c r="O539" s="10"/>
      <c r="P539" s="10"/>
      <c r="Q539" s="10"/>
      <c r="R539" s="10"/>
      <c r="S539" s="10"/>
      <c r="T539" s="10"/>
      <c r="U539" s="10"/>
      <c r="V539" s="10"/>
    </row>
    <row r="540">
      <c r="A540" s="10"/>
      <c r="B540" s="10"/>
      <c r="C540" s="10"/>
      <c r="D540" s="10"/>
      <c r="E540" s="10"/>
      <c r="F540" s="10"/>
      <c r="G540" s="10"/>
      <c r="I540" s="10"/>
      <c r="J540" s="10"/>
      <c r="K540" s="10"/>
      <c r="L540" s="10"/>
      <c r="M540" s="10" t="str">
        <f>ifna(VLOOKUP('acft-exerc'!$M540,FIX!$A$2:$D1000,4, false),"")</f>
        <v/>
      </c>
      <c r="N540" s="10"/>
      <c r="O540" s="10"/>
      <c r="P540" s="10"/>
      <c r="Q540" s="10"/>
      <c r="R540" s="10"/>
      <c r="S540" s="10"/>
      <c r="T540" s="10"/>
      <c r="U540" s="10"/>
      <c r="V540" s="10"/>
    </row>
    <row r="541">
      <c r="A541" s="10"/>
      <c r="B541" s="10"/>
      <c r="C541" s="10"/>
      <c r="D541" s="10"/>
      <c r="E541" s="10"/>
      <c r="F541" s="10"/>
      <c r="G541" s="10"/>
      <c r="I541" s="10"/>
      <c r="J541" s="10"/>
      <c r="K541" s="10"/>
      <c r="L541" s="10"/>
      <c r="M541" s="10" t="str">
        <f>ifna(VLOOKUP('acft-exerc'!$M541,FIX!$A$2:$D1000,4, false),"")</f>
        <v/>
      </c>
      <c r="N541" s="10"/>
      <c r="O541" s="10"/>
      <c r="P541" s="10"/>
      <c r="Q541" s="10"/>
      <c r="R541" s="10"/>
      <c r="S541" s="10"/>
      <c r="T541" s="10"/>
      <c r="U541" s="10"/>
      <c r="V541" s="10"/>
    </row>
    <row r="542">
      <c r="A542" s="10"/>
      <c r="B542" s="10"/>
      <c r="C542" s="10"/>
      <c r="D542" s="10"/>
      <c r="E542" s="10"/>
      <c r="F542" s="10"/>
      <c r="G542" s="10"/>
      <c r="I542" s="10"/>
      <c r="J542" s="10"/>
      <c r="K542" s="10"/>
      <c r="L542" s="10"/>
      <c r="M542" s="10" t="str">
        <f>ifna(VLOOKUP('acft-exerc'!$M542,FIX!$A$2:$D1000,4, false),"")</f>
        <v/>
      </c>
      <c r="N542" s="10"/>
      <c r="O542" s="10"/>
      <c r="P542" s="10"/>
      <c r="Q542" s="10"/>
      <c r="R542" s="10"/>
      <c r="S542" s="10"/>
      <c r="T542" s="10"/>
      <c r="U542" s="10"/>
      <c r="V542" s="10"/>
    </row>
    <row r="543">
      <c r="A543" s="10"/>
      <c r="B543" s="10"/>
      <c r="C543" s="10"/>
      <c r="D543" s="10"/>
      <c r="E543" s="10"/>
      <c r="F543" s="10"/>
      <c r="G543" s="10"/>
      <c r="I543" s="10"/>
      <c r="J543" s="10"/>
      <c r="K543" s="10"/>
      <c r="L543" s="10"/>
      <c r="M543" s="10" t="str">
        <f>ifna(VLOOKUP('acft-exerc'!$M543,FIX!$A$2:$D1000,4, false),"")</f>
        <v/>
      </c>
      <c r="N543" s="10"/>
      <c r="O543" s="10"/>
      <c r="P543" s="10"/>
      <c r="Q543" s="10"/>
      <c r="R543" s="10"/>
      <c r="S543" s="10"/>
      <c r="T543" s="10"/>
      <c r="U543" s="10"/>
      <c r="V543" s="10"/>
    </row>
    <row r="544">
      <c r="A544" s="10"/>
      <c r="B544" s="10"/>
      <c r="C544" s="10"/>
      <c r="D544" s="10"/>
      <c r="E544" s="10"/>
      <c r="F544" s="10"/>
      <c r="G544" s="10"/>
      <c r="I544" s="10"/>
      <c r="J544" s="10"/>
      <c r="K544" s="10"/>
      <c r="L544" s="10"/>
      <c r="M544" s="10" t="str">
        <f>ifna(VLOOKUP('acft-exerc'!$M544,FIX!$A$2:$D1000,4, false),"")</f>
        <v/>
      </c>
      <c r="N544" s="10"/>
      <c r="O544" s="10"/>
      <c r="P544" s="10"/>
      <c r="Q544" s="10"/>
      <c r="R544" s="10"/>
      <c r="S544" s="10"/>
      <c r="T544" s="10"/>
      <c r="U544" s="10"/>
      <c r="V544" s="10"/>
    </row>
    <row r="545">
      <c r="A545" s="10"/>
      <c r="B545" s="10"/>
      <c r="C545" s="10"/>
      <c r="D545" s="10"/>
      <c r="E545" s="10"/>
      <c r="F545" s="10"/>
      <c r="G545" s="10"/>
      <c r="I545" s="10"/>
      <c r="J545" s="10"/>
      <c r="K545" s="10"/>
      <c r="L545" s="10"/>
      <c r="M545" s="10" t="str">
        <f>ifna(VLOOKUP('acft-exerc'!$M545,FIX!$A$2:$D1000,4, false),"")</f>
        <v/>
      </c>
      <c r="N545" s="10"/>
      <c r="O545" s="10"/>
      <c r="P545" s="10"/>
      <c r="Q545" s="10"/>
      <c r="R545" s="10"/>
      <c r="S545" s="10"/>
      <c r="T545" s="10"/>
      <c r="U545" s="10"/>
      <c r="V545" s="10"/>
    </row>
    <row r="546">
      <c r="A546" s="10"/>
      <c r="B546" s="10"/>
      <c r="C546" s="10"/>
      <c r="D546" s="10"/>
      <c r="E546" s="10"/>
      <c r="F546" s="10"/>
      <c r="G546" s="10"/>
      <c r="I546" s="10"/>
      <c r="J546" s="10"/>
      <c r="K546" s="10"/>
      <c r="L546" s="10"/>
      <c r="M546" s="10" t="str">
        <f>ifna(VLOOKUP('acft-exerc'!$M546,FIX!$A$2:$D1000,4, false),"")</f>
        <v/>
      </c>
      <c r="N546" s="10"/>
      <c r="O546" s="10"/>
      <c r="P546" s="10"/>
      <c r="Q546" s="10"/>
      <c r="R546" s="10"/>
      <c r="S546" s="10"/>
      <c r="T546" s="10"/>
      <c r="U546" s="10"/>
      <c r="V546" s="10"/>
    </row>
    <row r="547">
      <c r="A547" s="10"/>
      <c r="B547" s="10"/>
      <c r="C547" s="10"/>
      <c r="D547" s="10"/>
      <c r="E547" s="10"/>
      <c r="F547" s="10"/>
      <c r="G547" s="10"/>
      <c r="I547" s="10"/>
      <c r="J547" s="10"/>
      <c r="K547" s="10"/>
      <c r="L547" s="10"/>
      <c r="M547" s="10" t="str">
        <f>ifna(VLOOKUP('acft-exerc'!$M547,FIX!$A$2:$D1000,4, false),"")</f>
        <v/>
      </c>
      <c r="N547" s="10"/>
      <c r="O547" s="10"/>
      <c r="P547" s="10"/>
      <c r="Q547" s="10"/>
      <c r="R547" s="10"/>
      <c r="S547" s="10"/>
      <c r="T547" s="10"/>
      <c r="U547" s="10"/>
      <c r="V547" s="10"/>
    </row>
    <row r="548">
      <c r="A548" s="10"/>
      <c r="B548" s="10"/>
      <c r="C548" s="10"/>
      <c r="D548" s="10"/>
      <c r="E548" s="10"/>
      <c r="F548" s="10"/>
      <c r="G548" s="10"/>
      <c r="I548" s="10"/>
      <c r="J548" s="10"/>
      <c r="K548" s="10"/>
      <c r="L548" s="10"/>
      <c r="M548" s="10" t="str">
        <f>ifna(VLOOKUP('acft-exerc'!$M548,FIX!$A$2:$D1000,4, false),"")</f>
        <v/>
      </c>
      <c r="N548" s="10"/>
      <c r="O548" s="10"/>
      <c r="P548" s="10"/>
      <c r="Q548" s="10"/>
      <c r="R548" s="10"/>
      <c r="S548" s="10"/>
      <c r="T548" s="10"/>
      <c r="U548" s="10"/>
      <c r="V548" s="10"/>
    </row>
    <row r="549">
      <c r="A549" s="10"/>
      <c r="B549" s="10"/>
      <c r="C549" s="10"/>
      <c r="D549" s="10"/>
      <c r="E549" s="10"/>
      <c r="F549" s="10"/>
      <c r="G549" s="10"/>
      <c r="I549" s="10"/>
      <c r="J549" s="10"/>
      <c r="K549" s="10"/>
      <c r="L549" s="10"/>
      <c r="M549" s="10" t="str">
        <f>ifna(VLOOKUP('acft-exerc'!$M549,FIX!$A$2:$D1000,4, false),"")</f>
        <v/>
      </c>
      <c r="N549" s="10"/>
      <c r="O549" s="10"/>
      <c r="P549" s="10"/>
      <c r="Q549" s="10"/>
      <c r="R549" s="10"/>
      <c r="S549" s="10"/>
      <c r="T549" s="10"/>
      <c r="U549" s="10"/>
      <c r="V549" s="10"/>
    </row>
    <row r="550">
      <c r="A550" s="10"/>
      <c r="B550" s="10"/>
      <c r="C550" s="10"/>
      <c r="D550" s="10"/>
      <c r="E550" s="10"/>
      <c r="F550" s="10"/>
      <c r="G550" s="10"/>
      <c r="I550" s="10"/>
      <c r="J550" s="10"/>
      <c r="K550" s="10"/>
      <c r="L550" s="10"/>
      <c r="M550" s="10" t="str">
        <f>ifna(VLOOKUP('acft-exerc'!$M550,FIX!$A$2:$D1000,4, false),"")</f>
        <v/>
      </c>
      <c r="N550" s="10"/>
      <c r="O550" s="10"/>
      <c r="P550" s="10"/>
      <c r="Q550" s="10"/>
      <c r="R550" s="10"/>
      <c r="S550" s="10"/>
      <c r="T550" s="10"/>
      <c r="U550" s="10"/>
      <c r="V550" s="10"/>
    </row>
    <row r="551">
      <c r="A551" s="10"/>
      <c r="B551" s="10"/>
      <c r="C551" s="10"/>
      <c r="D551" s="10"/>
      <c r="E551" s="10"/>
      <c r="F551" s="10"/>
      <c r="G551" s="10"/>
      <c r="I551" s="10"/>
      <c r="J551" s="10"/>
      <c r="K551" s="10"/>
      <c r="L551" s="10"/>
      <c r="M551" s="10" t="str">
        <f>ifna(VLOOKUP('acft-exerc'!$M551,FIX!$A$2:$D1000,4, false),"")</f>
        <v/>
      </c>
      <c r="N551" s="10"/>
      <c r="O551" s="10"/>
      <c r="P551" s="10"/>
      <c r="Q551" s="10"/>
      <c r="R551" s="10"/>
      <c r="S551" s="10"/>
      <c r="T551" s="10"/>
      <c r="U551" s="10"/>
      <c r="V551" s="10"/>
    </row>
    <row r="552">
      <c r="A552" s="10"/>
      <c r="B552" s="10"/>
      <c r="C552" s="10"/>
      <c r="D552" s="10"/>
      <c r="E552" s="10"/>
      <c r="F552" s="10"/>
      <c r="G552" s="10"/>
      <c r="I552" s="10"/>
      <c r="J552" s="10"/>
      <c r="K552" s="10"/>
      <c r="L552" s="10"/>
      <c r="M552" s="10" t="str">
        <f>ifna(VLOOKUP('acft-exerc'!$M552,FIX!$A$2:$D1000,4, false),"")</f>
        <v/>
      </c>
      <c r="N552" s="10"/>
      <c r="O552" s="10"/>
      <c r="P552" s="10"/>
      <c r="Q552" s="10"/>
      <c r="R552" s="10"/>
      <c r="S552" s="10"/>
      <c r="T552" s="10"/>
      <c r="U552" s="10"/>
      <c r="V552" s="10"/>
    </row>
    <row r="553">
      <c r="A553" s="10"/>
      <c r="B553" s="10"/>
      <c r="C553" s="10"/>
      <c r="D553" s="10"/>
      <c r="E553" s="10"/>
      <c r="F553" s="10"/>
      <c r="G553" s="10"/>
      <c r="I553" s="10"/>
      <c r="J553" s="10"/>
      <c r="K553" s="10"/>
      <c r="L553" s="10"/>
      <c r="M553" s="10" t="str">
        <f>ifna(VLOOKUP('acft-exerc'!$M553,FIX!$A$2:$D1000,4, false),"")</f>
        <v/>
      </c>
      <c r="N553" s="10"/>
      <c r="O553" s="10"/>
      <c r="P553" s="10"/>
      <c r="Q553" s="10"/>
      <c r="R553" s="10"/>
      <c r="S553" s="10"/>
      <c r="T553" s="10"/>
      <c r="U553" s="10"/>
      <c r="V553" s="10"/>
    </row>
    <row r="554">
      <c r="A554" s="10"/>
      <c r="B554" s="10"/>
      <c r="C554" s="10"/>
      <c r="D554" s="10"/>
      <c r="E554" s="10"/>
      <c r="F554" s="10"/>
      <c r="G554" s="10"/>
      <c r="I554" s="10"/>
      <c r="J554" s="10"/>
      <c r="K554" s="10"/>
      <c r="L554" s="10"/>
      <c r="M554" s="10" t="str">
        <f>ifna(VLOOKUP('acft-exerc'!$M554,FIX!$A$2:$D1000,4, false),"")</f>
        <v/>
      </c>
      <c r="N554" s="10"/>
      <c r="O554" s="10"/>
      <c r="P554" s="10"/>
      <c r="Q554" s="10"/>
      <c r="R554" s="10"/>
      <c r="S554" s="10"/>
      <c r="T554" s="10"/>
      <c r="U554" s="10"/>
      <c r="V554" s="10"/>
    </row>
    <row r="555">
      <c r="A555" s="10"/>
      <c r="B555" s="10"/>
      <c r="C555" s="10"/>
      <c r="D555" s="10"/>
      <c r="E555" s="10"/>
      <c r="F555" s="10"/>
      <c r="G555" s="10"/>
      <c r="I555" s="10"/>
      <c r="J555" s="10"/>
      <c r="K555" s="10"/>
      <c r="L555" s="10"/>
      <c r="M555" s="10" t="str">
        <f>ifna(VLOOKUP('acft-exerc'!$M555,FIX!$A$2:$D1000,4, false),"")</f>
        <v/>
      </c>
      <c r="N555" s="10"/>
      <c r="O555" s="10"/>
      <c r="P555" s="10"/>
      <c r="Q555" s="10"/>
      <c r="R555" s="10"/>
      <c r="S555" s="10"/>
      <c r="T555" s="10"/>
      <c r="U555" s="10"/>
      <c r="V555" s="10"/>
    </row>
    <row r="556">
      <c r="A556" s="10"/>
      <c r="B556" s="10"/>
      <c r="C556" s="10"/>
      <c r="D556" s="10"/>
      <c r="E556" s="10"/>
      <c r="F556" s="10"/>
      <c r="G556" s="10"/>
      <c r="I556" s="10"/>
      <c r="J556" s="10"/>
      <c r="K556" s="10"/>
      <c r="L556" s="10"/>
      <c r="M556" s="10" t="str">
        <f>ifna(VLOOKUP('acft-exerc'!$M556,FIX!$A$2:$D1000,4, false),"")</f>
        <v/>
      </c>
      <c r="N556" s="10"/>
      <c r="O556" s="10"/>
      <c r="P556" s="10"/>
      <c r="Q556" s="10"/>
      <c r="R556" s="10"/>
      <c r="S556" s="10"/>
      <c r="T556" s="10"/>
      <c r="U556" s="10"/>
      <c r="V556" s="10"/>
    </row>
    <row r="557">
      <c r="A557" s="10"/>
      <c r="B557" s="10"/>
      <c r="C557" s="10"/>
      <c r="D557" s="10"/>
      <c r="E557" s="10"/>
      <c r="F557" s="10"/>
      <c r="G557" s="10"/>
      <c r="I557" s="10"/>
      <c r="J557" s="10"/>
      <c r="K557" s="10"/>
      <c r="L557" s="10"/>
      <c r="M557" s="10" t="str">
        <f>ifna(VLOOKUP('acft-exerc'!$M557,FIX!$A$2:$D1000,4, false),"")</f>
        <v/>
      </c>
      <c r="N557" s="10"/>
      <c r="O557" s="10"/>
      <c r="P557" s="10"/>
      <c r="Q557" s="10"/>
      <c r="R557" s="10"/>
      <c r="S557" s="10"/>
      <c r="T557" s="10"/>
      <c r="U557" s="10"/>
      <c r="V557" s="10"/>
    </row>
    <row r="558">
      <c r="A558" s="10"/>
      <c r="B558" s="10"/>
      <c r="C558" s="10"/>
      <c r="D558" s="10"/>
      <c r="E558" s="10"/>
      <c r="F558" s="10"/>
      <c r="G558" s="10"/>
      <c r="I558" s="10"/>
      <c r="J558" s="10"/>
      <c r="K558" s="10"/>
      <c r="L558" s="10"/>
      <c r="M558" s="10" t="str">
        <f>ifna(VLOOKUP('acft-exerc'!$M558,FIX!$A$2:$D1000,4, false),"")</f>
        <v/>
      </c>
      <c r="N558" s="10"/>
      <c r="O558" s="10"/>
      <c r="P558" s="10"/>
      <c r="Q558" s="10"/>
      <c r="R558" s="10"/>
      <c r="S558" s="10"/>
      <c r="T558" s="10"/>
      <c r="U558" s="10"/>
      <c r="V558" s="10"/>
    </row>
    <row r="559">
      <c r="A559" s="10"/>
      <c r="B559" s="10"/>
      <c r="C559" s="10"/>
      <c r="D559" s="10"/>
      <c r="E559" s="10"/>
      <c r="F559" s="10"/>
      <c r="G559" s="10"/>
      <c r="I559" s="10"/>
      <c r="J559" s="10"/>
      <c r="K559" s="10"/>
      <c r="L559" s="10"/>
      <c r="M559" s="10" t="str">
        <f>ifna(VLOOKUP('acft-exerc'!$M559,FIX!$A$2:$D1000,4, false),"")</f>
        <v/>
      </c>
      <c r="N559" s="10"/>
      <c r="O559" s="10"/>
      <c r="P559" s="10"/>
      <c r="Q559" s="10"/>
      <c r="R559" s="10"/>
      <c r="S559" s="10"/>
      <c r="T559" s="10"/>
      <c r="U559" s="10"/>
      <c r="V559" s="10"/>
    </row>
    <row r="560">
      <c r="A560" s="10"/>
      <c r="B560" s="10"/>
      <c r="C560" s="10"/>
      <c r="D560" s="10"/>
      <c r="E560" s="10"/>
      <c r="F560" s="10"/>
      <c r="G560" s="10"/>
      <c r="I560" s="10"/>
      <c r="J560" s="10"/>
      <c r="K560" s="10"/>
      <c r="L560" s="10"/>
      <c r="M560" s="10" t="str">
        <f>ifna(VLOOKUP('acft-exerc'!$M560,FIX!$A$2:$D1000,4, false),"")</f>
        <v/>
      </c>
      <c r="N560" s="10"/>
      <c r="O560" s="10"/>
      <c r="P560" s="10"/>
      <c r="Q560" s="10"/>
      <c r="R560" s="10"/>
      <c r="S560" s="10"/>
      <c r="T560" s="10"/>
      <c r="U560" s="10"/>
      <c r="V560" s="10"/>
    </row>
    <row r="561">
      <c r="A561" s="10"/>
      <c r="B561" s="10"/>
      <c r="C561" s="10"/>
      <c r="D561" s="10"/>
      <c r="E561" s="10"/>
      <c r="F561" s="10"/>
      <c r="G561" s="10"/>
      <c r="I561" s="10"/>
      <c r="J561" s="10"/>
      <c r="K561" s="10"/>
      <c r="L561" s="10"/>
      <c r="M561" s="10" t="str">
        <f>ifna(VLOOKUP('acft-exerc'!$M561,FIX!$A$2:$D1000,4, false),"")</f>
        <v/>
      </c>
      <c r="N561" s="10"/>
      <c r="O561" s="10"/>
      <c r="P561" s="10"/>
      <c r="Q561" s="10"/>
      <c r="R561" s="10"/>
      <c r="S561" s="10"/>
      <c r="T561" s="10"/>
      <c r="U561" s="10"/>
      <c r="V561" s="10"/>
    </row>
    <row r="562">
      <c r="A562" s="10"/>
      <c r="B562" s="10"/>
      <c r="C562" s="10"/>
      <c r="D562" s="10"/>
      <c r="E562" s="10"/>
      <c r="F562" s="10"/>
      <c r="G562" s="10"/>
      <c r="I562" s="10"/>
      <c r="J562" s="10"/>
      <c r="K562" s="10"/>
      <c r="L562" s="10"/>
      <c r="M562" s="10" t="str">
        <f>ifna(VLOOKUP('acft-exerc'!$M562,FIX!$A$2:$D1000,4, false),"")</f>
        <v/>
      </c>
      <c r="N562" s="10"/>
      <c r="O562" s="10"/>
      <c r="P562" s="10"/>
      <c r="Q562" s="10"/>
      <c r="R562" s="10"/>
      <c r="S562" s="10"/>
      <c r="T562" s="10"/>
      <c r="U562" s="10"/>
      <c r="V562" s="10"/>
    </row>
    <row r="563">
      <c r="A563" s="10"/>
      <c r="B563" s="10"/>
      <c r="C563" s="10"/>
      <c r="D563" s="10"/>
      <c r="E563" s="10"/>
      <c r="F563" s="10"/>
      <c r="G563" s="10"/>
      <c r="I563" s="10"/>
      <c r="J563" s="10"/>
      <c r="K563" s="10"/>
      <c r="L563" s="10"/>
      <c r="M563" s="10" t="str">
        <f>ifna(VLOOKUP('acft-exerc'!$M563,FIX!$A$2:$D1000,4, false),"")</f>
        <v/>
      </c>
      <c r="N563" s="10"/>
      <c r="O563" s="10"/>
      <c r="P563" s="10"/>
      <c r="Q563" s="10"/>
      <c r="R563" s="10"/>
      <c r="S563" s="10"/>
      <c r="T563" s="10"/>
      <c r="U563" s="10"/>
      <c r="V563" s="10"/>
    </row>
    <row r="564">
      <c r="A564" s="10"/>
      <c r="B564" s="10"/>
      <c r="C564" s="10"/>
      <c r="D564" s="10"/>
      <c r="E564" s="10"/>
      <c r="F564" s="10"/>
      <c r="G564" s="10"/>
      <c r="I564" s="10"/>
      <c r="J564" s="10"/>
      <c r="K564" s="10"/>
      <c r="L564" s="10"/>
      <c r="M564" s="10" t="str">
        <f>ifna(VLOOKUP('acft-exerc'!$M564,FIX!$A$2:$D1000,4, false),"")</f>
        <v/>
      </c>
      <c r="N564" s="10"/>
      <c r="O564" s="10"/>
      <c r="P564" s="10"/>
      <c r="Q564" s="10"/>
      <c r="R564" s="10"/>
      <c r="S564" s="10"/>
      <c r="T564" s="10"/>
      <c r="U564" s="10"/>
      <c r="V564" s="10"/>
    </row>
    <row r="565">
      <c r="A565" s="10"/>
      <c r="B565" s="10"/>
      <c r="C565" s="10"/>
      <c r="D565" s="10"/>
      <c r="E565" s="10"/>
      <c r="F565" s="10"/>
      <c r="G565" s="10"/>
      <c r="I565" s="10"/>
      <c r="J565" s="10"/>
      <c r="K565" s="10"/>
      <c r="L565" s="10"/>
      <c r="M565" s="10" t="str">
        <f>ifna(VLOOKUP('acft-exerc'!$M565,FIX!$A$2:$D1000,4, false),"")</f>
        <v/>
      </c>
      <c r="N565" s="10"/>
      <c r="O565" s="10"/>
      <c r="P565" s="10"/>
      <c r="Q565" s="10"/>
      <c r="R565" s="10"/>
      <c r="S565" s="10"/>
      <c r="T565" s="10"/>
      <c r="U565" s="10"/>
      <c r="V565" s="10"/>
    </row>
    <row r="566">
      <c r="A566" s="10"/>
      <c r="B566" s="10"/>
      <c r="C566" s="10"/>
      <c r="D566" s="10"/>
      <c r="E566" s="10"/>
      <c r="F566" s="10"/>
      <c r="G566" s="10"/>
      <c r="I566" s="10"/>
      <c r="J566" s="10"/>
      <c r="K566" s="10"/>
      <c r="L566" s="10"/>
      <c r="M566" s="10" t="str">
        <f>ifna(VLOOKUP('acft-exerc'!$M566,FIX!$A$2:$D1000,4, false),"")</f>
        <v/>
      </c>
      <c r="N566" s="10"/>
      <c r="O566" s="10"/>
      <c r="P566" s="10"/>
      <c r="Q566" s="10"/>
      <c r="R566" s="10"/>
      <c r="S566" s="10"/>
      <c r="T566" s="10"/>
      <c r="U566" s="10"/>
      <c r="V566" s="10"/>
    </row>
    <row r="567">
      <c r="A567" s="10"/>
      <c r="B567" s="10"/>
      <c r="C567" s="10"/>
      <c r="D567" s="10"/>
      <c r="E567" s="10"/>
      <c r="F567" s="10"/>
      <c r="G567" s="10"/>
      <c r="I567" s="10"/>
      <c r="J567" s="10"/>
      <c r="K567" s="10"/>
      <c r="L567" s="10"/>
      <c r="M567" s="10" t="str">
        <f>ifna(VLOOKUP('acft-exerc'!$M567,FIX!$A$2:$D1000,4, false),"")</f>
        <v/>
      </c>
      <c r="N567" s="10"/>
      <c r="O567" s="10"/>
      <c r="P567" s="10"/>
      <c r="Q567" s="10"/>
      <c r="R567" s="10"/>
      <c r="S567" s="10"/>
      <c r="T567" s="10"/>
      <c r="U567" s="10"/>
      <c r="V567" s="10"/>
    </row>
    <row r="568">
      <c r="A568" s="10"/>
      <c r="B568" s="10"/>
      <c r="C568" s="10"/>
      <c r="D568" s="10"/>
      <c r="E568" s="10"/>
      <c r="F568" s="10"/>
      <c r="G568" s="10"/>
      <c r="I568" s="10"/>
      <c r="J568" s="10"/>
      <c r="K568" s="10"/>
      <c r="L568" s="10"/>
      <c r="M568" s="10" t="str">
        <f>ifna(VLOOKUP('acft-exerc'!$M568,FIX!$A$2:$D1000,4, false),"")</f>
        <v/>
      </c>
      <c r="N568" s="10"/>
      <c r="O568" s="10"/>
      <c r="P568" s="10"/>
      <c r="Q568" s="10"/>
      <c r="R568" s="10"/>
      <c r="S568" s="10"/>
      <c r="T568" s="10"/>
      <c r="U568" s="10"/>
      <c r="V568" s="10"/>
    </row>
    <row r="569">
      <c r="A569" s="10"/>
      <c r="B569" s="10"/>
      <c r="C569" s="10"/>
      <c r="D569" s="10"/>
      <c r="E569" s="10"/>
      <c r="F569" s="10"/>
      <c r="G569" s="10"/>
      <c r="I569" s="10"/>
      <c r="J569" s="10"/>
      <c r="K569" s="10"/>
      <c r="L569" s="10"/>
      <c r="M569" s="10" t="str">
        <f>ifna(VLOOKUP('acft-exerc'!$M569,FIX!$A$2:$D1000,4, false),"")</f>
        <v/>
      </c>
      <c r="N569" s="10"/>
      <c r="O569" s="10"/>
      <c r="P569" s="10"/>
      <c r="Q569" s="10"/>
      <c r="R569" s="10"/>
      <c r="S569" s="10"/>
      <c r="T569" s="10"/>
      <c r="U569" s="10"/>
      <c r="V569" s="10"/>
    </row>
    <row r="570">
      <c r="A570" s="10"/>
      <c r="B570" s="10"/>
      <c r="C570" s="10"/>
      <c r="D570" s="10"/>
      <c r="E570" s="10"/>
      <c r="F570" s="10"/>
      <c r="G570" s="10"/>
      <c r="I570" s="10"/>
      <c r="J570" s="10"/>
      <c r="K570" s="10"/>
      <c r="L570" s="10"/>
      <c r="M570" s="10" t="str">
        <f>ifna(VLOOKUP('acft-exerc'!$M570,FIX!$A$2:$D1000,4, false),"")</f>
        <v/>
      </c>
      <c r="N570" s="10"/>
      <c r="O570" s="10"/>
      <c r="P570" s="10"/>
      <c r="Q570" s="10"/>
      <c r="R570" s="10"/>
      <c r="S570" s="10"/>
      <c r="T570" s="10"/>
      <c r="U570" s="10"/>
      <c r="V570" s="10"/>
    </row>
    <row r="571">
      <c r="A571" s="10"/>
      <c r="B571" s="10"/>
      <c r="C571" s="10"/>
      <c r="D571" s="10"/>
      <c r="E571" s="10"/>
      <c r="F571" s="10"/>
      <c r="G571" s="10"/>
      <c r="I571" s="10"/>
      <c r="J571" s="10"/>
      <c r="K571" s="10"/>
      <c r="L571" s="10"/>
      <c r="M571" s="10" t="str">
        <f>ifna(VLOOKUP('acft-exerc'!$M571,FIX!$A$2:$D1000,4, false),"")</f>
        <v/>
      </c>
      <c r="N571" s="10"/>
      <c r="O571" s="10"/>
      <c r="P571" s="10"/>
      <c r="Q571" s="10"/>
      <c r="R571" s="10"/>
      <c r="S571" s="10"/>
      <c r="T571" s="10"/>
      <c r="U571" s="10"/>
      <c r="V571" s="10"/>
    </row>
    <row r="572">
      <c r="A572" s="10"/>
      <c r="B572" s="10"/>
      <c r="C572" s="10"/>
      <c r="D572" s="10"/>
      <c r="E572" s="10"/>
      <c r="F572" s="10"/>
      <c r="G572" s="10"/>
      <c r="I572" s="10"/>
      <c r="J572" s="10"/>
      <c r="K572" s="10"/>
      <c r="L572" s="10"/>
      <c r="M572" s="10" t="str">
        <f>ifna(VLOOKUP('acft-exerc'!$M572,FIX!$A$2:$D1000,4, false),"")</f>
        <v/>
      </c>
      <c r="N572" s="10"/>
      <c r="O572" s="10"/>
      <c r="P572" s="10"/>
      <c r="Q572" s="10"/>
      <c r="R572" s="10"/>
      <c r="S572" s="10"/>
      <c r="T572" s="10"/>
      <c r="U572" s="10"/>
      <c r="V572" s="10"/>
    </row>
    <row r="573">
      <c r="A573" s="10"/>
      <c r="B573" s="10"/>
      <c r="C573" s="10"/>
      <c r="D573" s="10"/>
      <c r="E573" s="10"/>
      <c r="F573" s="10"/>
      <c r="G573" s="10"/>
      <c r="I573" s="10"/>
      <c r="J573" s="10"/>
      <c r="K573" s="10"/>
      <c r="L573" s="10"/>
      <c r="M573" s="10" t="str">
        <f>ifna(VLOOKUP('acft-exerc'!$M573,FIX!$A$2:$D1000,4, false),"")</f>
        <v/>
      </c>
      <c r="N573" s="10"/>
      <c r="O573" s="10"/>
      <c r="P573" s="10"/>
      <c r="Q573" s="10"/>
      <c r="R573" s="10"/>
      <c r="S573" s="10"/>
      <c r="T573" s="10"/>
      <c r="U573" s="10"/>
      <c r="V573" s="10"/>
    </row>
    <row r="574">
      <c r="A574" s="10"/>
      <c r="B574" s="10"/>
      <c r="C574" s="10"/>
      <c r="D574" s="10"/>
      <c r="E574" s="10"/>
      <c r="F574" s="10"/>
      <c r="G574" s="10"/>
      <c r="I574" s="10"/>
      <c r="J574" s="10"/>
      <c r="K574" s="10"/>
      <c r="L574" s="10"/>
      <c r="M574" s="10" t="str">
        <f>ifna(VLOOKUP('acft-exerc'!$M574,FIX!$A$2:$D1000,4, false),"")</f>
        <v/>
      </c>
      <c r="N574" s="10"/>
      <c r="O574" s="10"/>
      <c r="P574" s="10"/>
      <c r="Q574" s="10"/>
      <c r="R574" s="10"/>
      <c r="S574" s="10"/>
      <c r="T574" s="10"/>
      <c r="U574" s="10"/>
      <c r="V574" s="10"/>
    </row>
    <row r="575">
      <c r="A575" s="10"/>
      <c r="B575" s="10"/>
      <c r="C575" s="10"/>
      <c r="D575" s="10"/>
      <c r="E575" s="10"/>
      <c r="F575" s="10"/>
      <c r="G575" s="10"/>
      <c r="I575" s="10"/>
      <c r="J575" s="10"/>
      <c r="K575" s="10"/>
      <c r="L575" s="10"/>
      <c r="M575" s="10" t="str">
        <f>ifna(VLOOKUP('acft-exerc'!$M575,FIX!$A$2:$D1000,4, false),"")</f>
        <v/>
      </c>
      <c r="N575" s="10"/>
      <c r="O575" s="10"/>
      <c r="P575" s="10"/>
      <c r="Q575" s="10"/>
      <c r="R575" s="10"/>
      <c r="S575" s="10"/>
      <c r="T575" s="10"/>
      <c r="U575" s="10"/>
      <c r="V575" s="10"/>
    </row>
    <row r="576">
      <c r="A576" s="10"/>
      <c r="B576" s="10"/>
      <c r="C576" s="10"/>
      <c r="D576" s="10"/>
      <c r="E576" s="10"/>
      <c r="F576" s="10"/>
      <c r="G576" s="10"/>
      <c r="I576" s="10"/>
      <c r="J576" s="10"/>
      <c r="K576" s="10"/>
      <c r="L576" s="10"/>
      <c r="M576" s="10" t="str">
        <f>ifna(VLOOKUP('acft-exerc'!$M576,FIX!$A$2:$D1000,4, false),"")</f>
        <v/>
      </c>
      <c r="N576" s="10"/>
      <c r="O576" s="10"/>
      <c r="P576" s="10"/>
      <c r="Q576" s="10"/>
      <c r="R576" s="10"/>
      <c r="S576" s="10"/>
      <c r="T576" s="10"/>
      <c r="U576" s="10"/>
      <c r="V576" s="10"/>
    </row>
    <row r="577">
      <c r="A577" s="10"/>
      <c r="B577" s="10"/>
      <c r="C577" s="10"/>
      <c r="D577" s="10"/>
      <c r="E577" s="10"/>
      <c r="F577" s="10"/>
      <c r="G577" s="10"/>
      <c r="I577" s="10"/>
      <c r="J577" s="10"/>
      <c r="K577" s="10"/>
      <c r="L577" s="10"/>
      <c r="M577" s="10" t="str">
        <f>ifna(VLOOKUP('acft-exerc'!$M577,FIX!$A$2:$D1000,4, false),"")</f>
        <v/>
      </c>
      <c r="N577" s="10"/>
      <c r="O577" s="10"/>
      <c r="P577" s="10"/>
      <c r="Q577" s="10"/>
      <c r="R577" s="10"/>
      <c r="S577" s="10"/>
      <c r="T577" s="10"/>
      <c r="U577" s="10"/>
      <c r="V577" s="10"/>
    </row>
    <row r="578">
      <c r="A578" s="10"/>
      <c r="B578" s="10"/>
      <c r="C578" s="10"/>
      <c r="D578" s="10"/>
      <c r="E578" s="10"/>
      <c r="F578" s="10"/>
      <c r="G578" s="10"/>
      <c r="I578" s="10"/>
      <c r="J578" s="10"/>
      <c r="K578" s="10"/>
      <c r="L578" s="10"/>
      <c r="M578" s="10" t="str">
        <f>ifna(VLOOKUP('acft-exerc'!$M578,FIX!$A$2:$D1000,4, false),"")</f>
        <v/>
      </c>
      <c r="N578" s="10"/>
      <c r="O578" s="10"/>
      <c r="P578" s="10"/>
      <c r="Q578" s="10"/>
      <c r="R578" s="10"/>
      <c r="S578" s="10"/>
      <c r="T578" s="10"/>
      <c r="U578" s="10"/>
      <c r="V578" s="10"/>
    </row>
    <row r="579">
      <c r="A579" s="10"/>
      <c r="B579" s="10"/>
      <c r="C579" s="10"/>
      <c r="D579" s="10"/>
      <c r="E579" s="10"/>
      <c r="F579" s="10"/>
      <c r="G579" s="10"/>
      <c r="I579" s="10"/>
      <c r="J579" s="10"/>
      <c r="K579" s="10"/>
      <c r="L579" s="10"/>
      <c r="M579" s="10" t="str">
        <f>ifna(VLOOKUP('acft-exerc'!$M579,FIX!$A$2:$D1000,4, false),"")</f>
        <v/>
      </c>
      <c r="N579" s="10"/>
      <c r="O579" s="10"/>
      <c r="P579" s="10"/>
      <c r="Q579" s="10"/>
      <c r="R579" s="10"/>
      <c r="S579" s="10"/>
      <c r="T579" s="10"/>
      <c r="U579" s="10"/>
      <c r="V579" s="10"/>
    </row>
    <row r="580">
      <c r="A580" s="10"/>
      <c r="B580" s="10"/>
      <c r="C580" s="10"/>
      <c r="D580" s="10"/>
      <c r="E580" s="10"/>
      <c r="F580" s="10"/>
      <c r="G580" s="10"/>
      <c r="I580" s="10"/>
      <c r="J580" s="10"/>
      <c r="K580" s="10"/>
      <c r="L580" s="10"/>
      <c r="M580" s="10" t="str">
        <f>ifna(VLOOKUP('acft-exerc'!$M580,FIX!$A$2:$D1000,4, false),"")</f>
        <v/>
      </c>
      <c r="N580" s="10"/>
      <c r="O580" s="10"/>
      <c r="P580" s="10"/>
      <c r="Q580" s="10"/>
      <c r="R580" s="10"/>
      <c r="S580" s="10"/>
      <c r="T580" s="10"/>
      <c r="U580" s="10"/>
      <c r="V580" s="10"/>
    </row>
    <row r="581">
      <c r="A581" s="10"/>
      <c r="B581" s="10"/>
      <c r="C581" s="10"/>
      <c r="D581" s="10"/>
      <c r="E581" s="10"/>
      <c r="F581" s="10"/>
      <c r="G581" s="10"/>
      <c r="I581" s="10"/>
      <c r="J581" s="10"/>
      <c r="K581" s="10"/>
      <c r="L581" s="10"/>
      <c r="M581" s="10" t="str">
        <f>ifna(VLOOKUP('acft-exerc'!$M581,FIX!$A$2:$D1000,4, false),"")</f>
        <v/>
      </c>
      <c r="N581" s="10"/>
      <c r="O581" s="10"/>
      <c r="P581" s="10"/>
      <c r="Q581" s="10"/>
      <c r="R581" s="10"/>
      <c r="S581" s="10"/>
      <c r="T581" s="10"/>
      <c r="U581" s="10"/>
      <c r="V581" s="10"/>
    </row>
    <row r="582">
      <c r="A582" s="10"/>
      <c r="B582" s="10"/>
      <c r="C582" s="10"/>
      <c r="D582" s="10"/>
      <c r="E582" s="10"/>
      <c r="F582" s="10"/>
      <c r="G582" s="10"/>
      <c r="I582" s="10"/>
      <c r="J582" s="10"/>
      <c r="K582" s="10"/>
      <c r="L582" s="10"/>
      <c r="M582" s="10" t="str">
        <f>ifna(VLOOKUP('acft-exerc'!$M582,FIX!$A$2:$D1000,4, false),"")</f>
        <v/>
      </c>
      <c r="N582" s="10"/>
      <c r="O582" s="10"/>
      <c r="P582" s="10"/>
      <c r="Q582" s="10"/>
      <c r="R582" s="10"/>
      <c r="S582" s="10"/>
      <c r="T582" s="10"/>
      <c r="U582" s="10"/>
      <c r="V582" s="10"/>
    </row>
    <row r="583">
      <c r="A583" s="10"/>
      <c r="B583" s="10"/>
      <c r="C583" s="10"/>
      <c r="D583" s="10"/>
      <c r="E583" s="10"/>
      <c r="F583" s="10"/>
      <c r="G583" s="10"/>
      <c r="I583" s="10"/>
      <c r="J583" s="10"/>
      <c r="K583" s="10"/>
      <c r="L583" s="10"/>
      <c r="M583" s="10" t="str">
        <f>ifna(VLOOKUP('acft-exerc'!$M583,FIX!$A$2:$D1000,4, false),"")</f>
        <v/>
      </c>
      <c r="N583" s="10"/>
      <c r="O583" s="10"/>
      <c r="P583" s="10"/>
      <c r="Q583" s="10"/>
      <c r="R583" s="10"/>
      <c r="S583" s="10"/>
      <c r="T583" s="10"/>
      <c r="U583" s="10"/>
      <c r="V583" s="10"/>
    </row>
    <row r="584">
      <c r="A584" s="10"/>
      <c r="B584" s="10"/>
      <c r="C584" s="10"/>
      <c r="D584" s="10"/>
      <c r="E584" s="10"/>
      <c r="F584" s="10"/>
      <c r="G584" s="10"/>
      <c r="I584" s="10"/>
      <c r="J584" s="10"/>
      <c r="K584" s="10"/>
      <c r="L584" s="10"/>
      <c r="M584" s="10" t="str">
        <f>ifna(VLOOKUP('acft-exerc'!$M584,FIX!$A$2:$D1000,4, false),"")</f>
        <v/>
      </c>
      <c r="N584" s="10"/>
      <c r="O584" s="10"/>
      <c r="P584" s="10"/>
      <c r="Q584" s="10"/>
      <c r="R584" s="10"/>
      <c r="S584" s="10"/>
      <c r="T584" s="10"/>
      <c r="U584" s="10"/>
      <c r="V584" s="10"/>
    </row>
    <row r="585">
      <c r="A585" s="10"/>
      <c r="B585" s="10"/>
      <c r="C585" s="10"/>
      <c r="D585" s="10"/>
      <c r="E585" s="10"/>
      <c r="F585" s="10"/>
      <c r="G585" s="10"/>
      <c r="I585" s="10"/>
      <c r="J585" s="10"/>
      <c r="K585" s="10"/>
      <c r="L585" s="10"/>
      <c r="M585" s="10" t="str">
        <f>ifna(VLOOKUP('acft-exerc'!$M585,FIX!$A$2:$D1000,4, false),"")</f>
        <v/>
      </c>
      <c r="N585" s="10"/>
      <c r="O585" s="10"/>
      <c r="P585" s="10"/>
      <c r="Q585" s="10"/>
      <c r="R585" s="10"/>
      <c r="S585" s="10"/>
      <c r="T585" s="10"/>
      <c r="U585" s="10"/>
      <c r="V585" s="10"/>
    </row>
    <row r="586">
      <c r="A586" s="10"/>
      <c r="B586" s="10"/>
      <c r="C586" s="10"/>
      <c r="D586" s="10"/>
      <c r="E586" s="10"/>
      <c r="F586" s="10"/>
      <c r="G586" s="10"/>
      <c r="I586" s="10"/>
      <c r="J586" s="10"/>
      <c r="K586" s="10"/>
      <c r="L586" s="10"/>
      <c r="M586" s="10" t="str">
        <f>ifna(VLOOKUP('acft-exerc'!$M586,FIX!$A$2:$D1000,4, false),"")</f>
        <v/>
      </c>
      <c r="N586" s="10"/>
      <c r="O586" s="10"/>
      <c r="P586" s="10"/>
      <c r="Q586" s="10"/>
      <c r="R586" s="10"/>
      <c r="S586" s="10"/>
      <c r="T586" s="10"/>
      <c r="U586" s="10"/>
      <c r="V586" s="10"/>
    </row>
    <row r="587">
      <c r="A587" s="10"/>
      <c r="B587" s="10"/>
      <c r="C587" s="10"/>
      <c r="D587" s="10"/>
      <c r="E587" s="10"/>
      <c r="F587" s="10"/>
      <c r="G587" s="10"/>
      <c r="I587" s="10"/>
      <c r="J587" s="10"/>
      <c r="K587" s="10"/>
      <c r="L587" s="10"/>
      <c r="M587" s="10" t="str">
        <f>ifna(VLOOKUP('acft-exerc'!$M587,FIX!$A$2:$D1000,4, false),"")</f>
        <v/>
      </c>
      <c r="N587" s="10"/>
      <c r="O587" s="10"/>
      <c r="P587" s="10"/>
      <c r="Q587" s="10"/>
      <c r="R587" s="10"/>
      <c r="S587" s="10"/>
      <c r="T587" s="10"/>
      <c r="U587" s="10"/>
      <c r="V587" s="10"/>
    </row>
    <row r="588">
      <c r="A588" s="10"/>
      <c r="B588" s="10"/>
      <c r="C588" s="10"/>
      <c r="D588" s="10"/>
      <c r="E588" s="10"/>
      <c r="F588" s="10"/>
      <c r="G588" s="10"/>
      <c r="I588" s="10"/>
      <c r="J588" s="10"/>
      <c r="K588" s="10"/>
      <c r="L588" s="10"/>
      <c r="M588" s="10" t="str">
        <f>ifna(VLOOKUP('acft-exerc'!$M588,FIX!$A$2:$D1000,4, false),"")</f>
        <v/>
      </c>
      <c r="N588" s="10"/>
      <c r="O588" s="10"/>
      <c r="P588" s="10"/>
      <c r="Q588" s="10"/>
      <c r="R588" s="10"/>
      <c r="S588" s="10"/>
      <c r="T588" s="10"/>
      <c r="U588" s="10"/>
      <c r="V588" s="10"/>
    </row>
    <row r="589">
      <c r="A589" s="10"/>
      <c r="B589" s="10"/>
      <c r="C589" s="10"/>
      <c r="D589" s="10"/>
      <c r="E589" s="10"/>
      <c r="F589" s="10"/>
      <c r="G589" s="10"/>
      <c r="I589" s="10"/>
      <c r="J589" s="10"/>
      <c r="K589" s="10"/>
      <c r="L589" s="10"/>
      <c r="M589" s="10" t="str">
        <f>ifna(VLOOKUP('acft-exerc'!$M589,FIX!$A$2:$D1000,4, false),"")</f>
        <v/>
      </c>
      <c r="N589" s="10"/>
      <c r="O589" s="10"/>
      <c r="P589" s="10"/>
      <c r="Q589" s="10"/>
      <c r="R589" s="10"/>
      <c r="S589" s="10"/>
      <c r="T589" s="10"/>
      <c r="U589" s="10"/>
      <c r="V589" s="10"/>
    </row>
    <row r="590">
      <c r="A590" s="10"/>
      <c r="B590" s="10"/>
      <c r="C590" s="10"/>
      <c r="D590" s="10"/>
      <c r="E590" s="10"/>
      <c r="F590" s="10"/>
      <c r="G590" s="10"/>
      <c r="I590" s="10"/>
      <c r="J590" s="10"/>
      <c r="K590" s="10"/>
      <c r="L590" s="10"/>
      <c r="M590" s="10" t="str">
        <f>ifna(VLOOKUP('acft-exerc'!$M590,FIX!$A$2:$D1000,4, false),"")</f>
        <v/>
      </c>
      <c r="N590" s="10"/>
      <c r="O590" s="10"/>
      <c r="P590" s="10"/>
      <c r="Q590" s="10"/>
      <c r="R590" s="10"/>
      <c r="S590" s="10"/>
      <c r="T590" s="10"/>
      <c r="U590" s="10"/>
      <c r="V590" s="10"/>
    </row>
    <row r="591">
      <c r="A591" s="10"/>
      <c r="B591" s="10"/>
      <c r="C591" s="10"/>
      <c r="D591" s="10"/>
      <c r="E591" s="10"/>
      <c r="F591" s="10"/>
      <c r="G591" s="10"/>
      <c r="I591" s="10"/>
      <c r="J591" s="10"/>
      <c r="K591" s="10"/>
      <c r="L591" s="10"/>
      <c r="M591" s="10" t="str">
        <f>ifna(VLOOKUP('acft-exerc'!$M591,FIX!$A$2:$D1000,4, false),"")</f>
        <v/>
      </c>
      <c r="N591" s="10"/>
      <c r="O591" s="10"/>
      <c r="P591" s="10"/>
      <c r="Q591" s="10"/>
      <c r="R591" s="10"/>
      <c r="S591" s="10"/>
      <c r="T591" s="10"/>
      <c r="U591" s="10"/>
      <c r="V591" s="10"/>
    </row>
    <row r="592">
      <c r="A592" s="10"/>
      <c r="B592" s="10"/>
      <c r="C592" s="10"/>
      <c r="D592" s="10"/>
      <c r="E592" s="10"/>
      <c r="F592" s="10"/>
      <c r="G592" s="10"/>
      <c r="I592" s="10"/>
      <c r="J592" s="10"/>
      <c r="K592" s="10"/>
      <c r="L592" s="10"/>
      <c r="M592" s="10" t="str">
        <f>ifna(VLOOKUP('acft-exerc'!$M592,FIX!$A$2:$D1000,4, false),"")</f>
        <v/>
      </c>
      <c r="N592" s="10"/>
      <c r="O592" s="10"/>
      <c r="P592" s="10"/>
      <c r="Q592" s="10"/>
      <c r="R592" s="10"/>
      <c r="S592" s="10"/>
      <c r="T592" s="10"/>
      <c r="U592" s="10"/>
      <c r="V592" s="10"/>
    </row>
    <row r="593">
      <c r="A593" s="10"/>
      <c r="B593" s="10"/>
      <c r="C593" s="10"/>
      <c r="D593" s="10"/>
      <c r="E593" s="10"/>
      <c r="F593" s="10"/>
      <c r="G593" s="10"/>
      <c r="I593" s="10"/>
      <c r="J593" s="10"/>
      <c r="K593" s="10"/>
      <c r="L593" s="10"/>
      <c r="M593" s="10" t="str">
        <f>ifna(VLOOKUP('acft-exerc'!$M593,FIX!$A$2:$D1000,4, false),"")</f>
        <v/>
      </c>
      <c r="N593" s="10"/>
      <c r="O593" s="10"/>
      <c r="P593" s="10"/>
      <c r="Q593" s="10"/>
      <c r="R593" s="10"/>
      <c r="S593" s="10"/>
      <c r="T593" s="10"/>
      <c r="U593" s="10"/>
      <c r="V593" s="10"/>
    </row>
    <row r="594">
      <c r="A594" s="10"/>
      <c r="B594" s="10"/>
      <c r="C594" s="10"/>
      <c r="D594" s="10"/>
      <c r="E594" s="10"/>
      <c r="F594" s="10"/>
      <c r="G594" s="10"/>
      <c r="I594" s="10"/>
      <c r="J594" s="10"/>
      <c r="K594" s="10"/>
      <c r="L594" s="10"/>
      <c r="M594" s="10" t="str">
        <f>ifna(VLOOKUP('acft-exerc'!$M594,FIX!$A$2:$D1000,4, false),"")</f>
        <v/>
      </c>
      <c r="N594" s="10"/>
      <c r="O594" s="10"/>
      <c r="P594" s="10"/>
      <c r="Q594" s="10"/>
      <c r="R594" s="10"/>
      <c r="S594" s="10"/>
      <c r="T594" s="10"/>
      <c r="U594" s="10"/>
      <c r="V594" s="10"/>
    </row>
    <row r="595">
      <c r="A595" s="10"/>
      <c r="B595" s="10"/>
      <c r="C595" s="10"/>
      <c r="D595" s="10"/>
      <c r="E595" s="10"/>
      <c r="F595" s="10"/>
      <c r="G595" s="10"/>
      <c r="I595" s="10"/>
      <c r="J595" s="10"/>
      <c r="K595" s="10"/>
      <c r="L595" s="10"/>
      <c r="M595" s="10" t="str">
        <f>ifna(VLOOKUP('acft-exerc'!$M595,FIX!$A$2:$D1000,4, false),"")</f>
        <v/>
      </c>
      <c r="N595" s="10"/>
      <c r="O595" s="10"/>
      <c r="P595" s="10"/>
      <c r="Q595" s="10"/>
      <c r="R595" s="10"/>
      <c r="S595" s="10"/>
      <c r="T595" s="10"/>
      <c r="U595" s="10"/>
      <c r="V595" s="10"/>
    </row>
    <row r="596">
      <c r="A596" s="10"/>
      <c r="B596" s="10"/>
      <c r="C596" s="10"/>
      <c r="D596" s="10"/>
      <c r="E596" s="10"/>
      <c r="F596" s="10"/>
      <c r="G596" s="10"/>
      <c r="I596" s="10"/>
      <c r="J596" s="10"/>
      <c r="K596" s="10"/>
      <c r="L596" s="10"/>
      <c r="M596" s="10" t="str">
        <f>ifna(VLOOKUP('acft-exerc'!$M596,FIX!$A$2:$D1000,4, false),"")</f>
        <v/>
      </c>
      <c r="N596" s="10"/>
      <c r="O596" s="10"/>
      <c r="P596" s="10"/>
      <c r="Q596" s="10"/>
      <c r="R596" s="10"/>
      <c r="S596" s="10"/>
      <c r="T596" s="10"/>
      <c r="U596" s="10"/>
      <c r="V596" s="10"/>
    </row>
    <row r="597">
      <c r="A597" s="10"/>
      <c r="B597" s="10"/>
      <c r="C597" s="10"/>
      <c r="D597" s="10"/>
      <c r="E597" s="10"/>
      <c r="F597" s="10"/>
      <c r="G597" s="10"/>
      <c r="I597" s="10"/>
      <c r="J597" s="10"/>
      <c r="K597" s="10"/>
      <c r="L597" s="10"/>
      <c r="M597" s="10" t="str">
        <f>ifna(VLOOKUP('acft-exerc'!$M597,FIX!$A$2:$D1000,4, false),"")</f>
        <v/>
      </c>
      <c r="N597" s="10"/>
      <c r="O597" s="10"/>
      <c r="P597" s="10"/>
      <c r="Q597" s="10"/>
      <c r="R597" s="10"/>
      <c r="S597" s="10"/>
      <c r="T597" s="10"/>
      <c r="U597" s="10"/>
      <c r="V597" s="10"/>
    </row>
    <row r="598">
      <c r="A598" s="10"/>
      <c r="B598" s="10"/>
      <c r="C598" s="10"/>
      <c r="D598" s="10"/>
      <c r="E598" s="10"/>
      <c r="F598" s="10"/>
      <c r="G598" s="10"/>
      <c r="I598" s="10"/>
      <c r="J598" s="10"/>
      <c r="K598" s="10"/>
      <c r="L598" s="10"/>
      <c r="M598" s="10" t="str">
        <f>ifna(VLOOKUP('acft-exerc'!$M598,FIX!$A$2:$D1000,4, false),"")</f>
        <v/>
      </c>
      <c r="N598" s="10"/>
      <c r="O598" s="10"/>
      <c r="P598" s="10"/>
      <c r="Q598" s="10"/>
      <c r="R598" s="10"/>
      <c r="S598" s="10"/>
      <c r="T598" s="10"/>
      <c r="U598" s="10"/>
      <c r="V598" s="10"/>
    </row>
    <row r="599">
      <c r="A599" s="10"/>
      <c r="B599" s="10"/>
      <c r="C599" s="10"/>
      <c r="D599" s="10"/>
      <c r="E599" s="10"/>
      <c r="F599" s="10"/>
      <c r="G599" s="10"/>
      <c r="I599" s="10"/>
      <c r="J599" s="10"/>
      <c r="K599" s="10"/>
      <c r="L599" s="10"/>
      <c r="M599" s="10" t="str">
        <f>ifna(VLOOKUP('acft-exerc'!$M599,FIX!$A$2:$D1000,4, false),"")</f>
        <v/>
      </c>
      <c r="N599" s="10"/>
      <c r="O599" s="10"/>
      <c r="P599" s="10"/>
      <c r="Q599" s="10"/>
      <c r="R599" s="10"/>
      <c r="S599" s="10"/>
      <c r="T599" s="10"/>
      <c r="U599" s="10"/>
      <c r="V599" s="10"/>
    </row>
    <row r="600">
      <c r="A600" s="10"/>
      <c r="B600" s="10"/>
      <c r="C600" s="10"/>
      <c r="D600" s="10"/>
      <c r="E600" s="10"/>
      <c r="F600" s="10"/>
      <c r="G600" s="10"/>
      <c r="I600" s="10"/>
      <c r="J600" s="10"/>
      <c r="K600" s="10"/>
      <c r="L600" s="10"/>
      <c r="M600" s="10" t="str">
        <f>ifna(VLOOKUP('acft-exerc'!$M600,FIX!$A$2:$D1000,4, false),"")</f>
        <v/>
      </c>
      <c r="N600" s="10"/>
      <c r="O600" s="10"/>
      <c r="P600" s="10"/>
      <c r="Q600" s="10"/>
      <c r="R600" s="10"/>
      <c r="S600" s="10"/>
      <c r="T600" s="10"/>
      <c r="U600" s="10"/>
      <c r="V600" s="10"/>
    </row>
    <row r="601">
      <c r="A601" s="10"/>
      <c r="B601" s="10"/>
      <c r="C601" s="10"/>
      <c r="D601" s="10"/>
      <c r="E601" s="10"/>
      <c r="F601" s="10"/>
      <c r="G601" s="10"/>
      <c r="I601" s="10"/>
      <c r="J601" s="10"/>
      <c r="K601" s="10"/>
      <c r="L601" s="10"/>
      <c r="M601" s="10" t="str">
        <f>ifna(VLOOKUP('acft-exerc'!$M601,FIX!$A$2:$D1000,4, false),"")</f>
        <v/>
      </c>
      <c r="N601" s="10"/>
      <c r="O601" s="10"/>
      <c r="P601" s="10"/>
      <c r="Q601" s="10"/>
      <c r="R601" s="10"/>
      <c r="S601" s="10"/>
      <c r="T601" s="10"/>
      <c r="U601" s="10"/>
      <c r="V601" s="10"/>
    </row>
    <row r="602">
      <c r="A602" s="10"/>
      <c r="B602" s="10"/>
      <c r="C602" s="10"/>
      <c r="D602" s="10"/>
      <c r="E602" s="10"/>
      <c r="F602" s="10"/>
      <c r="G602" s="10"/>
      <c r="I602" s="10"/>
      <c r="J602" s="10"/>
      <c r="K602" s="10"/>
      <c r="L602" s="10"/>
      <c r="M602" s="10" t="str">
        <f>ifna(VLOOKUP('acft-exerc'!$M602,FIX!$A$2:$D1000,4, false),"")</f>
        <v/>
      </c>
      <c r="N602" s="10"/>
      <c r="O602" s="10"/>
      <c r="P602" s="10"/>
      <c r="Q602" s="10"/>
      <c r="R602" s="10"/>
      <c r="S602" s="10"/>
      <c r="T602" s="10"/>
      <c r="U602" s="10"/>
      <c r="V602" s="10"/>
    </row>
    <row r="603">
      <c r="A603" s="10"/>
      <c r="B603" s="10"/>
      <c r="C603" s="10"/>
      <c r="D603" s="10"/>
      <c r="E603" s="10"/>
      <c r="F603" s="10"/>
      <c r="G603" s="10"/>
      <c r="I603" s="10"/>
      <c r="J603" s="10"/>
      <c r="K603" s="10"/>
      <c r="L603" s="10"/>
      <c r="M603" s="10" t="str">
        <f>ifna(VLOOKUP('acft-exerc'!$M603,FIX!$A$2:$D1000,4, false),"")</f>
        <v/>
      </c>
      <c r="N603" s="10"/>
      <c r="O603" s="10"/>
      <c r="P603" s="10"/>
      <c r="Q603" s="10"/>
      <c r="R603" s="10"/>
      <c r="S603" s="10"/>
      <c r="T603" s="10"/>
      <c r="U603" s="10"/>
      <c r="V603" s="10"/>
    </row>
    <row r="604">
      <c r="A604" s="10"/>
      <c r="B604" s="10"/>
      <c r="C604" s="10"/>
      <c r="D604" s="10"/>
      <c r="E604" s="10"/>
      <c r="F604" s="10"/>
      <c r="G604" s="10"/>
      <c r="I604" s="10"/>
      <c r="J604" s="10"/>
      <c r="K604" s="10"/>
      <c r="L604" s="10"/>
      <c r="M604" s="10" t="str">
        <f>ifna(VLOOKUP('acft-exerc'!$M604,FIX!$A$2:$D1000,4, false),"")</f>
        <v/>
      </c>
      <c r="N604" s="10"/>
      <c r="O604" s="10"/>
      <c r="P604" s="10"/>
      <c r="Q604" s="10"/>
      <c r="R604" s="10"/>
      <c r="S604" s="10"/>
      <c r="T604" s="10"/>
      <c r="U604" s="10"/>
      <c r="V604" s="10"/>
    </row>
    <row r="605">
      <c r="A605" s="10"/>
      <c r="B605" s="10"/>
      <c r="C605" s="10"/>
      <c r="D605" s="10"/>
      <c r="E605" s="10"/>
      <c r="F605" s="10"/>
      <c r="G605" s="10"/>
      <c r="I605" s="10"/>
      <c r="J605" s="10"/>
      <c r="K605" s="10"/>
      <c r="L605" s="10"/>
      <c r="M605" s="10" t="str">
        <f>ifna(VLOOKUP('acft-exerc'!$M605,FIX!$A$2:$D1000,4, false),"")</f>
        <v/>
      </c>
      <c r="N605" s="10"/>
      <c r="O605" s="10"/>
      <c r="P605" s="10"/>
      <c r="Q605" s="10"/>
      <c r="R605" s="10"/>
      <c r="S605" s="10"/>
      <c r="T605" s="10"/>
      <c r="U605" s="10"/>
      <c r="V605" s="10"/>
    </row>
    <row r="606">
      <c r="A606" s="10"/>
      <c r="B606" s="10"/>
      <c r="C606" s="10"/>
      <c r="D606" s="10"/>
      <c r="E606" s="10"/>
      <c r="F606" s="10"/>
      <c r="G606" s="10"/>
      <c r="I606" s="10"/>
      <c r="J606" s="10"/>
      <c r="K606" s="10"/>
      <c r="L606" s="10"/>
      <c r="M606" s="10" t="str">
        <f>ifna(VLOOKUP('acft-exerc'!$M606,FIX!$A$2:$D1000,4, false),"")</f>
        <v/>
      </c>
      <c r="N606" s="10"/>
      <c r="O606" s="10"/>
      <c r="P606" s="10"/>
      <c r="Q606" s="10"/>
      <c r="R606" s="10"/>
      <c r="S606" s="10"/>
      <c r="T606" s="10"/>
      <c r="U606" s="10"/>
      <c r="V606" s="10"/>
    </row>
    <row r="607">
      <c r="A607" s="10"/>
      <c r="B607" s="10"/>
      <c r="C607" s="10"/>
      <c r="D607" s="10"/>
      <c r="E607" s="10"/>
      <c r="F607" s="10"/>
      <c r="G607" s="10"/>
      <c r="I607" s="10"/>
      <c r="J607" s="10"/>
      <c r="K607" s="10"/>
      <c r="L607" s="10"/>
      <c r="M607" s="10" t="str">
        <f>ifna(VLOOKUP('acft-exerc'!$M607,FIX!$A$2:$D1000,4, false),"")</f>
        <v/>
      </c>
      <c r="N607" s="10"/>
      <c r="O607" s="10"/>
      <c r="P607" s="10"/>
      <c r="Q607" s="10"/>
      <c r="R607" s="10"/>
      <c r="S607" s="10"/>
      <c r="T607" s="10"/>
      <c r="U607" s="10"/>
      <c r="V607" s="10"/>
    </row>
    <row r="608">
      <c r="A608" s="10"/>
      <c r="B608" s="10"/>
      <c r="C608" s="10"/>
      <c r="D608" s="10"/>
      <c r="E608" s="10"/>
      <c r="F608" s="10"/>
      <c r="G608" s="10"/>
      <c r="I608" s="10"/>
      <c r="J608" s="10"/>
      <c r="K608" s="10"/>
      <c r="L608" s="10"/>
      <c r="M608" s="10" t="str">
        <f>ifna(VLOOKUP('acft-exerc'!$M608,FIX!$A$2:$D1000,4, false),"")</f>
        <v/>
      </c>
      <c r="N608" s="10"/>
      <c r="O608" s="10"/>
      <c r="P608" s="10"/>
      <c r="Q608" s="10"/>
      <c r="R608" s="10"/>
      <c r="S608" s="10"/>
      <c r="T608" s="10"/>
      <c r="U608" s="10"/>
      <c r="V608" s="10"/>
    </row>
    <row r="609">
      <c r="A609" s="10"/>
      <c r="B609" s="10"/>
      <c r="C609" s="10"/>
      <c r="D609" s="10"/>
      <c r="E609" s="10"/>
      <c r="F609" s="10"/>
      <c r="G609" s="10"/>
      <c r="I609" s="10"/>
      <c r="J609" s="10"/>
      <c r="K609" s="10"/>
      <c r="L609" s="10"/>
      <c r="M609" s="10" t="str">
        <f>ifna(VLOOKUP('acft-exerc'!$M609,FIX!$A$2:$D1000,4, false),"")</f>
        <v/>
      </c>
      <c r="N609" s="10"/>
      <c r="O609" s="10"/>
      <c r="P609" s="10"/>
      <c r="Q609" s="10"/>
      <c r="R609" s="10"/>
      <c r="S609" s="10"/>
      <c r="T609" s="10"/>
      <c r="U609" s="10"/>
      <c r="V609" s="10"/>
    </row>
    <row r="610">
      <c r="A610" s="10"/>
      <c r="B610" s="10"/>
      <c r="C610" s="10"/>
      <c r="D610" s="10"/>
      <c r="E610" s="10"/>
      <c r="F610" s="10"/>
      <c r="G610" s="10"/>
      <c r="I610" s="10"/>
      <c r="J610" s="10"/>
      <c r="K610" s="10"/>
      <c r="L610" s="10"/>
      <c r="M610" s="10" t="str">
        <f>ifna(VLOOKUP('acft-exerc'!$M610,FIX!$A$2:$D1000,4, false),"")</f>
        <v/>
      </c>
      <c r="N610" s="10"/>
      <c r="O610" s="10"/>
      <c r="P610" s="10"/>
      <c r="Q610" s="10"/>
      <c r="R610" s="10"/>
      <c r="S610" s="10"/>
      <c r="T610" s="10"/>
      <c r="U610" s="10"/>
      <c r="V610" s="10"/>
    </row>
    <row r="611">
      <c r="A611" s="10"/>
      <c r="B611" s="10"/>
      <c r="C611" s="10"/>
      <c r="D611" s="10"/>
      <c r="E611" s="10"/>
      <c r="F611" s="10"/>
      <c r="G611" s="10"/>
      <c r="I611" s="10"/>
      <c r="J611" s="10"/>
      <c r="K611" s="10"/>
      <c r="L611" s="10"/>
      <c r="M611" s="10" t="str">
        <f>ifna(VLOOKUP('acft-exerc'!$M611,FIX!$A$2:$D1000,4, false),"")</f>
        <v/>
      </c>
      <c r="N611" s="10"/>
      <c r="O611" s="10"/>
      <c r="P611" s="10"/>
      <c r="Q611" s="10"/>
      <c r="R611" s="10"/>
      <c r="S611" s="10"/>
      <c r="T611" s="10"/>
      <c r="U611" s="10"/>
      <c r="V611" s="10"/>
    </row>
    <row r="612">
      <c r="A612" s="10"/>
      <c r="B612" s="10"/>
      <c r="C612" s="10"/>
      <c r="D612" s="10"/>
      <c r="E612" s="10"/>
      <c r="F612" s="10"/>
      <c r="G612" s="10"/>
      <c r="I612" s="10"/>
      <c r="J612" s="10"/>
      <c r="K612" s="10"/>
      <c r="L612" s="10"/>
      <c r="M612" s="10" t="str">
        <f>ifna(VLOOKUP('acft-exerc'!$M612,FIX!$A$2:$D1000,4, false),"")</f>
        <v/>
      </c>
      <c r="N612" s="10"/>
      <c r="O612" s="10"/>
      <c r="P612" s="10"/>
      <c r="Q612" s="10"/>
      <c r="R612" s="10"/>
      <c r="S612" s="10"/>
      <c r="T612" s="10"/>
      <c r="U612" s="10"/>
      <c r="V612" s="10"/>
    </row>
    <row r="613">
      <c r="A613" s="10"/>
      <c r="B613" s="10"/>
      <c r="C613" s="10"/>
      <c r="D613" s="10"/>
      <c r="E613" s="10"/>
      <c r="F613" s="10"/>
      <c r="G613" s="10"/>
      <c r="I613" s="10"/>
      <c r="J613" s="10"/>
      <c r="K613" s="10"/>
      <c r="L613" s="10"/>
      <c r="M613" s="10" t="str">
        <f>ifna(VLOOKUP('acft-exerc'!$M613,FIX!$A$2:$D1000,4, false),"")</f>
        <v/>
      </c>
      <c r="N613" s="10"/>
      <c r="O613" s="10"/>
      <c r="P613" s="10"/>
      <c r="Q613" s="10"/>
      <c r="R613" s="10"/>
      <c r="S613" s="10"/>
      <c r="T613" s="10"/>
      <c r="U613" s="10"/>
      <c r="V613" s="10"/>
    </row>
    <row r="614">
      <c r="A614" s="10"/>
      <c r="B614" s="10"/>
      <c r="C614" s="10"/>
      <c r="D614" s="10"/>
      <c r="E614" s="10"/>
      <c r="F614" s="10"/>
      <c r="G614" s="10"/>
      <c r="I614" s="10"/>
      <c r="J614" s="10"/>
      <c r="K614" s="10"/>
      <c r="L614" s="10"/>
      <c r="M614" s="10" t="str">
        <f>ifna(VLOOKUP('acft-exerc'!$M614,FIX!$A$2:$D1000,4, false),"")</f>
        <v/>
      </c>
      <c r="N614" s="10"/>
      <c r="O614" s="10"/>
      <c r="P614" s="10"/>
      <c r="Q614" s="10"/>
      <c r="R614" s="10"/>
      <c r="S614" s="10"/>
      <c r="T614" s="10"/>
      <c r="U614" s="10"/>
      <c r="V614" s="10"/>
    </row>
    <row r="615">
      <c r="A615" s="10"/>
      <c r="B615" s="10"/>
      <c r="C615" s="10"/>
      <c r="D615" s="10"/>
      <c r="E615" s="10"/>
      <c r="F615" s="10"/>
      <c r="G615" s="10"/>
      <c r="I615" s="10"/>
      <c r="J615" s="10"/>
      <c r="K615" s="10"/>
      <c r="L615" s="10"/>
      <c r="M615" s="10" t="str">
        <f>ifna(VLOOKUP('acft-exerc'!$M615,FIX!$A$2:$D1000,4, false),"")</f>
        <v/>
      </c>
      <c r="N615" s="10"/>
      <c r="O615" s="10"/>
      <c r="P615" s="10"/>
      <c r="Q615" s="10"/>
      <c r="R615" s="10"/>
      <c r="S615" s="10"/>
      <c r="T615" s="10"/>
      <c r="U615" s="10"/>
      <c r="V615" s="10"/>
    </row>
    <row r="616">
      <c r="A616" s="10"/>
      <c r="B616" s="10"/>
      <c r="C616" s="10"/>
      <c r="D616" s="10"/>
      <c r="E616" s="10"/>
      <c r="F616" s="10"/>
      <c r="G616" s="10"/>
      <c r="I616" s="10"/>
      <c r="J616" s="10"/>
      <c r="K616" s="10"/>
      <c r="L616" s="10"/>
      <c r="M616" s="10" t="str">
        <f>ifna(VLOOKUP('acft-exerc'!$M616,FIX!$A$2:$D1000,4, false),"")</f>
        <v/>
      </c>
      <c r="N616" s="10"/>
      <c r="O616" s="10"/>
      <c r="P616" s="10"/>
      <c r="Q616" s="10"/>
      <c r="R616" s="10"/>
      <c r="S616" s="10"/>
      <c r="T616" s="10"/>
      <c r="U616" s="10"/>
      <c r="V616" s="10"/>
    </row>
    <row r="617">
      <c r="A617" s="10"/>
      <c r="B617" s="10"/>
      <c r="C617" s="10"/>
      <c r="D617" s="10"/>
      <c r="E617" s="10"/>
      <c r="F617" s="10"/>
      <c r="G617" s="10"/>
      <c r="I617" s="10"/>
      <c r="J617" s="10"/>
      <c r="K617" s="10"/>
      <c r="L617" s="10"/>
      <c r="M617" s="10" t="str">
        <f>ifna(VLOOKUP('acft-exerc'!$M617,FIX!$A$2:$D1000,4, false),"")</f>
        <v/>
      </c>
      <c r="N617" s="10"/>
      <c r="O617" s="10"/>
      <c r="P617" s="10"/>
      <c r="Q617" s="10"/>
      <c r="R617" s="10"/>
      <c r="S617" s="10"/>
      <c r="T617" s="10"/>
      <c r="U617" s="10"/>
      <c r="V617" s="10"/>
    </row>
    <row r="618">
      <c r="A618" s="10"/>
      <c r="B618" s="10"/>
      <c r="C618" s="10"/>
      <c r="D618" s="10"/>
      <c r="E618" s="10"/>
      <c r="F618" s="10"/>
      <c r="G618" s="10"/>
      <c r="I618" s="10"/>
      <c r="J618" s="10"/>
      <c r="K618" s="10"/>
      <c r="L618" s="10"/>
      <c r="M618" s="10" t="str">
        <f>ifna(VLOOKUP('acft-exerc'!$M618,FIX!$A$2:$D1000,4, false),"")</f>
        <v/>
      </c>
      <c r="N618" s="10"/>
      <c r="O618" s="10"/>
      <c r="P618" s="10"/>
      <c r="Q618" s="10"/>
      <c r="R618" s="10"/>
      <c r="S618" s="10"/>
      <c r="T618" s="10"/>
      <c r="U618" s="10"/>
      <c r="V618" s="10"/>
    </row>
    <row r="619">
      <c r="A619" s="10"/>
      <c r="B619" s="10"/>
      <c r="C619" s="10"/>
      <c r="D619" s="10"/>
      <c r="E619" s="10"/>
      <c r="F619" s="10"/>
      <c r="G619" s="10"/>
      <c r="I619" s="10"/>
      <c r="J619" s="10"/>
      <c r="K619" s="10"/>
      <c r="L619" s="10"/>
      <c r="M619" s="10" t="str">
        <f>ifna(VLOOKUP('acft-exerc'!$M619,FIX!$A$2:$D1000,4, false),"")</f>
        <v/>
      </c>
      <c r="N619" s="10"/>
      <c r="O619" s="10"/>
      <c r="P619" s="10"/>
      <c r="Q619" s="10"/>
      <c r="R619" s="10"/>
      <c r="S619" s="10"/>
      <c r="T619" s="10"/>
      <c r="U619" s="10"/>
      <c r="V619" s="10"/>
    </row>
    <row r="620">
      <c r="A620" s="10"/>
      <c r="B620" s="10"/>
      <c r="C620" s="10"/>
      <c r="D620" s="10"/>
      <c r="E620" s="10"/>
      <c r="F620" s="10"/>
      <c r="G620" s="10"/>
      <c r="I620" s="10"/>
      <c r="J620" s="10"/>
      <c r="K620" s="10"/>
      <c r="L620" s="10"/>
      <c r="M620" s="10" t="str">
        <f>ifna(VLOOKUP('acft-exerc'!$M620,FIX!$A$2:$D1000,4, false),"")</f>
        <v/>
      </c>
      <c r="N620" s="10"/>
      <c r="O620" s="10"/>
      <c r="P620" s="10"/>
      <c r="Q620" s="10"/>
      <c r="R620" s="10"/>
      <c r="S620" s="10"/>
      <c r="T620" s="10"/>
      <c r="U620" s="10"/>
      <c r="V620" s="10"/>
    </row>
    <row r="621">
      <c r="A621" s="10"/>
      <c r="B621" s="10"/>
      <c r="C621" s="10"/>
      <c r="D621" s="10"/>
      <c r="E621" s="10"/>
      <c r="F621" s="10"/>
      <c r="G621" s="10"/>
      <c r="I621" s="10"/>
      <c r="J621" s="10"/>
      <c r="K621" s="10"/>
      <c r="L621" s="10"/>
      <c r="M621" s="10" t="str">
        <f>ifna(VLOOKUP('acft-exerc'!$M621,FIX!$A$2:$D1000,4, false),"")</f>
        <v/>
      </c>
      <c r="N621" s="10"/>
      <c r="O621" s="10"/>
      <c r="P621" s="10"/>
      <c r="Q621" s="10"/>
      <c r="R621" s="10"/>
      <c r="S621" s="10"/>
      <c r="T621" s="10"/>
      <c r="U621" s="10"/>
      <c r="V621" s="10"/>
    </row>
    <row r="622">
      <c r="A622" s="10"/>
      <c r="B622" s="10"/>
      <c r="C622" s="10"/>
      <c r="D622" s="10"/>
      <c r="E622" s="10"/>
      <c r="F622" s="10"/>
      <c r="G622" s="10"/>
      <c r="I622" s="10"/>
      <c r="J622" s="10"/>
      <c r="K622" s="10"/>
      <c r="L622" s="10"/>
      <c r="M622" s="10" t="str">
        <f>ifna(VLOOKUP('acft-exerc'!$M622,FIX!$A$2:$D1000,4, false),"")</f>
        <v/>
      </c>
      <c r="N622" s="10"/>
      <c r="O622" s="10"/>
      <c r="P622" s="10"/>
      <c r="Q622" s="10"/>
      <c r="R622" s="10"/>
      <c r="S622" s="10"/>
      <c r="T622" s="10"/>
      <c r="U622" s="10"/>
      <c r="V622" s="10"/>
    </row>
    <row r="623">
      <c r="A623" s="10"/>
      <c r="B623" s="10"/>
      <c r="C623" s="10"/>
      <c r="D623" s="10"/>
      <c r="E623" s="10"/>
      <c r="F623" s="10"/>
      <c r="G623" s="10"/>
      <c r="I623" s="10"/>
      <c r="J623" s="10"/>
      <c r="K623" s="10"/>
      <c r="L623" s="10"/>
      <c r="M623" s="10" t="str">
        <f>ifna(VLOOKUP('acft-exerc'!$M623,FIX!$A$2:$D1000,4, false),"")</f>
        <v/>
      </c>
      <c r="N623" s="10"/>
      <c r="O623" s="10"/>
      <c r="P623" s="10"/>
      <c r="Q623" s="10"/>
      <c r="R623" s="10"/>
      <c r="S623" s="10"/>
      <c r="T623" s="10"/>
      <c r="U623" s="10"/>
      <c r="V623" s="10"/>
    </row>
    <row r="624">
      <c r="A624" s="10"/>
      <c r="B624" s="10"/>
      <c r="C624" s="10"/>
      <c r="D624" s="10"/>
      <c r="E624" s="10"/>
      <c r="F624" s="10"/>
      <c r="G624" s="10"/>
      <c r="I624" s="10"/>
      <c r="J624" s="10"/>
      <c r="K624" s="10"/>
      <c r="L624" s="10"/>
      <c r="M624" s="10" t="str">
        <f>ifna(VLOOKUP('acft-exerc'!$M624,FIX!$A$2:$D1000,4, false),"")</f>
        <v/>
      </c>
      <c r="N624" s="10"/>
      <c r="O624" s="10"/>
      <c r="P624" s="10"/>
      <c r="Q624" s="10"/>
      <c r="R624" s="10"/>
      <c r="S624" s="10"/>
      <c r="T624" s="10"/>
      <c r="U624" s="10"/>
      <c r="V624" s="10"/>
    </row>
    <row r="625">
      <c r="A625" s="10"/>
      <c r="B625" s="10"/>
      <c r="C625" s="10"/>
      <c r="D625" s="10"/>
      <c r="E625" s="10"/>
      <c r="F625" s="10"/>
      <c r="G625" s="10"/>
      <c r="I625" s="10"/>
      <c r="J625" s="10"/>
      <c r="K625" s="10"/>
      <c r="L625" s="10"/>
      <c r="M625" s="10" t="str">
        <f>ifna(VLOOKUP('acft-exerc'!$M625,FIX!$A$2:$D1000,4, false),"")</f>
        <v/>
      </c>
      <c r="N625" s="10"/>
      <c r="O625" s="10"/>
      <c r="P625" s="10"/>
      <c r="Q625" s="10"/>
      <c r="R625" s="10"/>
      <c r="S625" s="10"/>
      <c r="T625" s="10"/>
      <c r="U625" s="10"/>
      <c r="V625" s="10"/>
    </row>
    <row r="626">
      <c r="A626" s="10"/>
      <c r="B626" s="10"/>
      <c r="C626" s="10"/>
      <c r="D626" s="10"/>
      <c r="E626" s="10"/>
      <c r="F626" s="10"/>
      <c r="G626" s="10"/>
      <c r="I626" s="10"/>
      <c r="J626" s="10"/>
      <c r="K626" s="10"/>
      <c r="L626" s="10"/>
      <c r="M626" s="10" t="str">
        <f>ifna(VLOOKUP('acft-exerc'!$M626,FIX!$A$2:$D1000,4, false),"")</f>
        <v/>
      </c>
      <c r="N626" s="10"/>
      <c r="O626" s="10"/>
      <c r="P626" s="10"/>
      <c r="Q626" s="10"/>
      <c r="R626" s="10"/>
      <c r="S626" s="10"/>
      <c r="T626" s="10"/>
      <c r="U626" s="10"/>
      <c r="V626" s="10"/>
    </row>
    <row r="627">
      <c r="A627" s="10"/>
      <c r="B627" s="10"/>
      <c r="C627" s="10"/>
      <c r="D627" s="10"/>
      <c r="E627" s="10"/>
      <c r="F627" s="10"/>
      <c r="G627" s="10"/>
      <c r="I627" s="10"/>
      <c r="J627" s="10"/>
      <c r="K627" s="10"/>
      <c r="L627" s="10"/>
      <c r="M627" s="10" t="str">
        <f>ifna(VLOOKUP('acft-exerc'!$M627,FIX!$A$2:$D1000,4, false),"")</f>
        <v/>
      </c>
      <c r="N627" s="10"/>
      <c r="O627" s="10"/>
      <c r="P627" s="10"/>
      <c r="Q627" s="10"/>
      <c r="R627" s="10"/>
      <c r="S627" s="10"/>
      <c r="T627" s="10"/>
      <c r="U627" s="10"/>
      <c r="V627" s="10"/>
    </row>
    <row r="628">
      <c r="A628" s="10"/>
      <c r="B628" s="10"/>
      <c r="C628" s="10"/>
      <c r="D628" s="10"/>
      <c r="E628" s="10"/>
      <c r="F628" s="10"/>
      <c r="G628" s="10"/>
      <c r="I628" s="10"/>
      <c r="J628" s="10"/>
      <c r="K628" s="10"/>
      <c r="L628" s="10"/>
      <c r="M628" s="10" t="str">
        <f>ifna(VLOOKUP('acft-exerc'!$M628,FIX!$A$2:$D1000,4, false),"")</f>
        <v/>
      </c>
      <c r="N628" s="10"/>
      <c r="O628" s="10"/>
      <c r="P628" s="10"/>
      <c r="Q628" s="10"/>
      <c r="R628" s="10"/>
      <c r="S628" s="10"/>
      <c r="T628" s="10"/>
      <c r="U628" s="10"/>
      <c r="V628" s="10"/>
    </row>
    <row r="629">
      <c r="A629" s="10"/>
      <c r="B629" s="10"/>
      <c r="C629" s="10"/>
      <c r="D629" s="10"/>
      <c r="E629" s="10"/>
      <c r="F629" s="10"/>
      <c r="G629" s="10"/>
      <c r="I629" s="10"/>
      <c r="J629" s="10"/>
      <c r="K629" s="10"/>
      <c r="L629" s="10"/>
      <c r="M629" s="10" t="str">
        <f>ifna(VLOOKUP('acft-exerc'!$M629,FIX!$A$2:$D1000,4, false),"")</f>
        <v/>
      </c>
      <c r="N629" s="10"/>
      <c r="O629" s="10"/>
      <c r="P629" s="10"/>
      <c r="Q629" s="10"/>
      <c r="R629" s="10"/>
      <c r="S629" s="10"/>
      <c r="T629" s="10"/>
      <c r="U629" s="10"/>
      <c r="V629" s="10"/>
    </row>
    <row r="630">
      <c r="A630" s="10"/>
      <c r="B630" s="10"/>
      <c r="C630" s="10"/>
      <c r="D630" s="10"/>
      <c r="E630" s="10"/>
      <c r="F630" s="10"/>
      <c r="G630" s="10"/>
      <c r="I630" s="10"/>
      <c r="J630" s="10"/>
      <c r="K630" s="10"/>
      <c r="L630" s="10"/>
      <c r="M630" s="10" t="str">
        <f>ifna(VLOOKUP('acft-exerc'!$M630,FIX!$A$2:$D1000,4, false),"")</f>
        <v/>
      </c>
      <c r="N630" s="10"/>
      <c r="O630" s="10"/>
      <c r="P630" s="10"/>
      <c r="Q630" s="10"/>
      <c r="R630" s="10"/>
      <c r="S630" s="10"/>
      <c r="T630" s="10"/>
      <c r="U630" s="10"/>
      <c r="V630" s="10"/>
    </row>
    <row r="631">
      <c r="A631" s="10"/>
      <c r="B631" s="10"/>
      <c r="C631" s="10"/>
      <c r="D631" s="10"/>
      <c r="E631" s="10"/>
      <c r="F631" s="10"/>
      <c r="G631" s="10"/>
      <c r="I631" s="10"/>
      <c r="J631" s="10"/>
      <c r="K631" s="10"/>
      <c r="L631" s="10"/>
      <c r="M631" s="10" t="str">
        <f>ifna(VLOOKUP('acft-exerc'!$M631,FIX!$A$2:$D1000,4, false),"")</f>
        <v/>
      </c>
      <c r="N631" s="10"/>
      <c r="O631" s="10"/>
      <c r="P631" s="10"/>
      <c r="Q631" s="10"/>
      <c r="R631" s="10"/>
      <c r="S631" s="10"/>
      <c r="T631" s="10"/>
      <c r="U631" s="10"/>
      <c r="V631" s="10"/>
    </row>
    <row r="632">
      <c r="A632" s="10"/>
      <c r="B632" s="10"/>
      <c r="C632" s="10"/>
      <c r="D632" s="10"/>
      <c r="E632" s="10"/>
      <c r="F632" s="10"/>
      <c r="G632" s="10"/>
      <c r="I632" s="10"/>
      <c r="J632" s="10"/>
      <c r="K632" s="10"/>
      <c r="L632" s="10"/>
      <c r="M632" s="10" t="str">
        <f>ifna(VLOOKUP('acft-exerc'!$M632,FIX!$A$2:$D1000,4, false),"")</f>
        <v/>
      </c>
      <c r="N632" s="10"/>
      <c r="O632" s="10"/>
      <c r="P632" s="10"/>
      <c r="Q632" s="10"/>
      <c r="R632" s="10"/>
      <c r="S632" s="10"/>
      <c r="T632" s="10"/>
      <c r="U632" s="10"/>
      <c r="V632" s="10"/>
    </row>
    <row r="633">
      <c r="A633" s="10"/>
      <c r="B633" s="10"/>
      <c r="C633" s="10"/>
      <c r="D633" s="10"/>
      <c r="E633" s="10"/>
      <c r="F633" s="10"/>
      <c r="G633" s="10"/>
      <c r="I633" s="10"/>
      <c r="J633" s="10"/>
      <c r="K633" s="10"/>
      <c r="L633" s="10"/>
      <c r="M633" s="10" t="str">
        <f>ifna(VLOOKUP('acft-exerc'!$M633,FIX!$A$2:$D1000,4, false),"")</f>
        <v/>
      </c>
      <c r="N633" s="10"/>
      <c r="O633" s="10"/>
      <c r="P633" s="10"/>
      <c r="Q633" s="10"/>
      <c r="R633" s="10"/>
      <c r="S633" s="10"/>
      <c r="T633" s="10"/>
      <c r="U633" s="10"/>
      <c r="V633" s="10"/>
    </row>
    <row r="634">
      <c r="A634" s="10"/>
      <c r="B634" s="10"/>
      <c r="C634" s="10"/>
      <c r="D634" s="10"/>
      <c r="E634" s="10"/>
      <c r="F634" s="10"/>
      <c r="G634" s="10"/>
      <c r="I634" s="10"/>
      <c r="J634" s="10"/>
      <c r="K634" s="10"/>
      <c r="L634" s="10"/>
      <c r="M634" s="10" t="str">
        <f>ifna(VLOOKUP('acft-exerc'!$M634,FIX!$A$2:$D1000,4, false),"")</f>
        <v/>
      </c>
      <c r="N634" s="10"/>
      <c r="O634" s="10"/>
      <c r="P634" s="10"/>
      <c r="Q634" s="10"/>
      <c r="R634" s="10"/>
      <c r="S634" s="10"/>
      <c r="T634" s="10"/>
      <c r="U634" s="10"/>
      <c r="V634" s="10"/>
    </row>
    <row r="635">
      <c r="A635" s="10"/>
      <c r="B635" s="10"/>
      <c r="C635" s="10"/>
      <c r="D635" s="10"/>
      <c r="E635" s="10"/>
      <c r="F635" s="10"/>
      <c r="G635" s="10"/>
      <c r="I635" s="10"/>
      <c r="J635" s="10"/>
      <c r="K635" s="10"/>
      <c r="L635" s="10"/>
      <c r="M635" s="10" t="str">
        <f>ifna(VLOOKUP('acft-exerc'!$M635,FIX!$A$2:$D1000,4, false),"")</f>
        <v/>
      </c>
      <c r="N635" s="10"/>
      <c r="O635" s="10"/>
      <c r="P635" s="10"/>
      <c r="Q635" s="10"/>
      <c r="R635" s="10"/>
      <c r="S635" s="10"/>
      <c r="T635" s="10"/>
      <c r="U635" s="10"/>
      <c r="V635" s="10"/>
    </row>
    <row r="636">
      <c r="A636" s="10"/>
      <c r="B636" s="10"/>
      <c r="C636" s="10"/>
      <c r="D636" s="10"/>
      <c r="E636" s="10"/>
      <c r="F636" s="10"/>
      <c r="G636" s="10"/>
      <c r="I636" s="10"/>
      <c r="J636" s="10"/>
      <c r="K636" s="10"/>
      <c r="L636" s="10"/>
      <c r="M636" s="10" t="str">
        <f>ifna(VLOOKUP('acft-exerc'!$M636,FIX!$A$2:$D1000,4, false),"")</f>
        <v/>
      </c>
      <c r="N636" s="10"/>
      <c r="O636" s="10"/>
      <c r="P636" s="10"/>
      <c r="Q636" s="10"/>
      <c r="R636" s="10"/>
      <c r="S636" s="10"/>
      <c r="T636" s="10"/>
      <c r="U636" s="10"/>
      <c r="V636" s="10"/>
    </row>
    <row r="637">
      <c r="A637" s="10"/>
      <c r="B637" s="10"/>
      <c r="C637" s="10"/>
      <c r="D637" s="10"/>
      <c r="E637" s="10"/>
      <c r="F637" s="10"/>
      <c r="G637" s="10"/>
      <c r="I637" s="10"/>
      <c r="J637" s="10"/>
      <c r="K637" s="10"/>
      <c r="L637" s="10"/>
      <c r="M637" s="10" t="str">
        <f>ifna(VLOOKUP('acft-exerc'!$M637,FIX!$A$2:$D1000,4, false),"")</f>
        <v/>
      </c>
      <c r="N637" s="10"/>
      <c r="O637" s="10"/>
      <c r="P637" s="10"/>
      <c r="Q637" s="10"/>
      <c r="R637" s="10"/>
      <c r="S637" s="10"/>
      <c r="T637" s="10"/>
      <c r="U637" s="10"/>
      <c r="V637" s="10"/>
    </row>
    <row r="638">
      <c r="A638" s="10"/>
      <c r="B638" s="10"/>
      <c r="C638" s="10"/>
      <c r="D638" s="10"/>
      <c r="E638" s="10"/>
      <c r="F638" s="10"/>
      <c r="G638" s="10"/>
      <c r="I638" s="10"/>
      <c r="J638" s="10"/>
      <c r="K638" s="10"/>
      <c r="L638" s="10"/>
      <c r="M638" s="10" t="str">
        <f>ifna(VLOOKUP('acft-exerc'!$M638,FIX!$A$2:$D1000,4, false),"")</f>
        <v/>
      </c>
      <c r="N638" s="10"/>
      <c r="O638" s="10"/>
      <c r="P638" s="10"/>
      <c r="Q638" s="10"/>
      <c r="R638" s="10"/>
      <c r="S638" s="10"/>
      <c r="T638" s="10"/>
      <c r="U638" s="10"/>
      <c r="V638" s="10"/>
    </row>
    <row r="639">
      <c r="A639" s="10"/>
      <c r="B639" s="10"/>
      <c r="C639" s="10"/>
      <c r="D639" s="10"/>
      <c r="E639" s="10"/>
      <c r="F639" s="10"/>
      <c r="G639" s="10"/>
      <c r="I639" s="10"/>
      <c r="J639" s="10"/>
      <c r="K639" s="10"/>
      <c r="L639" s="10"/>
      <c r="M639" s="10" t="str">
        <f>ifna(VLOOKUP('acft-exerc'!$M639,FIX!$A$2:$D1000,4, false),"")</f>
        <v/>
      </c>
      <c r="N639" s="10"/>
      <c r="O639" s="10"/>
      <c r="P639" s="10"/>
      <c r="Q639" s="10"/>
      <c r="R639" s="10"/>
      <c r="S639" s="10"/>
      <c r="T639" s="10"/>
      <c r="U639" s="10"/>
      <c r="V639" s="10"/>
    </row>
    <row r="640">
      <c r="A640" s="10"/>
      <c r="B640" s="10"/>
      <c r="C640" s="10"/>
      <c r="D640" s="10"/>
      <c r="E640" s="10"/>
      <c r="F640" s="10"/>
      <c r="G640" s="10"/>
      <c r="I640" s="10"/>
      <c r="J640" s="10"/>
      <c r="K640" s="10"/>
      <c r="L640" s="10"/>
      <c r="M640" s="10" t="str">
        <f>ifna(VLOOKUP('acft-exerc'!$M640,FIX!$A$2:$D1000,4, false),"")</f>
        <v/>
      </c>
      <c r="N640" s="10"/>
      <c r="O640" s="10"/>
      <c r="P640" s="10"/>
      <c r="Q640" s="10"/>
      <c r="R640" s="10"/>
      <c r="S640" s="10"/>
      <c r="T640" s="10"/>
      <c r="U640" s="10"/>
      <c r="V640" s="10"/>
    </row>
    <row r="641">
      <c r="A641" s="10"/>
      <c r="B641" s="10"/>
      <c r="C641" s="10"/>
      <c r="D641" s="10"/>
      <c r="E641" s="10"/>
      <c r="F641" s="10"/>
      <c r="G641" s="10"/>
      <c r="I641" s="10"/>
      <c r="J641" s="10"/>
      <c r="K641" s="10"/>
      <c r="L641" s="10"/>
      <c r="M641" s="10" t="str">
        <f>ifna(VLOOKUP('acft-exerc'!$M641,FIX!$A$2:$D1000,4, false),"")</f>
        <v/>
      </c>
      <c r="N641" s="10"/>
      <c r="O641" s="10"/>
      <c r="P641" s="10"/>
      <c r="Q641" s="10"/>
      <c r="R641" s="10"/>
      <c r="S641" s="10"/>
      <c r="T641" s="10"/>
      <c r="U641" s="10"/>
      <c r="V641" s="10"/>
    </row>
    <row r="642">
      <c r="A642" s="10"/>
      <c r="B642" s="10"/>
      <c r="C642" s="10"/>
      <c r="D642" s="10"/>
      <c r="E642" s="10"/>
      <c r="F642" s="10"/>
      <c r="G642" s="10"/>
      <c r="I642" s="10"/>
      <c r="J642" s="10"/>
      <c r="K642" s="10"/>
      <c r="L642" s="10"/>
      <c r="M642" s="10" t="str">
        <f>ifna(VLOOKUP('acft-exerc'!$M642,FIX!$A$2:$D1000,4, false),"")</f>
        <v/>
      </c>
      <c r="N642" s="10"/>
      <c r="O642" s="10"/>
      <c r="P642" s="10"/>
      <c r="Q642" s="10"/>
      <c r="R642" s="10"/>
      <c r="S642" s="10"/>
      <c r="T642" s="10"/>
      <c r="U642" s="10"/>
      <c r="V642" s="10"/>
    </row>
    <row r="643">
      <c r="A643" s="10"/>
      <c r="B643" s="10"/>
      <c r="C643" s="10"/>
      <c r="D643" s="10"/>
      <c r="E643" s="10"/>
      <c r="F643" s="10"/>
      <c r="G643" s="10"/>
      <c r="I643" s="10"/>
      <c r="J643" s="10"/>
      <c r="K643" s="10"/>
      <c r="L643" s="10"/>
      <c r="M643" s="10" t="str">
        <f>ifna(VLOOKUP('acft-exerc'!$M643,FIX!$A$2:$D1000,4, false),"")</f>
        <v/>
      </c>
      <c r="N643" s="10"/>
      <c r="O643" s="10"/>
      <c r="P643" s="10"/>
      <c r="Q643" s="10"/>
      <c r="R643" s="10"/>
      <c r="S643" s="10"/>
      <c r="T643" s="10"/>
      <c r="U643" s="10"/>
      <c r="V643" s="10"/>
    </row>
    <row r="644">
      <c r="A644" s="10"/>
      <c r="B644" s="10"/>
      <c r="C644" s="10"/>
      <c r="D644" s="10"/>
      <c r="E644" s="10"/>
      <c r="F644" s="10"/>
      <c r="G644" s="10"/>
      <c r="I644" s="10"/>
      <c r="J644" s="10"/>
      <c r="K644" s="10"/>
      <c r="L644" s="10"/>
      <c r="M644" s="10" t="str">
        <f>ifna(VLOOKUP('acft-exerc'!$M644,FIX!$A$2:$D1000,4, false),"")</f>
        <v/>
      </c>
      <c r="N644" s="10"/>
      <c r="O644" s="10"/>
      <c r="P644" s="10"/>
      <c r="Q644" s="10"/>
      <c r="R644" s="10"/>
      <c r="S644" s="10"/>
      <c r="T644" s="10"/>
      <c r="U644" s="10"/>
      <c r="V644" s="10"/>
    </row>
    <row r="645">
      <c r="A645" s="10"/>
      <c r="B645" s="10"/>
      <c r="C645" s="10"/>
      <c r="D645" s="10"/>
      <c r="E645" s="10"/>
      <c r="F645" s="10"/>
      <c r="G645" s="10"/>
      <c r="I645" s="10"/>
      <c r="J645" s="10"/>
      <c r="K645" s="10"/>
      <c r="L645" s="10"/>
      <c r="M645" s="10" t="str">
        <f>ifna(VLOOKUP('acft-exerc'!$M645,FIX!$A$2:$D1000,4, false),"")</f>
        <v/>
      </c>
      <c r="N645" s="10"/>
      <c r="O645" s="10"/>
      <c r="P645" s="10"/>
      <c r="Q645" s="10"/>
      <c r="R645" s="10"/>
      <c r="S645" s="10"/>
      <c r="T645" s="10"/>
      <c r="U645" s="10"/>
      <c r="V645" s="10"/>
    </row>
    <row r="646">
      <c r="A646" s="10"/>
      <c r="B646" s="10"/>
      <c r="C646" s="10"/>
      <c r="D646" s="10"/>
      <c r="E646" s="10"/>
      <c r="F646" s="10"/>
      <c r="G646" s="10"/>
      <c r="I646" s="10"/>
      <c r="J646" s="10"/>
      <c r="K646" s="10"/>
      <c r="L646" s="10"/>
      <c r="M646" s="10" t="str">
        <f>ifna(VLOOKUP('acft-exerc'!$M646,FIX!$A$2:$D1000,4, false),"")</f>
        <v/>
      </c>
      <c r="N646" s="10"/>
      <c r="O646" s="10"/>
      <c r="P646" s="10"/>
      <c r="Q646" s="10"/>
      <c r="R646" s="10"/>
      <c r="S646" s="10"/>
      <c r="T646" s="10"/>
      <c r="U646" s="10"/>
      <c r="V646" s="10"/>
    </row>
    <row r="647">
      <c r="A647" s="10"/>
      <c r="B647" s="10"/>
      <c r="C647" s="10"/>
      <c r="D647" s="10"/>
      <c r="E647" s="10"/>
      <c r="F647" s="10"/>
      <c r="G647" s="10"/>
      <c r="I647" s="10"/>
      <c r="J647" s="10"/>
      <c r="K647" s="10"/>
      <c r="L647" s="10"/>
      <c r="M647" s="10" t="str">
        <f>ifna(VLOOKUP('acft-exerc'!$M647,FIX!$A$2:$D1000,4, false),"")</f>
        <v/>
      </c>
      <c r="N647" s="10"/>
      <c r="O647" s="10"/>
      <c r="P647" s="10"/>
      <c r="Q647" s="10"/>
      <c r="R647" s="10"/>
      <c r="S647" s="10"/>
      <c r="T647" s="10"/>
      <c r="U647" s="10"/>
      <c r="V647" s="10"/>
    </row>
    <row r="648">
      <c r="A648" s="10"/>
      <c r="B648" s="10"/>
      <c r="C648" s="10"/>
      <c r="D648" s="10"/>
      <c r="E648" s="10"/>
      <c r="F648" s="10"/>
      <c r="G648" s="10"/>
      <c r="I648" s="10"/>
      <c r="J648" s="10"/>
      <c r="K648" s="10"/>
      <c r="L648" s="10"/>
      <c r="M648" s="10" t="str">
        <f>ifna(VLOOKUP('acft-exerc'!$M648,FIX!$A$2:$D1000,4, false),"")</f>
        <v/>
      </c>
      <c r="N648" s="10"/>
      <c r="O648" s="10"/>
      <c r="P648" s="10"/>
      <c r="Q648" s="10"/>
      <c r="R648" s="10"/>
      <c r="S648" s="10"/>
      <c r="T648" s="10"/>
      <c r="U648" s="10"/>
      <c r="V648" s="10"/>
    </row>
    <row r="649">
      <c r="A649" s="10"/>
      <c r="B649" s="10"/>
      <c r="C649" s="10"/>
      <c r="D649" s="10"/>
      <c r="E649" s="10"/>
      <c r="F649" s="10"/>
      <c r="G649" s="10"/>
      <c r="I649" s="10"/>
      <c r="J649" s="10"/>
      <c r="K649" s="10"/>
      <c r="L649" s="10"/>
      <c r="M649" s="10" t="str">
        <f>ifna(VLOOKUP('acft-exerc'!$M649,FIX!$A$2:$D1000,4, false),"")</f>
        <v/>
      </c>
      <c r="N649" s="10"/>
      <c r="O649" s="10"/>
      <c r="P649" s="10"/>
      <c r="Q649" s="10"/>
      <c r="R649" s="10"/>
      <c r="S649" s="10"/>
      <c r="T649" s="10"/>
      <c r="U649" s="10"/>
      <c r="V649" s="10"/>
    </row>
    <row r="650">
      <c r="A650" s="10"/>
      <c r="B650" s="10"/>
      <c r="C650" s="10"/>
      <c r="D650" s="10"/>
      <c r="E650" s="10"/>
      <c r="F650" s="10"/>
      <c r="G650" s="10"/>
      <c r="I650" s="10"/>
      <c r="J650" s="10"/>
      <c r="K650" s="10"/>
      <c r="L650" s="10"/>
      <c r="M650" s="10" t="str">
        <f>ifna(VLOOKUP('acft-exerc'!$M650,FIX!$A$2:$D1000,4, false),"")</f>
        <v/>
      </c>
      <c r="N650" s="10"/>
      <c r="O650" s="10"/>
      <c r="P650" s="10"/>
      <c r="Q650" s="10"/>
      <c r="R650" s="10"/>
      <c r="S650" s="10"/>
      <c r="T650" s="10"/>
      <c r="U650" s="10"/>
      <c r="V650" s="10"/>
    </row>
    <row r="651">
      <c r="A651" s="10"/>
      <c r="B651" s="10"/>
      <c r="C651" s="10"/>
      <c r="D651" s="10"/>
      <c r="E651" s="10"/>
      <c r="F651" s="10"/>
      <c r="G651" s="10"/>
      <c r="I651" s="10"/>
      <c r="J651" s="10"/>
      <c r="K651" s="10"/>
      <c r="L651" s="10"/>
      <c r="M651" s="10" t="str">
        <f>ifna(VLOOKUP('acft-exerc'!$M651,FIX!$A$2:$D1000,4, false),"")</f>
        <v/>
      </c>
      <c r="N651" s="10"/>
      <c r="O651" s="10"/>
      <c r="P651" s="10"/>
      <c r="Q651" s="10"/>
      <c r="R651" s="10"/>
      <c r="S651" s="10"/>
      <c r="T651" s="10"/>
      <c r="U651" s="10"/>
      <c r="V651" s="10"/>
    </row>
    <row r="652">
      <c r="A652" s="10"/>
      <c r="B652" s="10"/>
      <c r="C652" s="10"/>
      <c r="D652" s="10"/>
      <c r="E652" s="10"/>
      <c r="F652" s="10"/>
      <c r="G652" s="10"/>
      <c r="I652" s="10"/>
      <c r="J652" s="10"/>
      <c r="K652" s="10"/>
      <c r="L652" s="10"/>
      <c r="M652" s="10" t="str">
        <f>ifna(VLOOKUP('acft-exerc'!$M652,FIX!$A$2:$D1000,4, false),"")</f>
        <v/>
      </c>
      <c r="N652" s="10"/>
      <c r="O652" s="10"/>
      <c r="P652" s="10"/>
      <c r="Q652" s="10"/>
      <c r="R652" s="10"/>
      <c r="S652" s="10"/>
      <c r="T652" s="10"/>
      <c r="U652" s="10"/>
      <c r="V652" s="10"/>
    </row>
    <row r="653">
      <c r="A653" s="10"/>
      <c r="B653" s="10"/>
      <c r="C653" s="10"/>
      <c r="D653" s="10"/>
      <c r="E653" s="10"/>
      <c r="F653" s="10"/>
      <c r="G653" s="10"/>
      <c r="I653" s="10"/>
      <c r="J653" s="10"/>
      <c r="K653" s="10"/>
      <c r="L653" s="10"/>
      <c r="M653" s="10" t="str">
        <f>ifna(VLOOKUP('acft-exerc'!$M653,FIX!$A$2:$D1000,4, false),"")</f>
        <v/>
      </c>
      <c r="N653" s="10"/>
      <c r="O653" s="10"/>
      <c r="P653" s="10"/>
      <c r="Q653" s="10"/>
      <c r="R653" s="10"/>
      <c r="S653" s="10"/>
      <c r="T653" s="10"/>
      <c r="U653" s="10"/>
      <c r="V653" s="10"/>
    </row>
    <row r="654">
      <c r="A654" s="10"/>
      <c r="B654" s="10"/>
      <c r="C654" s="10"/>
      <c r="D654" s="10"/>
      <c r="E654" s="10"/>
      <c r="F654" s="10"/>
      <c r="G654" s="10"/>
      <c r="I654" s="10"/>
      <c r="J654" s="10"/>
      <c r="K654" s="10"/>
      <c r="L654" s="10"/>
      <c r="M654" s="10" t="str">
        <f>ifna(VLOOKUP('acft-exerc'!$M654,FIX!$A$2:$D1000,4, false),"")</f>
        <v/>
      </c>
      <c r="N654" s="10"/>
      <c r="O654" s="10"/>
      <c r="P654" s="10"/>
      <c r="Q654" s="10"/>
      <c r="R654" s="10"/>
      <c r="S654" s="10"/>
      <c r="T654" s="10"/>
      <c r="U654" s="10"/>
      <c r="V654" s="10"/>
    </row>
    <row r="655">
      <c r="A655" s="10"/>
      <c r="B655" s="10"/>
      <c r="C655" s="10"/>
      <c r="D655" s="10"/>
      <c r="E655" s="10"/>
      <c r="F655" s="10"/>
      <c r="G655" s="10"/>
      <c r="I655" s="10"/>
      <c r="J655" s="10"/>
      <c r="K655" s="10"/>
      <c r="L655" s="10"/>
      <c r="M655" s="10" t="str">
        <f>ifna(VLOOKUP('acft-exerc'!$M655,FIX!$A$2:$D1000,4, false),"")</f>
        <v/>
      </c>
      <c r="N655" s="10"/>
      <c r="O655" s="10"/>
      <c r="P655" s="10"/>
      <c r="Q655" s="10"/>
      <c r="R655" s="10"/>
      <c r="S655" s="10"/>
      <c r="T655" s="10"/>
      <c r="U655" s="10"/>
      <c r="V655" s="10"/>
    </row>
    <row r="656">
      <c r="A656" s="10"/>
      <c r="B656" s="10"/>
      <c r="C656" s="10"/>
      <c r="D656" s="10"/>
      <c r="E656" s="10"/>
      <c r="F656" s="10"/>
      <c r="G656" s="10"/>
      <c r="I656" s="10"/>
      <c r="J656" s="10"/>
      <c r="K656" s="10"/>
      <c r="L656" s="10"/>
      <c r="M656" s="10" t="str">
        <f>ifna(VLOOKUP('acft-exerc'!$M656,FIX!$A$2:$D1000,4, false),"")</f>
        <v/>
      </c>
      <c r="N656" s="10"/>
      <c r="O656" s="10"/>
      <c r="P656" s="10"/>
      <c r="Q656" s="10"/>
      <c r="R656" s="10"/>
      <c r="S656" s="10"/>
      <c r="T656" s="10"/>
      <c r="U656" s="10"/>
      <c r="V656" s="10"/>
    </row>
    <row r="657">
      <c r="A657" s="10"/>
      <c r="B657" s="10"/>
      <c r="C657" s="10"/>
      <c r="D657" s="10"/>
      <c r="E657" s="10"/>
      <c r="F657" s="10"/>
      <c r="G657" s="10"/>
      <c r="I657" s="10"/>
      <c r="J657" s="10"/>
      <c r="K657" s="10"/>
      <c r="L657" s="10"/>
      <c r="M657" s="10" t="str">
        <f>ifna(VLOOKUP('acft-exerc'!$M657,FIX!$A$2:$D1000,4, false),"")</f>
        <v/>
      </c>
      <c r="N657" s="10"/>
      <c r="O657" s="10"/>
      <c r="P657" s="10"/>
      <c r="Q657" s="10"/>
      <c r="R657" s="10"/>
      <c r="S657" s="10"/>
      <c r="T657" s="10"/>
      <c r="U657" s="10"/>
      <c r="V657" s="10"/>
    </row>
    <row r="658">
      <c r="A658" s="10"/>
      <c r="B658" s="10"/>
      <c r="C658" s="10"/>
      <c r="D658" s="10"/>
      <c r="E658" s="10"/>
      <c r="F658" s="10"/>
      <c r="G658" s="10"/>
      <c r="I658" s="10"/>
      <c r="J658" s="10"/>
      <c r="K658" s="10"/>
      <c r="L658" s="10"/>
      <c r="M658" s="10" t="str">
        <f>ifna(VLOOKUP('acft-exerc'!$M658,FIX!$A$2:$D1000,4, false),"")</f>
        <v/>
      </c>
      <c r="N658" s="10"/>
      <c r="O658" s="10"/>
      <c r="P658" s="10"/>
      <c r="Q658" s="10"/>
      <c r="R658" s="10"/>
      <c r="S658" s="10"/>
      <c r="T658" s="10"/>
      <c r="U658" s="10"/>
      <c r="V658" s="10"/>
    </row>
    <row r="659">
      <c r="A659" s="10"/>
      <c r="B659" s="10"/>
      <c r="C659" s="10"/>
      <c r="D659" s="10"/>
      <c r="E659" s="10"/>
      <c r="F659" s="10"/>
      <c r="G659" s="10"/>
      <c r="I659" s="10"/>
      <c r="J659" s="10"/>
      <c r="K659" s="10"/>
      <c r="L659" s="10"/>
      <c r="M659" s="10" t="str">
        <f>ifna(VLOOKUP('acft-exerc'!$M659,FIX!$A$2:$D1000,4, false),"")</f>
        <v/>
      </c>
      <c r="N659" s="10"/>
      <c r="O659" s="10"/>
      <c r="P659" s="10"/>
      <c r="Q659" s="10"/>
      <c r="R659" s="10"/>
      <c r="S659" s="10"/>
      <c r="T659" s="10"/>
      <c r="U659" s="10"/>
      <c r="V659" s="10"/>
    </row>
    <row r="660">
      <c r="A660" s="10"/>
      <c r="B660" s="10"/>
      <c r="C660" s="10"/>
      <c r="D660" s="10"/>
      <c r="E660" s="10"/>
      <c r="F660" s="10"/>
      <c r="G660" s="10"/>
      <c r="I660" s="10"/>
      <c r="J660" s="10"/>
      <c r="K660" s="10"/>
      <c r="L660" s="10"/>
      <c r="M660" s="10" t="str">
        <f>ifna(VLOOKUP('acft-exerc'!$M660,FIX!$A$2:$D1000,4, false),"")</f>
        <v/>
      </c>
      <c r="N660" s="10"/>
      <c r="O660" s="10"/>
      <c r="P660" s="10"/>
      <c r="Q660" s="10"/>
      <c r="R660" s="10"/>
      <c r="S660" s="10"/>
      <c r="T660" s="10"/>
      <c r="U660" s="10"/>
      <c r="V660" s="10"/>
    </row>
    <row r="661">
      <c r="A661" s="10"/>
      <c r="B661" s="10"/>
      <c r="C661" s="10"/>
      <c r="D661" s="10"/>
      <c r="E661" s="10"/>
      <c r="F661" s="10"/>
      <c r="G661" s="10"/>
      <c r="I661" s="10"/>
      <c r="J661" s="10"/>
      <c r="K661" s="10"/>
      <c r="L661" s="10"/>
      <c r="M661" s="10" t="str">
        <f>ifna(VLOOKUP('acft-exerc'!$M661,FIX!$A$2:$D1000,4, false),"")</f>
        <v/>
      </c>
      <c r="N661" s="10"/>
      <c r="O661" s="10"/>
      <c r="P661" s="10"/>
      <c r="Q661" s="10"/>
      <c r="R661" s="10"/>
      <c r="S661" s="10"/>
      <c r="T661" s="10"/>
      <c r="U661" s="10"/>
      <c r="V661" s="10"/>
    </row>
    <row r="662">
      <c r="A662" s="10"/>
      <c r="B662" s="10"/>
      <c r="C662" s="10"/>
      <c r="D662" s="10"/>
      <c r="E662" s="10"/>
      <c r="F662" s="10"/>
      <c r="G662" s="10"/>
      <c r="I662" s="10"/>
      <c r="J662" s="10"/>
      <c r="K662" s="10"/>
      <c r="L662" s="10"/>
      <c r="M662" s="10" t="str">
        <f>ifna(VLOOKUP('acft-exerc'!$M662,FIX!$A$2:$D1000,4, false),"")</f>
        <v/>
      </c>
      <c r="N662" s="10"/>
      <c r="O662" s="10"/>
      <c r="P662" s="10"/>
      <c r="Q662" s="10"/>
      <c r="R662" s="10"/>
      <c r="S662" s="10"/>
      <c r="T662" s="10"/>
      <c r="U662" s="10"/>
      <c r="V662" s="10"/>
    </row>
    <row r="663">
      <c r="A663" s="10"/>
      <c r="B663" s="10"/>
      <c r="C663" s="10"/>
      <c r="D663" s="10"/>
      <c r="E663" s="10"/>
      <c r="F663" s="10"/>
      <c r="G663" s="10"/>
      <c r="I663" s="10"/>
      <c r="J663" s="10"/>
      <c r="K663" s="10"/>
      <c r="L663" s="10"/>
      <c r="M663" s="10" t="str">
        <f>ifna(VLOOKUP('acft-exerc'!$M663,FIX!$A$2:$D1000,4, false),"")</f>
        <v/>
      </c>
      <c r="N663" s="10"/>
      <c r="O663" s="10"/>
      <c r="P663" s="10"/>
      <c r="Q663" s="10"/>
      <c r="R663" s="10"/>
      <c r="S663" s="10"/>
      <c r="T663" s="10"/>
      <c r="U663" s="10"/>
      <c r="V663" s="10"/>
    </row>
    <row r="664">
      <c r="A664" s="10"/>
      <c r="B664" s="10"/>
      <c r="C664" s="10"/>
      <c r="D664" s="10"/>
      <c r="E664" s="10"/>
      <c r="F664" s="10"/>
      <c r="G664" s="10"/>
      <c r="I664" s="10"/>
      <c r="J664" s="10"/>
      <c r="K664" s="10"/>
      <c r="L664" s="10"/>
      <c r="M664" s="10" t="str">
        <f>ifna(VLOOKUP('acft-exerc'!$M664,FIX!$A$2:$D1000,4, false),"")</f>
        <v/>
      </c>
      <c r="N664" s="10"/>
      <c r="O664" s="10"/>
      <c r="P664" s="10"/>
      <c r="Q664" s="10"/>
      <c r="R664" s="10"/>
      <c r="S664" s="10"/>
      <c r="T664" s="10"/>
      <c r="U664" s="10"/>
      <c r="V664" s="10"/>
    </row>
    <row r="665">
      <c r="A665" s="10"/>
      <c r="B665" s="10"/>
      <c r="C665" s="10"/>
      <c r="D665" s="10"/>
      <c r="E665" s="10"/>
      <c r="F665" s="10"/>
      <c r="G665" s="10"/>
      <c r="I665" s="10"/>
      <c r="J665" s="10"/>
      <c r="K665" s="10"/>
      <c r="L665" s="10"/>
      <c r="M665" s="10" t="str">
        <f>ifna(VLOOKUP('acft-exerc'!$M665,FIX!$A$2:$D1000,4, false),"")</f>
        <v/>
      </c>
      <c r="N665" s="10"/>
      <c r="O665" s="10"/>
      <c r="P665" s="10"/>
      <c r="Q665" s="10"/>
      <c r="R665" s="10"/>
      <c r="S665" s="10"/>
      <c r="T665" s="10"/>
      <c r="U665" s="10"/>
      <c r="V665" s="10"/>
    </row>
    <row r="666">
      <c r="A666" s="10"/>
      <c r="B666" s="10"/>
      <c r="C666" s="10"/>
      <c r="D666" s="10"/>
      <c r="E666" s="10"/>
      <c r="F666" s="10"/>
      <c r="G666" s="10"/>
      <c r="I666" s="10"/>
      <c r="J666" s="10"/>
      <c r="K666" s="10"/>
      <c r="L666" s="10"/>
      <c r="M666" s="10" t="str">
        <f>ifna(VLOOKUP('acft-exerc'!$M666,FIX!$A$2:$D1000,4, false),"")</f>
        <v/>
      </c>
      <c r="N666" s="10"/>
      <c r="O666" s="10"/>
      <c r="P666" s="10"/>
      <c r="Q666" s="10"/>
      <c r="R666" s="10"/>
      <c r="S666" s="10"/>
      <c r="T666" s="10"/>
      <c r="U666" s="10"/>
      <c r="V666" s="10"/>
    </row>
    <row r="667">
      <c r="A667" s="10"/>
      <c r="B667" s="10"/>
      <c r="C667" s="10"/>
      <c r="D667" s="10"/>
      <c r="E667" s="10"/>
      <c r="F667" s="10"/>
      <c r="G667" s="10"/>
      <c r="I667" s="10"/>
      <c r="J667" s="10"/>
      <c r="K667" s="10"/>
      <c r="L667" s="10"/>
      <c r="M667" s="10" t="str">
        <f>ifna(VLOOKUP('acft-exerc'!$M667,FIX!$A$2:$D1000,4, false),"")</f>
        <v/>
      </c>
      <c r="N667" s="10"/>
      <c r="O667" s="10"/>
      <c r="P667" s="10"/>
      <c r="Q667" s="10"/>
      <c r="R667" s="10"/>
      <c r="S667" s="10"/>
      <c r="T667" s="10"/>
      <c r="U667" s="10"/>
      <c r="V667" s="10"/>
    </row>
    <row r="668">
      <c r="A668" s="10"/>
      <c r="B668" s="10"/>
      <c r="C668" s="10"/>
      <c r="D668" s="10"/>
      <c r="E668" s="10"/>
      <c r="F668" s="10"/>
      <c r="G668" s="10"/>
      <c r="I668" s="10"/>
      <c r="J668" s="10"/>
      <c r="K668" s="10"/>
      <c r="L668" s="10"/>
      <c r="M668" s="10" t="str">
        <f>ifna(VLOOKUP('acft-exerc'!$M668,FIX!$A$2:$D1000,4, false),"")</f>
        <v/>
      </c>
      <c r="N668" s="10"/>
      <c r="O668" s="10"/>
      <c r="P668" s="10"/>
      <c r="Q668" s="10"/>
      <c r="R668" s="10"/>
      <c r="S668" s="10"/>
      <c r="T668" s="10"/>
      <c r="U668" s="10"/>
      <c r="V668" s="10"/>
    </row>
    <row r="669">
      <c r="A669" s="10"/>
      <c r="B669" s="10"/>
      <c r="C669" s="10"/>
      <c r="D669" s="10"/>
      <c r="E669" s="10"/>
      <c r="F669" s="10"/>
      <c r="G669" s="10"/>
      <c r="I669" s="10"/>
      <c r="J669" s="10"/>
      <c r="K669" s="10"/>
      <c r="L669" s="10"/>
      <c r="M669" s="10" t="str">
        <f>ifna(VLOOKUP('acft-exerc'!$M669,FIX!$A$2:$D1000,4, false),"")</f>
        <v/>
      </c>
      <c r="N669" s="10"/>
      <c r="O669" s="10"/>
      <c r="P669" s="10"/>
      <c r="Q669" s="10"/>
      <c r="R669" s="10"/>
      <c r="S669" s="10"/>
      <c r="T669" s="10"/>
      <c r="U669" s="10"/>
      <c r="V669" s="10"/>
    </row>
    <row r="670">
      <c r="A670" s="10"/>
      <c r="B670" s="10"/>
      <c r="C670" s="10"/>
      <c r="D670" s="10"/>
      <c r="E670" s="10"/>
      <c r="F670" s="10"/>
      <c r="G670" s="10"/>
      <c r="I670" s="10"/>
      <c r="J670" s="10"/>
      <c r="K670" s="10"/>
      <c r="L670" s="10"/>
      <c r="M670" s="10" t="str">
        <f>ifna(VLOOKUP('acft-exerc'!$M670,FIX!$A$2:$D1000,4, false),"")</f>
        <v/>
      </c>
      <c r="N670" s="10"/>
      <c r="O670" s="10"/>
      <c r="P670" s="10"/>
      <c r="Q670" s="10"/>
      <c r="R670" s="10"/>
      <c r="S670" s="10"/>
      <c r="T670" s="10"/>
      <c r="U670" s="10"/>
      <c r="V670" s="10"/>
    </row>
    <row r="671">
      <c r="A671" s="10"/>
      <c r="B671" s="10"/>
      <c r="C671" s="10"/>
      <c r="D671" s="10"/>
      <c r="E671" s="10"/>
      <c r="F671" s="10"/>
      <c r="G671" s="10"/>
      <c r="I671" s="10"/>
      <c r="J671" s="10"/>
      <c r="K671" s="10"/>
      <c r="L671" s="10"/>
      <c r="M671" s="10" t="str">
        <f>ifna(VLOOKUP('acft-exerc'!$M671,FIX!$A$2:$D1000,4, false),"")</f>
        <v/>
      </c>
      <c r="N671" s="10"/>
      <c r="O671" s="10"/>
      <c r="P671" s="10"/>
      <c r="Q671" s="10"/>
      <c r="R671" s="10"/>
      <c r="S671" s="10"/>
      <c r="T671" s="10"/>
      <c r="U671" s="10"/>
      <c r="V671" s="10"/>
    </row>
    <row r="672">
      <c r="A672" s="10"/>
      <c r="B672" s="10"/>
      <c r="C672" s="10"/>
      <c r="D672" s="10"/>
      <c r="E672" s="10"/>
      <c r="F672" s="10"/>
      <c r="G672" s="10"/>
      <c r="I672" s="10"/>
      <c r="J672" s="10"/>
      <c r="K672" s="10"/>
      <c r="L672" s="10"/>
      <c r="M672" s="10" t="str">
        <f>ifna(VLOOKUP('acft-exerc'!$M672,FIX!$A$2:$D1000,4, false),"")</f>
        <v/>
      </c>
      <c r="N672" s="10"/>
      <c r="O672" s="10"/>
      <c r="P672" s="10"/>
      <c r="Q672" s="10"/>
      <c r="R672" s="10"/>
      <c r="S672" s="10"/>
      <c r="T672" s="10"/>
      <c r="U672" s="10"/>
      <c r="V672" s="10"/>
    </row>
    <row r="673">
      <c r="A673" s="10"/>
      <c r="B673" s="10"/>
      <c r="C673" s="10"/>
      <c r="D673" s="10"/>
      <c r="E673" s="10"/>
      <c r="F673" s="10"/>
      <c r="G673" s="10"/>
      <c r="I673" s="10"/>
      <c r="J673" s="10"/>
      <c r="K673" s="10"/>
      <c r="L673" s="10"/>
      <c r="M673" s="10" t="str">
        <f>ifna(VLOOKUP('acft-exerc'!$M673,FIX!$A$2:$D1000,4, false),"")</f>
        <v/>
      </c>
      <c r="N673" s="10"/>
      <c r="O673" s="10"/>
      <c r="P673" s="10"/>
      <c r="Q673" s="10"/>
      <c r="R673" s="10"/>
      <c r="S673" s="10"/>
      <c r="T673" s="10"/>
      <c r="U673" s="10"/>
      <c r="V673" s="10"/>
    </row>
    <row r="674">
      <c r="A674" s="10"/>
      <c r="B674" s="10"/>
      <c r="C674" s="10"/>
      <c r="D674" s="10"/>
      <c r="E674" s="10"/>
      <c r="F674" s="10"/>
      <c r="G674" s="10"/>
      <c r="I674" s="10"/>
      <c r="J674" s="10"/>
      <c r="K674" s="10"/>
      <c r="L674" s="10"/>
      <c r="M674" s="10" t="str">
        <f>ifna(VLOOKUP('acft-exerc'!$M674,FIX!$A$2:$D1000,4, false),"")</f>
        <v/>
      </c>
      <c r="N674" s="10"/>
      <c r="O674" s="10"/>
      <c r="P674" s="10"/>
      <c r="Q674" s="10"/>
      <c r="R674" s="10"/>
      <c r="S674" s="10"/>
      <c r="T674" s="10"/>
      <c r="U674" s="10"/>
      <c r="V674" s="10"/>
    </row>
    <row r="675">
      <c r="A675" s="10"/>
      <c r="B675" s="10"/>
      <c r="C675" s="10"/>
      <c r="D675" s="10"/>
      <c r="E675" s="10"/>
      <c r="F675" s="10"/>
      <c r="G675" s="10"/>
      <c r="I675" s="10"/>
      <c r="J675" s="10"/>
      <c r="K675" s="10"/>
      <c r="L675" s="10"/>
      <c r="M675" s="10" t="str">
        <f>ifna(VLOOKUP('acft-exerc'!$M675,FIX!$A$2:$D1000,4, false),"")</f>
        <v/>
      </c>
      <c r="N675" s="10"/>
      <c r="O675" s="10"/>
      <c r="P675" s="10"/>
      <c r="Q675" s="10"/>
      <c r="R675" s="10"/>
      <c r="S675" s="10"/>
      <c r="T675" s="10"/>
      <c r="U675" s="10"/>
      <c r="V675" s="10"/>
    </row>
    <row r="676">
      <c r="A676" s="10"/>
      <c r="B676" s="10"/>
      <c r="C676" s="10"/>
      <c r="D676" s="10"/>
      <c r="E676" s="10"/>
      <c r="F676" s="10"/>
      <c r="G676" s="10"/>
      <c r="I676" s="10"/>
      <c r="J676" s="10"/>
      <c r="K676" s="10"/>
      <c r="L676" s="10"/>
      <c r="M676" s="10" t="str">
        <f>ifna(VLOOKUP('acft-exerc'!$M676,FIX!$A$2:$D1000,4, false),"")</f>
        <v/>
      </c>
      <c r="N676" s="10"/>
      <c r="O676" s="10"/>
      <c r="P676" s="10"/>
      <c r="Q676" s="10"/>
      <c r="R676" s="10"/>
      <c r="S676" s="10"/>
      <c r="T676" s="10"/>
      <c r="U676" s="10"/>
      <c r="V676" s="10"/>
    </row>
    <row r="677">
      <c r="A677" s="10"/>
      <c r="B677" s="10"/>
      <c r="C677" s="10"/>
      <c r="D677" s="10"/>
      <c r="E677" s="10"/>
      <c r="F677" s="10"/>
      <c r="G677" s="10"/>
      <c r="I677" s="10"/>
      <c r="J677" s="10"/>
      <c r="K677" s="10"/>
      <c r="L677" s="10"/>
      <c r="M677" s="10" t="str">
        <f>ifna(VLOOKUP('acft-exerc'!$M677,FIX!$A$2:$D1000,4, false),"")</f>
        <v/>
      </c>
      <c r="N677" s="10"/>
      <c r="O677" s="10"/>
      <c r="P677" s="10"/>
      <c r="Q677" s="10"/>
      <c r="R677" s="10"/>
      <c r="S677" s="10"/>
      <c r="T677" s="10"/>
      <c r="U677" s="10"/>
      <c r="V677" s="10"/>
    </row>
    <row r="678">
      <c r="A678" s="10"/>
      <c r="B678" s="10"/>
      <c r="C678" s="10"/>
      <c r="D678" s="10"/>
      <c r="E678" s="10"/>
      <c r="F678" s="10"/>
      <c r="G678" s="10"/>
      <c r="I678" s="10"/>
      <c r="J678" s="10"/>
      <c r="K678" s="10"/>
      <c r="L678" s="10"/>
      <c r="M678" s="10" t="str">
        <f>ifna(VLOOKUP('acft-exerc'!$M678,FIX!$A$2:$D1000,4, false),"")</f>
        <v/>
      </c>
      <c r="N678" s="10"/>
      <c r="O678" s="10"/>
      <c r="P678" s="10"/>
      <c r="Q678" s="10"/>
      <c r="R678" s="10"/>
      <c r="S678" s="10"/>
      <c r="T678" s="10"/>
      <c r="U678" s="10"/>
      <c r="V678" s="10"/>
    </row>
    <row r="679">
      <c r="A679" s="10"/>
      <c r="B679" s="10"/>
      <c r="C679" s="10"/>
      <c r="D679" s="10"/>
      <c r="E679" s="10"/>
      <c r="F679" s="10"/>
      <c r="G679" s="10"/>
      <c r="I679" s="10"/>
      <c r="J679" s="10"/>
      <c r="K679" s="10"/>
      <c r="L679" s="10"/>
      <c r="M679" s="10" t="str">
        <f>ifna(VLOOKUP('acft-exerc'!$M679,FIX!$A$2:$D1000,4, false),"")</f>
        <v/>
      </c>
      <c r="N679" s="10"/>
      <c r="O679" s="10"/>
      <c r="P679" s="10"/>
      <c r="Q679" s="10"/>
      <c r="R679" s="10"/>
      <c r="S679" s="10"/>
      <c r="T679" s="10"/>
      <c r="U679" s="10"/>
      <c r="V679" s="10"/>
    </row>
    <row r="680">
      <c r="A680" s="10"/>
      <c r="B680" s="10"/>
      <c r="C680" s="10"/>
      <c r="D680" s="10"/>
      <c r="E680" s="10"/>
      <c r="F680" s="10"/>
      <c r="G680" s="10"/>
      <c r="I680" s="10"/>
      <c r="J680" s="10"/>
      <c r="K680" s="10"/>
      <c r="L680" s="10"/>
      <c r="M680" s="10" t="str">
        <f>ifna(VLOOKUP('acft-exerc'!$M680,FIX!$A$2:$D1000,4, false),"")</f>
        <v/>
      </c>
      <c r="N680" s="10"/>
      <c r="O680" s="10"/>
      <c r="P680" s="10"/>
      <c r="Q680" s="10"/>
      <c r="R680" s="10"/>
      <c r="S680" s="10"/>
      <c r="T680" s="10"/>
      <c r="U680" s="10"/>
      <c r="V680" s="10"/>
    </row>
    <row r="681">
      <c r="A681" s="10"/>
      <c r="B681" s="10"/>
      <c r="C681" s="10"/>
      <c r="D681" s="10"/>
      <c r="E681" s="10"/>
      <c r="F681" s="10"/>
      <c r="G681" s="10"/>
      <c r="I681" s="10"/>
      <c r="J681" s="10"/>
      <c r="K681" s="10"/>
      <c r="L681" s="10"/>
      <c r="M681" s="10" t="str">
        <f>ifna(VLOOKUP('acft-exerc'!$M681,FIX!$A$2:$D1000,4, false),"")</f>
        <v/>
      </c>
      <c r="N681" s="10"/>
      <c r="O681" s="10"/>
      <c r="P681" s="10"/>
      <c r="Q681" s="10"/>
      <c r="R681" s="10"/>
      <c r="S681" s="10"/>
      <c r="T681" s="10"/>
      <c r="U681" s="10"/>
      <c r="V681" s="10"/>
    </row>
    <row r="682">
      <c r="A682" s="10"/>
      <c r="B682" s="10"/>
      <c r="C682" s="10"/>
      <c r="D682" s="10"/>
      <c r="E682" s="10"/>
      <c r="F682" s="10"/>
      <c r="G682" s="10"/>
      <c r="I682" s="10"/>
      <c r="J682" s="10"/>
      <c r="K682" s="10"/>
      <c r="L682" s="10"/>
      <c r="M682" s="10" t="str">
        <f>ifna(VLOOKUP('acft-exerc'!$M682,FIX!$A$2:$D1000,4, false),"")</f>
        <v/>
      </c>
      <c r="N682" s="10"/>
      <c r="O682" s="10"/>
      <c r="P682" s="10"/>
      <c r="Q682" s="10"/>
      <c r="R682" s="10"/>
      <c r="S682" s="10"/>
      <c r="T682" s="10"/>
      <c r="U682" s="10"/>
      <c r="V682" s="10"/>
    </row>
    <row r="683">
      <c r="A683" s="10"/>
      <c r="B683" s="10"/>
      <c r="C683" s="10"/>
      <c r="D683" s="10"/>
      <c r="E683" s="10"/>
      <c r="F683" s="10"/>
      <c r="G683" s="10"/>
      <c r="I683" s="10"/>
      <c r="J683" s="10"/>
      <c r="K683" s="10"/>
      <c r="L683" s="10"/>
      <c r="M683" s="10" t="str">
        <f>ifna(VLOOKUP('acft-exerc'!$M683,FIX!$A$2:$D1000,4, false),"")</f>
        <v/>
      </c>
      <c r="N683" s="10"/>
      <c r="O683" s="10"/>
      <c r="P683" s="10"/>
      <c r="Q683" s="10"/>
      <c r="R683" s="10"/>
      <c r="S683" s="10"/>
      <c r="T683" s="10"/>
      <c r="U683" s="10"/>
      <c r="V683" s="10"/>
    </row>
    <row r="684">
      <c r="A684" s="10"/>
      <c r="B684" s="10"/>
      <c r="C684" s="10"/>
      <c r="D684" s="10"/>
      <c r="E684" s="10"/>
      <c r="F684" s="10"/>
      <c r="G684" s="10"/>
      <c r="I684" s="10"/>
      <c r="J684" s="10"/>
      <c r="K684" s="10"/>
      <c r="L684" s="10"/>
      <c r="M684" s="10" t="str">
        <f>ifna(VLOOKUP('acft-exerc'!$M684,FIX!$A$2:$D1000,4, false),"")</f>
        <v/>
      </c>
      <c r="N684" s="10"/>
      <c r="O684" s="10"/>
      <c r="P684" s="10"/>
      <c r="Q684" s="10"/>
      <c r="R684" s="10"/>
      <c r="S684" s="10"/>
      <c r="T684" s="10"/>
      <c r="U684" s="10"/>
      <c r="V684" s="10"/>
    </row>
    <row r="685">
      <c r="A685" s="10"/>
      <c r="B685" s="10"/>
      <c r="C685" s="10"/>
      <c r="D685" s="10"/>
      <c r="E685" s="10"/>
      <c r="F685" s="10"/>
      <c r="G685" s="10"/>
      <c r="I685" s="10"/>
      <c r="J685" s="10"/>
      <c r="K685" s="10"/>
      <c r="L685" s="10"/>
      <c r="M685" s="10" t="str">
        <f>ifna(VLOOKUP('acft-exerc'!$M685,FIX!$A$2:$D1000,4, false),"")</f>
        <v/>
      </c>
      <c r="N685" s="10"/>
      <c r="O685" s="10"/>
      <c r="P685" s="10"/>
      <c r="Q685" s="10"/>
      <c r="R685" s="10"/>
      <c r="S685" s="10"/>
      <c r="T685" s="10"/>
      <c r="U685" s="10"/>
      <c r="V685" s="10"/>
    </row>
    <row r="686">
      <c r="A686" s="10"/>
      <c r="B686" s="10"/>
      <c r="C686" s="10"/>
      <c r="D686" s="10"/>
      <c r="E686" s="10"/>
      <c r="F686" s="10"/>
      <c r="G686" s="10"/>
      <c r="I686" s="10"/>
      <c r="J686" s="10"/>
      <c r="K686" s="10"/>
      <c r="L686" s="10"/>
      <c r="M686" s="10" t="str">
        <f>ifna(VLOOKUP('acft-exerc'!$M686,FIX!$A$2:$D1000,4, false),"")</f>
        <v/>
      </c>
      <c r="N686" s="10"/>
      <c r="O686" s="10"/>
      <c r="P686" s="10"/>
      <c r="Q686" s="10"/>
      <c r="R686" s="10"/>
      <c r="S686" s="10"/>
      <c r="T686" s="10"/>
      <c r="U686" s="10"/>
      <c r="V686" s="10"/>
    </row>
    <row r="687">
      <c r="A687" s="10"/>
      <c r="B687" s="10"/>
      <c r="C687" s="10"/>
      <c r="D687" s="10"/>
      <c r="E687" s="10"/>
      <c r="F687" s="10"/>
      <c r="G687" s="10"/>
      <c r="I687" s="10"/>
      <c r="J687" s="10"/>
      <c r="K687" s="10"/>
      <c r="L687" s="10"/>
      <c r="M687" s="10" t="str">
        <f>ifna(VLOOKUP('acft-exerc'!$M687,FIX!$A$2:$D1000,4, false),"")</f>
        <v/>
      </c>
      <c r="N687" s="10"/>
      <c r="O687" s="10"/>
      <c r="P687" s="10"/>
      <c r="Q687" s="10"/>
      <c r="R687" s="10"/>
      <c r="S687" s="10"/>
      <c r="T687" s="10"/>
      <c r="U687" s="10"/>
      <c r="V687" s="10"/>
    </row>
    <row r="688">
      <c r="A688" s="10"/>
      <c r="B688" s="10"/>
      <c r="C688" s="10"/>
      <c r="D688" s="10"/>
      <c r="E688" s="10"/>
      <c r="F688" s="10"/>
      <c r="G688" s="10"/>
      <c r="I688" s="10"/>
      <c r="J688" s="10"/>
      <c r="K688" s="10"/>
      <c r="L688" s="10"/>
      <c r="M688" s="10" t="str">
        <f>ifna(VLOOKUP('acft-exerc'!$M688,FIX!$A$2:$D1000,4, false),"")</f>
        <v/>
      </c>
      <c r="N688" s="10"/>
      <c r="O688" s="10"/>
      <c r="P688" s="10"/>
      <c r="Q688" s="10"/>
      <c r="R688" s="10"/>
      <c r="S688" s="10"/>
      <c r="T688" s="10"/>
      <c r="U688" s="10"/>
      <c r="V688" s="10"/>
    </row>
    <row r="689">
      <c r="A689" s="10"/>
      <c r="B689" s="10"/>
      <c r="C689" s="10"/>
      <c r="D689" s="10"/>
      <c r="E689" s="10"/>
      <c r="F689" s="10"/>
      <c r="G689" s="10"/>
      <c r="I689" s="10"/>
      <c r="J689" s="10"/>
      <c r="K689" s="10"/>
      <c r="L689" s="10"/>
      <c r="M689" s="10" t="str">
        <f>ifna(VLOOKUP('acft-exerc'!$M689,FIX!$A$2:$D1000,4, false),"")</f>
        <v/>
      </c>
      <c r="N689" s="10"/>
      <c r="O689" s="10"/>
      <c r="P689" s="10"/>
      <c r="Q689" s="10"/>
      <c r="R689" s="10"/>
      <c r="S689" s="10"/>
      <c r="T689" s="10"/>
      <c r="U689" s="10"/>
      <c r="V689" s="10"/>
    </row>
    <row r="690">
      <c r="A690" s="10"/>
      <c r="B690" s="10"/>
      <c r="C690" s="10"/>
      <c r="D690" s="10"/>
      <c r="E690" s="10"/>
      <c r="F690" s="10"/>
      <c r="G690" s="10"/>
      <c r="I690" s="10"/>
      <c r="J690" s="10"/>
      <c r="K690" s="10"/>
      <c r="L690" s="10"/>
      <c r="M690" s="10" t="str">
        <f>ifna(VLOOKUP('acft-exerc'!$M690,FIX!$A$2:$D1000,4, false),"")</f>
        <v/>
      </c>
      <c r="N690" s="10"/>
      <c r="O690" s="10"/>
      <c r="P690" s="10"/>
      <c r="Q690" s="10"/>
      <c r="R690" s="10"/>
      <c r="S690" s="10"/>
      <c r="T690" s="10"/>
      <c r="U690" s="10"/>
      <c r="V690" s="10"/>
    </row>
    <row r="691">
      <c r="A691" s="10"/>
      <c r="B691" s="10"/>
      <c r="C691" s="10"/>
      <c r="D691" s="10"/>
      <c r="E691" s="10"/>
      <c r="F691" s="10"/>
      <c r="G691" s="10"/>
      <c r="I691" s="10"/>
      <c r="J691" s="10"/>
      <c r="K691" s="10"/>
      <c r="L691" s="10"/>
      <c r="M691" s="10" t="str">
        <f>ifna(VLOOKUP('acft-exerc'!$M691,FIX!$A$2:$D1000,4, false),"")</f>
        <v/>
      </c>
      <c r="N691" s="10"/>
      <c r="O691" s="10"/>
      <c r="P691" s="10"/>
      <c r="Q691" s="10"/>
      <c r="R691" s="10"/>
      <c r="S691" s="10"/>
      <c r="T691" s="10"/>
      <c r="U691" s="10"/>
      <c r="V691" s="10"/>
    </row>
    <row r="692">
      <c r="A692" s="10"/>
      <c r="B692" s="10"/>
      <c r="C692" s="10"/>
      <c r="D692" s="10"/>
      <c r="E692" s="10"/>
      <c r="F692" s="10"/>
      <c r="G692" s="10"/>
      <c r="I692" s="10"/>
      <c r="J692" s="10"/>
      <c r="K692" s="10"/>
      <c r="L692" s="10"/>
      <c r="M692" s="10" t="str">
        <f>ifna(VLOOKUP('acft-exerc'!$M692,FIX!$A$2:$D1000,4, false),"")</f>
        <v/>
      </c>
      <c r="N692" s="10"/>
      <c r="O692" s="10"/>
      <c r="P692" s="10"/>
      <c r="Q692" s="10"/>
      <c r="R692" s="10"/>
      <c r="S692" s="10"/>
      <c r="T692" s="10"/>
      <c r="U692" s="10"/>
      <c r="V692" s="10"/>
    </row>
    <row r="693">
      <c r="A693" s="10"/>
      <c r="B693" s="10"/>
      <c r="C693" s="10"/>
      <c r="D693" s="10"/>
      <c r="E693" s="10"/>
      <c r="F693" s="10"/>
      <c r="G693" s="10"/>
      <c r="I693" s="10"/>
      <c r="J693" s="10"/>
      <c r="K693" s="10"/>
      <c r="L693" s="10"/>
      <c r="M693" s="10" t="str">
        <f>ifna(VLOOKUP('acft-exerc'!$M693,FIX!$A$2:$D1000,4, false),"")</f>
        <v/>
      </c>
      <c r="N693" s="10"/>
      <c r="O693" s="10"/>
      <c r="P693" s="10"/>
      <c r="Q693" s="10"/>
      <c r="R693" s="10"/>
      <c r="S693" s="10"/>
      <c r="T693" s="10"/>
      <c r="U693" s="10"/>
      <c r="V693" s="10"/>
    </row>
    <row r="694">
      <c r="A694" s="10"/>
      <c r="B694" s="10"/>
      <c r="C694" s="10"/>
      <c r="D694" s="10"/>
      <c r="E694" s="10"/>
      <c r="F694" s="10"/>
      <c r="G694" s="10"/>
      <c r="I694" s="10"/>
      <c r="J694" s="10"/>
      <c r="K694" s="10"/>
      <c r="L694" s="10"/>
      <c r="M694" s="10" t="str">
        <f>ifna(VLOOKUP('acft-exerc'!$M694,FIX!$A$2:$D1000,4, false),"")</f>
        <v/>
      </c>
      <c r="N694" s="10"/>
      <c r="O694" s="10"/>
      <c r="P694" s="10"/>
      <c r="Q694" s="10"/>
      <c r="R694" s="10"/>
      <c r="S694" s="10"/>
      <c r="T694" s="10"/>
      <c r="U694" s="10"/>
      <c r="V694" s="10"/>
    </row>
    <row r="695">
      <c r="A695" s="10"/>
      <c r="B695" s="10"/>
      <c r="C695" s="10"/>
      <c r="D695" s="10"/>
      <c r="E695" s="10"/>
      <c r="F695" s="10"/>
      <c r="G695" s="10"/>
      <c r="I695" s="10"/>
      <c r="J695" s="10"/>
      <c r="K695" s="10"/>
      <c r="L695" s="10"/>
      <c r="M695" s="10" t="str">
        <f>ifna(VLOOKUP('acft-exerc'!$M695,FIX!$A$2:$D1000,4, false),"")</f>
        <v/>
      </c>
      <c r="N695" s="10"/>
      <c r="O695" s="10"/>
      <c r="P695" s="10"/>
      <c r="Q695" s="10"/>
      <c r="R695" s="10"/>
      <c r="S695" s="10"/>
      <c r="T695" s="10"/>
      <c r="U695" s="10"/>
      <c r="V695" s="10"/>
    </row>
    <row r="696">
      <c r="A696" s="10"/>
      <c r="B696" s="10"/>
      <c r="C696" s="10"/>
      <c r="D696" s="10"/>
      <c r="E696" s="10"/>
      <c r="F696" s="10"/>
      <c r="G696" s="10"/>
      <c r="I696" s="10"/>
      <c r="J696" s="10"/>
      <c r="K696" s="10"/>
      <c r="L696" s="10"/>
      <c r="M696" s="10" t="str">
        <f>ifna(VLOOKUP('acft-exerc'!$M696,FIX!$A$2:$D1000,4, false),"")</f>
        <v/>
      </c>
      <c r="N696" s="10"/>
      <c r="O696" s="10"/>
      <c r="P696" s="10"/>
      <c r="Q696" s="10"/>
      <c r="R696" s="10"/>
      <c r="S696" s="10"/>
      <c r="T696" s="10"/>
      <c r="U696" s="10"/>
      <c r="V696" s="10"/>
    </row>
    <row r="697">
      <c r="A697" s="10"/>
      <c r="B697" s="10"/>
      <c r="C697" s="10"/>
      <c r="D697" s="10"/>
      <c r="E697" s="10"/>
      <c r="F697" s="10"/>
      <c r="G697" s="10"/>
      <c r="I697" s="10"/>
      <c r="J697" s="10"/>
      <c r="K697" s="10"/>
      <c r="L697" s="10"/>
      <c r="M697" s="10" t="str">
        <f>ifna(VLOOKUP('acft-exerc'!$M697,FIX!$A$2:$D1000,4, false),"")</f>
        <v/>
      </c>
      <c r="N697" s="10"/>
      <c r="O697" s="10"/>
      <c r="P697" s="10"/>
      <c r="Q697" s="10"/>
      <c r="R697" s="10"/>
      <c r="S697" s="10"/>
      <c r="T697" s="10"/>
      <c r="U697" s="10"/>
      <c r="V697" s="10"/>
    </row>
    <row r="698">
      <c r="A698" s="10"/>
      <c r="B698" s="10"/>
      <c r="C698" s="10"/>
      <c r="D698" s="10"/>
      <c r="E698" s="10"/>
      <c r="F698" s="10"/>
      <c r="G698" s="10"/>
      <c r="I698" s="10"/>
      <c r="J698" s="10"/>
      <c r="K698" s="10"/>
      <c r="L698" s="10"/>
      <c r="M698" s="10" t="str">
        <f>ifna(VLOOKUP('acft-exerc'!$M698,FIX!$A$2:$D1000,4, false),"")</f>
        <v/>
      </c>
      <c r="N698" s="10"/>
      <c r="O698" s="10"/>
      <c r="P698" s="10"/>
      <c r="Q698" s="10"/>
      <c r="R698" s="10"/>
      <c r="S698" s="10"/>
      <c r="T698" s="10"/>
      <c r="U698" s="10"/>
      <c r="V698" s="10"/>
    </row>
    <row r="699">
      <c r="A699" s="10"/>
      <c r="B699" s="10"/>
      <c r="C699" s="10"/>
      <c r="D699" s="10"/>
      <c r="E699" s="10"/>
      <c r="F699" s="10"/>
      <c r="G699" s="10"/>
      <c r="I699" s="10"/>
      <c r="J699" s="10"/>
      <c r="K699" s="10"/>
      <c r="L699" s="10"/>
      <c r="M699" s="10" t="str">
        <f>ifna(VLOOKUP('acft-exerc'!$M699,FIX!$A$2:$D1000,4, false),"")</f>
        <v/>
      </c>
      <c r="N699" s="10"/>
      <c r="O699" s="10"/>
      <c r="P699" s="10"/>
      <c r="Q699" s="10"/>
      <c r="R699" s="10"/>
      <c r="S699" s="10"/>
      <c r="T699" s="10"/>
      <c r="U699" s="10"/>
      <c r="V699" s="10"/>
    </row>
    <row r="700">
      <c r="A700" s="10"/>
      <c r="B700" s="10"/>
      <c r="C700" s="10"/>
      <c r="D700" s="10"/>
      <c r="E700" s="10"/>
      <c r="F700" s="10"/>
      <c r="G700" s="10"/>
      <c r="I700" s="10"/>
      <c r="J700" s="10"/>
      <c r="K700" s="10"/>
      <c r="L700" s="10"/>
      <c r="M700" s="10" t="str">
        <f>ifna(VLOOKUP('acft-exerc'!$M700,FIX!$A$2:$D1000,4, false),"")</f>
        <v/>
      </c>
      <c r="N700" s="10"/>
      <c r="O700" s="10"/>
      <c r="P700" s="10"/>
      <c r="Q700" s="10"/>
      <c r="R700" s="10"/>
      <c r="S700" s="10"/>
      <c r="T700" s="10"/>
      <c r="U700" s="10"/>
      <c r="V700" s="10"/>
    </row>
    <row r="701">
      <c r="A701" s="10"/>
      <c r="B701" s="10"/>
      <c r="C701" s="10"/>
      <c r="D701" s="10"/>
      <c r="E701" s="10"/>
      <c r="F701" s="10"/>
      <c r="G701" s="10"/>
      <c r="I701" s="10"/>
      <c r="J701" s="10"/>
      <c r="K701" s="10"/>
      <c r="L701" s="10"/>
      <c r="M701" s="10" t="str">
        <f>ifna(VLOOKUP('acft-exerc'!$M701,FIX!$A$2:$D1000,4, false),"")</f>
        <v/>
      </c>
      <c r="N701" s="10"/>
      <c r="O701" s="10"/>
      <c r="P701" s="10"/>
      <c r="Q701" s="10"/>
      <c r="R701" s="10"/>
      <c r="S701" s="10"/>
      <c r="T701" s="10"/>
      <c r="U701" s="10"/>
      <c r="V701" s="10"/>
    </row>
    <row r="702">
      <c r="A702" s="10"/>
      <c r="B702" s="10"/>
      <c r="C702" s="10"/>
      <c r="D702" s="10"/>
      <c r="E702" s="10"/>
      <c r="F702" s="10"/>
      <c r="G702" s="10"/>
      <c r="I702" s="10"/>
      <c r="J702" s="10"/>
      <c r="K702" s="10"/>
      <c r="L702" s="10"/>
      <c r="M702" s="10" t="str">
        <f>ifna(VLOOKUP('acft-exerc'!$M702,FIX!$A$2:$D1000,4, false),"")</f>
        <v/>
      </c>
      <c r="N702" s="10"/>
      <c r="O702" s="10"/>
      <c r="P702" s="10"/>
      <c r="Q702" s="10"/>
      <c r="R702" s="10"/>
      <c r="S702" s="10"/>
      <c r="T702" s="10"/>
      <c r="U702" s="10"/>
      <c r="V702" s="10"/>
    </row>
    <row r="703">
      <c r="A703" s="10"/>
      <c r="B703" s="10"/>
      <c r="C703" s="10"/>
      <c r="D703" s="10"/>
      <c r="E703" s="10"/>
      <c r="F703" s="10"/>
      <c r="G703" s="10"/>
      <c r="I703" s="10"/>
      <c r="J703" s="10"/>
      <c r="K703" s="10"/>
      <c r="L703" s="10"/>
      <c r="M703" s="10" t="str">
        <f>ifna(VLOOKUP('acft-exerc'!$M703,FIX!$A$2:$D1000,4, false),"")</f>
        <v/>
      </c>
      <c r="N703" s="10"/>
      <c r="O703" s="10"/>
      <c r="P703" s="10"/>
      <c r="Q703" s="10"/>
      <c r="R703" s="10"/>
      <c r="S703" s="10"/>
      <c r="T703" s="10"/>
      <c r="U703" s="10"/>
      <c r="V703" s="10"/>
    </row>
    <row r="704">
      <c r="A704" s="10"/>
      <c r="B704" s="10"/>
      <c r="C704" s="10"/>
      <c r="D704" s="10"/>
      <c r="E704" s="10"/>
      <c r="F704" s="10"/>
      <c r="G704" s="10"/>
      <c r="I704" s="10"/>
      <c r="J704" s="10"/>
      <c r="K704" s="10"/>
      <c r="L704" s="10"/>
      <c r="M704" s="10" t="str">
        <f>ifna(VLOOKUP('acft-exerc'!$M704,FIX!$A$2:$D1000,4, false),"")</f>
        <v/>
      </c>
      <c r="N704" s="10"/>
      <c r="O704" s="10"/>
      <c r="P704" s="10"/>
      <c r="Q704" s="10"/>
      <c r="R704" s="10"/>
      <c r="S704" s="10"/>
      <c r="T704" s="10"/>
      <c r="U704" s="10"/>
      <c r="V704" s="10"/>
    </row>
    <row r="705">
      <c r="A705" s="10"/>
      <c r="B705" s="10"/>
      <c r="C705" s="10"/>
      <c r="D705" s="10"/>
      <c r="E705" s="10"/>
      <c r="F705" s="10"/>
      <c r="G705" s="10"/>
      <c r="I705" s="10"/>
      <c r="J705" s="10"/>
      <c r="K705" s="10"/>
      <c r="L705" s="10"/>
      <c r="M705" s="10" t="str">
        <f>ifna(VLOOKUP('acft-exerc'!$M705,FIX!$A$2:$D1000,4, false),"")</f>
        <v/>
      </c>
      <c r="N705" s="10"/>
      <c r="O705" s="10"/>
      <c r="P705" s="10"/>
      <c r="Q705" s="10"/>
      <c r="R705" s="10"/>
      <c r="S705" s="10"/>
      <c r="T705" s="10"/>
      <c r="U705" s="10"/>
      <c r="V705" s="10"/>
    </row>
    <row r="706">
      <c r="A706" s="10"/>
      <c r="B706" s="10"/>
      <c r="C706" s="10"/>
      <c r="D706" s="10"/>
      <c r="E706" s="10"/>
      <c r="F706" s="10"/>
      <c r="G706" s="10"/>
      <c r="I706" s="10"/>
      <c r="J706" s="10"/>
      <c r="K706" s="10"/>
      <c r="L706" s="10"/>
      <c r="M706" s="10" t="str">
        <f>ifna(VLOOKUP('acft-exerc'!$M706,FIX!$A$2:$D1000,4, false),"")</f>
        <v/>
      </c>
      <c r="N706" s="10"/>
      <c r="O706" s="10"/>
      <c r="P706" s="10"/>
      <c r="Q706" s="10"/>
      <c r="R706" s="10"/>
      <c r="S706" s="10"/>
      <c r="T706" s="10"/>
      <c r="U706" s="10"/>
      <c r="V706" s="10"/>
    </row>
    <row r="707">
      <c r="A707" s="10"/>
      <c r="B707" s="10"/>
      <c r="C707" s="10"/>
      <c r="D707" s="10"/>
      <c r="E707" s="10"/>
      <c r="F707" s="10"/>
      <c r="G707" s="10"/>
      <c r="I707" s="10"/>
      <c r="J707" s="10"/>
      <c r="K707" s="10"/>
      <c r="L707" s="10"/>
      <c r="M707" s="10" t="str">
        <f>ifna(VLOOKUP('acft-exerc'!$M707,FIX!$A$2:$D1000,4, false),"")</f>
        <v/>
      </c>
      <c r="N707" s="10"/>
      <c r="O707" s="10"/>
      <c r="P707" s="10"/>
      <c r="Q707" s="10"/>
      <c r="R707" s="10"/>
      <c r="S707" s="10"/>
      <c r="T707" s="10"/>
      <c r="U707" s="10"/>
      <c r="V707" s="10"/>
    </row>
    <row r="708">
      <c r="A708" s="10"/>
      <c r="B708" s="10"/>
      <c r="C708" s="10"/>
      <c r="D708" s="10"/>
      <c r="E708" s="10"/>
      <c r="F708" s="10"/>
      <c r="G708" s="10"/>
      <c r="I708" s="10"/>
      <c r="J708" s="10"/>
      <c r="K708" s="10"/>
      <c r="L708" s="10"/>
      <c r="M708" s="10" t="str">
        <f>ifna(VLOOKUP('acft-exerc'!$M708,FIX!$A$2:$D1000,4, false),"")</f>
        <v/>
      </c>
      <c r="N708" s="10"/>
      <c r="O708" s="10"/>
      <c r="P708" s="10"/>
      <c r="Q708" s="10"/>
      <c r="R708" s="10"/>
      <c r="S708" s="10"/>
      <c r="T708" s="10"/>
      <c r="U708" s="10"/>
      <c r="V708" s="10"/>
    </row>
    <row r="709">
      <c r="A709" s="10"/>
      <c r="B709" s="10"/>
      <c r="C709" s="10"/>
      <c r="D709" s="10"/>
      <c r="E709" s="10"/>
      <c r="F709" s="10"/>
      <c r="G709" s="10"/>
      <c r="I709" s="10"/>
      <c r="J709" s="10"/>
      <c r="K709" s="10"/>
      <c r="L709" s="10"/>
      <c r="M709" s="10" t="str">
        <f>ifna(VLOOKUP('acft-exerc'!$M709,FIX!$A$2:$D1000,4, false),"")</f>
        <v/>
      </c>
      <c r="N709" s="10"/>
      <c r="O709" s="10"/>
      <c r="P709" s="10"/>
      <c r="Q709" s="10"/>
      <c r="R709" s="10"/>
      <c r="S709" s="10"/>
      <c r="T709" s="10"/>
      <c r="U709" s="10"/>
      <c r="V709" s="10"/>
    </row>
    <row r="710">
      <c r="A710" s="10"/>
      <c r="B710" s="10"/>
      <c r="C710" s="10"/>
      <c r="D710" s="10"/>
      <c r="E710" s="10"/>
      <c r="F710" s="10"/>
      <c r="G710" s="10"/>
      <c r="I710" s="10"/>
      <c r="J710" s="10"/>
      <c r="K710" s="10"/>
      <c r="L710" s="10"/>
      <c r="M710" s="10" t="str">
        <f>ifna(VLOOKUP('acft-exerc'!$M710,FIX!$A$2:$D1000,4, false),"")</f>
        <v/>
      </c>
      <c r="N710" s="10"/>
      <c r="O710" s="10"/>
      <c r="P710" s="10"/>
      <c r="Q710" s="10"/>
      <c r="R710" s="10"/>
      <c r="S710" s="10"/>
      <c r="T710" s="10"/>
      <c r="U710" s="10"/>
      <c r="V710" s="10"/>
    </row>
    <row r="711">
      <c r="A711" s="10"/>
      <c r="B711" s="10"/>
      <c r="C711" s="10"/>
      <c r="D711" s="10"/>
      <c r="E711" s="10"/>
      <c r="F711" s="10"/>
      <c r="G711" s="10"/>
      <c r="I711" s="10"/>
      <c r="J711" s="10"/>
      <c r="K711" s="10"/>
      <c r="L711" s="10"/>
      <c r="M711" s="10" t="str">
        <f>ifna(VLOOKUP('acft-exerc'!$M711,FIX!$A$2:$D1000,4, false),"")</f>
        <v/>
      </c>
      <c r="N711" s="10"/>
      <c r="O711" s="10"/>
      <c r="P711" s="10"/>
      <c r="Q711" s="10"/>
      <c r="R711" s="10"/>
      <c r="S711" s="10"/>
      <c r="T711" s="10"/>
      <c r="U711" s="10"/>
      <c r="V711" s="10"/>
    </row>
    <row r="712">
      <c r="A712" s="10"/>
      <c r="B712" s="10"/>
      <c r="C712" s="10"/>
      <c r="D712" s="10"/>
      <c r="E712" s="10"/>
      <c r="F712" s="10"/>
      <c r="G712" s="10"/>
      <c r="I712" s="10"/>
      <c r="J712" s="10"/>
      <c r="K712" s="10"/>
      <c r="L712" s="10"/>
      <c r="M712" s="10" t="str">
        <f>ifna(VLOOKUP('acft-exerc'!$M712,FIX!$A$2:$D1000,4, false),"")</f>
        <v/>
      </c>
      <c r="N712" s="10"/>
      <c r="O712" s="10"/>
      <c r="P712" s="10"/>
      <c r="Q712" s="10"/>
      <c r="R712" s="10"/>
      <c r="S712" s="10"/>
      <c r="T712" s="10"/>
      <c r="U712" s="10"/>
      <c r="V712" s="10"/>
    </row>
    <row r="713">
      <c r="A713" s="10"/>
      <c r="B713" s="10"/>
      <c r="C713" s="10"/>
      <c r="D713" s="10"/>
      <c r="E713" s="10"/>
      <c r="F713" s="10"/>
      <c r="G713" s="10"/>
      <c r="I713" s="10"/>
      <c r="J713" s="10"/>
      <c r="K713" s="10"/>
      <c r="L713" s="10"/>
      <c r="M713" s="10" t="str">
        <f>ifna(VLOOKUP('acft-exerc'!$M713,FIX!$A$2:$D1000,4, false),"")</f>
        <v/>
      </c>
      <c r="N713" s="10"/>
      <c r="O713" s="10"/>
      <c r="P713" s="10"/>
      <c r="Q713" s="10"/>
      <c r="R713" s="10"/>
      <c r="S713" s="10"/>
      <c r="T713" s="10"/>
      <c r="U713" s="10"/>
      <c r="V713" s="10"/>
    </row>
    <row r="714">
      <c r="A714" s="10"/>
      <c r="B714" s="10"/>
      <c r="C714" s="10"/>
      <c r="D714" s="10"/>
      <c r="E714" s="10"/>
      <c r="F714" s="10"/>
      <c r="G714" s="10"/>
      <c r="I714" s="10"/>
      <c r="J714" s="10"/>
      <c r="K714" s="10"/>
      <c r="L714" s="10"/>
      <c r="M714" s="10" t="str">
        <f>ifna(VLOOKUP('acft-exerc'!$M714,FIX!$A$2:$D1000,4, false),"")</f>
        <v/>
      </c>
      <c r="N714" s="10"/>
      <c r="O714" s="10"/>
      <c r="P714" s="10"/>
      <c r="Q714" s="10"/>
      <c r="R714" s="10"/>
      <c r="S714" s="10"/>
      <c r="T714" s="10"/>
      <c r="U714" s="10"/>
      <c r="V714" s="10"/>
    </row>
    <row r="715">
      <c r="A715" s="10"/>
      <c r="B715" s="10"/>
      <c r="C715" s="10"/>
      <c r="D715" s="10"/>
      <c r="E715" s="10"/>
      <c r="F715" s="10"/>
      <c r="G715" s="10"/>
      <c r="I715" s="10"/>
      <c r="J715" s="10"/>
      <c r="K715" s="10"/>
      <c r="L715" s="10"/>
      <c r="M715" s="10" t="str">
        <f>ifna(VLOOKUP('acft-exerc'!$M715,FIX!$A$2:$D1000,4, false),"")</f>
        <v/>
      </c>
      <c r="N715" s="10"/>
      <c r="O715" s="10"/>
      <c r="P715" s="10"/>
      <c r="Q715" s="10"/>
      <c r="R715" s="10"/>
      <c r="S715" s="10"/>
      <c r="T715" s="10"/>
      <c r="U715" s="10"/>
      <c r="V715" s="10"/>
    </row>
    <row r="716">
      <c r="A716" s="10"/>
      <c r="B716" s="10"/>
      <c r="C716" s="10"/>
      <c r="D716" s="10"/>
      <c r="E716" s="10"/>
      <c r="F716" s="10"/>
      <c r="G716" s="10"/>
      <c r="I716" s="10"/>
      <c r="J716" s="10"/>
      <c r="K716" s="10"/>
      <c r="L716" s="10"/>
      <c r="M716" s="10" t="str">
        <f>ifna(VLOOKUP('acft-exerc'!$M716,FIX!$A$2:$D1000,4, false),"")</f>
        <v/>
      </c>
      <c r="N716" s="10"/>
      <c r="O716" s="10"/>
      <c r="P716" s="10"/>
      <c r="Q716" s="10"/>
      <c r="R716" s="10"/>
      <c r="S716" s="10"/>
      <c r="T716" s="10"/>
      <c r="U716" s="10"/>
      <c r="V716" s="10"/>
    </row>
    <row r="717">
      <c r="A717" s="10"/>
      <c r="B717" s="10"/>
      <c r="C717" s="10"/>
      <c r="D717" s="10"/>
      <c r="E717" s="10"/>
      <c r="F717" s="10"/>
      <c r="G717" s="10"/>
      <c r="I717" s="10"/>
      <c r="J717" s="10"/>
      <c r="K717" s="10"/>
      <c r="L717" s="10"/>
      <c r="M717" s="10" t="str">
        <f>ifna(VLOOKUP('acft-exerc'!$M717,FIX!$A$2:$D1000,4, false),"")</f>
        <v/>
      </c>
      <c r="N717" s="10"/>
      <c r="O717" s="10"/>
      <c r="P717" s="10"/>
      <c r="Q717" s="10"/>
      <c r="R717" s="10"/>
      <c r="S717" s="10"/>
      <c r="T717" s="10"/>
      <c r="U717" s="10"/>
      <c r="V717" s="10"/>
    </row>
    <row r="718">
      <c r="A718" s="10"/>
      <c r="B718" s="10"/>
      <c r="C718" s="10"/>
      <c r="D718" s="10"/>
      <c r="E718" s="10"/>
      <c r="F718" s="10"/>
      <c r="G718" s="10"/>
      <c r="I718" s="10"/>
      <c r="J718" s="10"/>
      <c r="K718" s="10"/>
      <c r="L718" s="10"/>
      <c r="M718" s="10" t="str">
        <f>ifna(VLOOKUP('acft-exerc'!$M718,FIX!$A$2:$D1000,4, false),"")</f>
        <v/>
      </c>
      <c r="N718" s="10"/>
      <c r="O718" s="10"/>
      <c r="P718" s="10"/>
      <c r="Q718" s="10"/>
      <c r="R718" s="10"/>
      <c r="S718" s="10"/>
      <c r="T718" s="10"/>
      <c r="U718" s="10"/>
      <c r="V718" s="10"/>
    </row>
    <row r="719">
      <c r="A719" s="10"/>
      <c r="B719" s="10"/>
      <c r="C719" s="10"/>
      <c r="D719" s="10"/>
      <c r="E719" s="10"/>
      <c r="F719" s="10"/>
      <c r="G719" s="10"/>
      <c r="I719" s="10"/>
      <c r="J719" s="10"/>
      <c r="K719" s="10"/>
      <c r="L719" s="10"/>
      <c r="M719" s="10" t="str">
        <f>ifna(VLOOKUP('acft-exerc'!$M719,FIX!$A$2:$D1000,4, false),"")</f>
        <v/>
      </c>
      <c r="N719" s="10"/>
      <c r="O719" s="10"/>
      <c r="P719" s="10"/>
      <c r="Q719" s="10"/>
      <c r="R719" s="10"/>
      <c r="S719" s="10"/>
      <c r="T719" s="10"/>
      <c r="U719" s="10"/>
      <c r="V719" s="10"/>
    </row>
    <row r="720">
      <c r="A720" s="10"/>
      <c r="B720" s="10"/>
      <c r="C720" s="10"/>
      <c r="D720" s="10"/>
      <c r="E720" s="10"/>
      <c r="F720" s="10"/>
      <c r="G720" s="10"/>
      <c r="I720" s="10"/>
      <c r="J720" s="10"/>
      <c r="K720" s="10"/>
      <c r="L720" s="10"/>
      <c r="M720" s="10" t="str">
        <f>ifna(VLOOKUP('acft-exerc'!$M720,FIX!$A$2:$D1000,4, false),"")</f>
        <v/>
      </c>
      <c r="N720" s="10"/>
      <c r="O720" s="10"/>
      <c r="P720" s="10"/>
      <c r="Q720" s="10"/>
      <c r="R720" s="10"/>
      <c r="S720" s="10"/>
      <c r="T720" s="10"/>
      <c r="U720" s="10"/>
      <c r="V720" s="10"/>
    </row>
    <row r="721">
      <c r="A721" s="10"/>
      <c r="B721" s="10"/>
      <c r="C721" s="10"/>
      <c r="D721" s="10"/>
      <c r="E721" s="10"/>
      <c r="F721" s="10"/>
      <c r="G721" s="10"/>
      <c r="I721" s="10"/>
      <c r="J721" s="10"/>
      <c r="K721" s="10"/>
      <c r="L721" s="10"/>
      <c r="M721" s="10" t="str">
        <f>ifna(VLOOKUP('acft-exerc'!$M721,FIX!$A$2:$D1000,4, false),"")</f>
        <v/>
      </c>
      <c r="N721" s="10"/>
      <c r="O721" s="10"/>
      <c r="P721" s="10"/>
      <c r="Q721" s="10"/>
      <c r="R721" s="10"/>
      <c r="S721" s="10"/>
      <c r="T721" s="10"/>
      <c r="U721" s="10"/>
      <c r="V721" s="10"/>
    </row>
    <row r="722">
      <c r="A722" s="10"/>
      <c r="B722" s="10"/>
      <c r="C722" s="10"/>
      <c r="D722" s="10"/>
      <c r="E722" s="10"/>
      <c r="F722" s="10"/>
      <c r="G722" s="10"/>
      <c r="I722" s="10"/>
      <c r="J722" s="10"/>
      <c r="K722" s="10"/>
      <c r="L722" s="10"/>
      <c r="M722" s="10" t="str">
        <f>ifna(VLOOKUP('acft-exerc'!$M722,FIX!$A$2:$D1000,4, false),"")</f>
        <v/>
      </c>
      <c r="N722" s="10"/>
      <c r="O722" s="10"/>
      <c r="P722" s="10"/>
      <c r="Q722" s="10"/>
      <c r="R722" s="10"/>
      <c r="S722" s="10"/>
      <c r="T722" s="10"/>
      <c r="U722" s="10"/>
      <c r="V722" s="10"/>
    </row>
    <row r="723">
      <c r="A723" s="10"/>
      <c r="B723" s="10"/>
      <c r="C723" s="10"/>
      <c r="D723" s="10"/>
      <c r="E723" s="10"/>
      <c r="F723" s="10"/>
      <c r="G723" s="10"/>
      <c r="I723" s="10"/>
      <c r="J723" s="10"/>
      <c r="K723" s="10"/>
      <c r="L723" s="10"/>
      <c r="M723" s="10" t="str">
        <f>ifna(VLOOKUP('acft-exerc'!$M723,FIX!$A$2:$D1000,4, false),"")</f>
        <v/>
      </c>
      <c r="N723" s="10"/>
      <c r="O723" s="10"/>
      <c r="P723" s="10"/>
      <c r="Q723" s="10"/>
      <c r="R723" s="10"/>
      <c r="S723" s="10"/>
      <c r="T723" s="10"/>
      <c r="U723" s="10"/>
      <c r="V723" s="10"/>
    </row>
    <row r="724">
      <c r="A724" s="10"/>
      <c r="B724" s="10"/>
      <c r="C724" s="10"/>
      <c r="D724" s="10"/>
      <c r="E724" s="10"/>
      <c r="F724" s="10"/>
      <c r="G724" s="10"/>
      <c r="I724" s="10"/>
      <c r="J724" s="10"/>
      <c r="K724" s="10"/>
      <c r="L724" s="10"/>
      <c r="M724" s="10" t="str">
        <f>ifna(VLOOKUP('acft-exerc'!$M724,FIX!$A$2:$D1000,4, false),"")</f>
        <v/>
      </c>
      <c r="N724" s="10"/>
      <c r="O724" s="10"/>
      <c r="P724" s="10"/>
      <c r="Q724" s="10"/>
      <c r="R724" s="10"/>
      <c r="S724" s="10"/>
      <c r="T724" s="10"/>
      <c r="U724" s="10"/>
      <c r="V724" s="10"/>
    </row>
    <row r="725">
      <c r="A725" s="10"/>
      <c r="B725" s="10"/>
      <c r="C725" s="10"/>
      <c r="D725" s="10"/>
      <c r="E725" s="10"/>
      <c r="F725" s="10"/>
      <c r="G725" s="10"/>
      <c r="I725" s="10"/>
      <c r="J725" s="10"/>
      <c r="K725" s="10"/>
      <c r="L725" s="10"/>
      <c r="M725" s="10" t="str">
        <f>ifna(VLOOKUP('acft-exerc'!$M725,FIX!$A$2:$D1000,4, false),"")</f>
        <v/>
      </c>
      <c r="N725" s="10"/>
      <c r="O725" s="10"/>
      <c r="P725" s="10"/>
      <c r="Q725" s="10"/>
      <c r="R725" s="10"/>
      <c r="S725" s="10"/>
      <c r="T725" s="10"/>
      <c r="U725" s="10"/>
      <c r="V725" s="10"/>
    </row>
    <row r="726">
      <c r="A726" s="10"/>
      <c r="B726" s="10"/>
      <c r="C726" s="10"/>
      <c r="D726" s="10"/>
      <c r="E726" s="10"/>
      <c r="F726" s="10"/>
      <c r="G726" s="10"/>
      <c r="I726" s="10"/>
      <c r="J726" s="10"/>
      <c r="K726" s="10"/>
      <c r="L726" s="10"/>
      <c r="M726" s="10" t="str">
        <f>ifna(VLOOKUP('acft-exerc'!$M726,FIX!$A$2:$D1000,4, false),"")</f>
        <v/>
      </c>
      <c r="N726" s="10"/>
      <c r="O726" s="10"/>
      <c r="P726" s="10"/>
      <c r="Q726" s="10"/>
      <c r="R726" s="10"/>
      <c r="S726" s="10"/>
      <c r="T726" s="10"/>
      <c r="U726" s="10"/>
      <c r="V726" s="10"/>
    </row>
    <row r="727">
      <c r="A727" s="10"/>
      <c r="B727" s="10"/>
      <c r="C727" s="10"/>
      <c r="D727" s="10"/>
      <c r="E727" s="10"/>
      <c r="F727" s="10"/>
      <c r="G727" s="10"/>
      <c r="I727" s="10"/>
      <c r="J727" s="10"/>
      <c r="K727" s="10"/>
      <c r="L727" s="10"/>
      <c r="M727" s="10" t="str">
        <f>ifna(VLOOKUP('acft-exerc'!$M727,FIX!$A$2:$D1000,4, false),"")</f>
        <v/>
      </c>
      <c r="N727" s="10"/>
      <c r="O727" s="10"/>
      <c r="P727" s="10"/>
      <c r="Q727" s="10"/>
      <c r="R727" s="10"/>
      <c r="S727" s="10"/>
      <c r="T727" s="10"/>
      <c r="U727" s="10"/>
      <c r="V727" s="10"/>
    </row>
    <row r="728">
      <c r="A728" s="10"/>
      <c r="B728" s="10"/>
      <c r="C728" s="10"/>
      <c r="D728" s="10"/>
      <c r="E728" s="10"/>
      <c r="F728" s="10"/>
      <c r="G728" s="10"/>
      <c r="I728" s="10"/>
      <c r="J728" s="10"/>
      <c r="K728" s="10"/>
      <c r="L728" s="10"/>
      <c r="M728" s="10" t="str">
        <f>ifna(VLOOKUP('acft-exerc'!$M728,FIX!$A$2:$D1000,4, false),"")</f>
        <v/>
      </c>
      <c r="N728" s="10"/>
      <c r="O728" s="10"/>
      <c r="P728" s="10"/>
      <c r="Q728" s="10"/>
      <c r="R728" s="10"/>
      <c r="S728" s="10"/>
      <c r="T728" s="10"/>
      <c r="U728" s="10"/>
      <c r="V728" s="10"/>
    </row>
    <row r="729">
      <c r="A729" s="10"/>
      <c r="B729" s="10"/>
      <c r="C729" s="10"/>
      <c r="D729" s="10"/>
      <c r="E729" s="10"/>
      <c r="F729" s="10"/>
      <c r="G729" s="10"/>
      <c r="I729" s="10"/>
      <c r="J729" s="10"/>
      <c r="K729" s="10"/>
      <c r="L729" s="10"/>
      <c r="M729" s="10" t="str">
        <f>ifna(VLOOKUP('acft-exerc'!$M729,FIX!$A$2:$D1000,4, false),"")</f>
        <v/>
      </c>
      <c r="N729" s="10"/>
      <c r="O729" s="10"/>
      <c r="P729" s="10"/>
      <c r="Q729" s="10"/>
      <c r="R729" s="10"/>
      <c r="S729" s="10"/>
      <c r="T729" s="10"/>
      <c r="U729" s="10"/>
      <c r="V729" s="10"/>
    </row>
    <row r="730">
      <c r="A730" s="10"/>
      <c r="B730" s="10"/>
      <c r="C730" s="10"/>
      <c r="D730" s="10"/>
      <c r="E730" s="10"/>
      <c r="F730" s="10"/>
      <c r="G730" s="10"/>
      <c r="I730" s="10"/>
      <c r="J730" s="10"/>
      <c r="K730" s="10"/>
      <c r="L730" s="10"/>
      <c r="M730" s="10" t="str">
        <f>ifna(VLOOKUP('acft-exerc'!$M730,FIX!$A$2:$D1000,4, false),"")</f>
        <v/>
      </c>
      <c r="N730" s="10"/>
      <c r="O730" s="10"/>
      <c r="P730" s="10"/>
      <c r="Q730" s="10"/>
      <c r="R730" s="10"/>
      <c r="S730" s="10"/>
      <c r="T730" s="10"/>
      <c r="U730" s="10"/>
      <c r="V730" s="10"/>
    </row>
    <row r="731">
      <c r="A731" s="10"/>
      <c r="B731" s="10"/>
      <c r="C731" s="10"/>
      <c r="D731" s="10"/>
      <c r="E731" s="10"/>
      <c r="F731" s="10"/>
      <c r="G731" s="10"/>
      <c r="I731" s="10"/>
      <c r="J731" s="10"/>
      <c r="K731" s="10"/>
      <c r="L731" s="10"/>
      <c r="M731" s="10" t="str">
        <f>ifna(VLOOKUP('acft-exerc'!$M731,FIX!$A$2:$D1000,4, false),"")</f>
        <v/>
      </c>
      <c r="N731" s="10"/>
      <c r="O731" s="10"/>
      <c r="P731" s="10"/>
      <c r="Q731" s="10"/>
      <c r="R731" s="10"/>
      <c r="S731" s="10"/>
      <c r="T731" s="10"/>
      <c r="U731" s="10"/>
      <c r="V731" s="10"/>
    </row>
    <row r="732">
      <c r="A732" s="10"/>
      <c r="B732" s="10"/>
      <c r="C732" s="10"/>
      <c r="D732" s="10"/>
      <c r="E732" s="10"/>
      <c r="F732" s="10"/>
      <c r="G732" s="10"/>
      <c r="I732" s="10"/>
      <c r="J732" s="10"/>
      <c r="K732" s="10"/>
      <c r="L732" s="10"/>
      <c r="M732" s="10" t="str">
        <f>ifna(VLOOKUP('acft-exerc'!$M732,FIX!$A$2:$D1000,4, false),"")</f>
        <v/>
      </c>
      <c r="N732" s="10"/>
      <c r="O732" s="10"/>
      <c r="P732" s="10"/>
      <c r="Q732" s="10"/>
      <c r="R732" s="10"/>
      <c r="S732" s="10"/>
      <c r="T732" s="10"/>
      <c r="U732" s="10"/>
      <c r="V732" s="10"/>
    </row>
    <row r="733">
      <c r="A733" s="10"/>
      <c r="B733" s="10"/>
      <c r="C733" s="10"/>
      <c r="D733" s="10"/>
      <c r="E733" s="10"/>
      <c r="F733" s="10"/>
      <c r="G733" s="10"/>
      <c r="I733" s="10"/>
      <c r="J733" s="10"/>
      <c r="K733" s="10"/>
      <c r="L733" s="10"/>
      <c r="M733" s="10" t="str">
        <f>ifna(VLOOKUP('acft-exerc'!$M733,FIX!$A$2:$D1000,4, false),"")</f>
        <v/>
      </c>
      <c r="N733" s="10"/>
      <c r="O733" s="10"/>
      <c r="P733" s="10"/>
      <c r="Q733" s="10"/>
      <c r="R733" s="10"/>
      <c r="S733" s="10"/>
      <c r="T733" s="10"/>
      <c r="U733" s="10"/>
      <c r="V733" s="10"/>
    </row>
    <row r="734">
      <c r="A734" s="10"/>
      <c r="B734" s="10"/>
      <c r="C734" s="10"/>
      <c r="D734" s="10"/>
      <c r="E734" s="10"/>
      <c r="F734" s="10"/>
      <c r="G734" s="10"/>
      <c r="I734" s="10"/>
      <c r="J734" s="10"/>
      <c r="K734" s="10"/>
      <c r="L734" s="10"/>
      <c r="M734" s="10" t="str">
        <f>ifna(VLOOKUP('acft-exerc'!$M734,FIX!$A$2:$D1000,4, false),"")</f>
        <v/>
      </c>
      <c r="N734" s="10"/>
      <c r="O734" s="10"/>
      <c r="P734" s="10"/>
      <c r="Q734" s="10"/>
      <c r="R734" s="10"/>
      <c r="S734" s="10"/>
      <c r="T734" s="10"/>
      <c r="U734" s="10"/>
      <c r="V734" s="10"/>
    </row>
    <row r="735">
      <c r="A735" s="10"/>
      <c r="B735" s="10"/>
      <c r="C735" s="10"/>
      <c r="D735" s="10"/>
      <c r="E735" s="10"/>
      <c r="F735" s="10"/>
      <c r="G735" s="10"/>
      <c r="I735" s="10"/>
      <c r="J735" s="10"/>
      <c r="K735" s="10"/>
      <c r="L735" s="10"/>
      <c r="M735" s="10" t="str">
        <f>ifna(VLOOKUP('acft-exerc'!$M735,FIX!$A$2:$D1000,4, false),"")</f>
        <v/>
      </c>
      <c r="N735" s="10"/>
      <c r="O735" s="10"/>
      <c r="P735" s="10"/>
      <c r="Q735" s="10"/>
      <c r="R735" s="10"/>
      <c r="S735" s="10"/>
      <c r="T735" s="10"/>
      <c r="U735" s="10"/>
      <c r="V735" s="10"/>
    </row>
    <row r="736">
      <c r="A736" s="10"/>
      <c r="B736" s="10"/>
      <c r="C736" s="10"/>
      <c r="D736" s="10"/>
      <c r="E736" s="10"/>
      <c r="F736" s="10"/>
      <c r="G736" s="10"/>
      <c r="I736" s="10"/>
      <c r="J736" s="10"/>
      <c r="K736" s="10"/>
      <c r="L736" s="10"/>
      <c r="M736" s="10" t="str">
        <f>ifna(VLOOKUP('acft-exerc'!$M736,FIX!$A$2:$D1000,4, false),"")</f>
        <v/>
      </c>
      <c r="N736" s="10"/>
      <c r="O736" s="10"/>
      <c r="P736" s="10"/>
      <c r="Q736" s="10"/>
      <c r="R736" s="10"/>
      <c r="S736" s="10"/>
      <c r="T736" s="10"/>
      <c r="U736" s="10"/>
      <c r="V736" s="10"/>
    </row>
    <row r="737">
      <c r="A737" s="10"/>
      <c r="B737" s="10"/>
      <c r="C737" s="10"/>
      <c r="D737" s="10"/>
      <c r="E737" s="10"/>
      <c r="F737" s="10"/>
      <c r="G737" s="10"/>
      <c r="I737" s="10"/>
      <c r="J737" s="10"/>
      <c r="K737" s="10"/>
      <c r="L737" s="10"/>
      <c r="M737" s="10" t="str">
        <f>ifna(VLOOKUP('acft-exerc'!$M737,FIX!$A$2:$D1000,4, false),"")</f>
        <v/>
      </c>
      <c r="N737" s="10"/>
      <c r="O737" s="10"/>
      <c r="P737" s="10"/>
      <c r="Q737" s="10"/>
      <c r="R737" s="10"/>
      <c r="S737" s="10"/>
      <c r="T737" s="10"/>
      <c r="U737" s="10"/>
      <c r="V737" s="10"/>
    </row>
    <row r="738">
      <c r="A738" s="10"/>
      <c r="B738" s="10"/>
      <c r="C738" s="10"/>
      <c r="D738" s="10"/>
      <c r="E738" s="10"/>
      <c r="F738" s="10"/>
      <c r="G738" s="10"/>
      <c r="I738" s="10"/>
      <c r="J738" s="10"/>
      <c r="K738" s="10"/>
      <c r="L738" s="10"/>
      <c r="M738" s="10" t="str">
        <f>ifna(VLOOKUP('acft-exerc'!$M738,FIX!$A$2:$D1000,4, false),"")</f>
        <v/>
      </c>
      <c r="N738" s="10"/>
      <c r="O738" s="10"/>
      <c r="P738" s="10"/>
      <c r="Q738" s="10"/>
      <c r="R738" s="10"/>
      <c r="S738" s="10"/>
      <c r="T738" s="10"/>
      <c r="U738" s="10"/>
      <c r="V738" s="10"/>
    </row>
    <row r="739">
      <c r="A739" s="10"/>
      <c r="B739" s="10"/>
      <c r="C739" s="10"/>
      <c r="D739" s="10"/>
      <c r="E739" s="10"/>
      <c r="F739" s="10"/>
      <c r="G739" s="10"/>
      <c r="I739" s="10"/>
      <c r="J739" s="10"/>
      <c r="K739" s="10"/>
      <c r="L739" s="10"/>
      <c r="M739" s="10" t="str">
        <f>ifna(VLOOKUP('acft-exerc'!$M739,FIX!$A$2:$D1000,4, false),"")</f>
        <v/>
      </c>
      <c r="N739" s="10"/>
      <c r="O739" s="10"/>
      <c r="P739" s="10"/>
      <c r="Q739" s="10"/>
      <c r="R739" s="10"/>
      <c r="S739" s="10"/>
      <c r="T739" s="10"/>
      <c r="U739" s="10"/>
      <c r="V739" s="10"/>
    </row>
    <row r="740">
      <c r="A740" s="10"/>
      <c r="B740" s="10"/>
      <c r="C740" s="10"/>
      <c r="D740" s="10"/>
      <c r="E740" s="10"/>
      <c r="F740" s="10"/>
      <c r="G740" s="10"/>
      <c r="I740" s="10"/>
      <c r="J740" s="10"/>
      <c r="K740" s="10"/>
      <c r="L740" s="10"/>
      <c r="M740" s="10" t="str">
        <f>ifna(VLOOKUP('acft-exerc'!$M740,FIX!$A$2:$D1000,4, false),"")</f>
        <v/>
      </c>
      <c r="N740" s="10"/>
      <c r="O740" s="10"/>
      <c r="P740" s="10"/>
      <c r="Q740" s="10"/>
      <c r="R740" s="10"/>
      <c r="S740" s="10"/>
      <c r="T740" s="10"/>
      <c r="U740" s="10"/>
      <c r="V740" s="10"/>
    </row>
    <row r="741">
      <c r="A741" s="10"/>
      <c r="B741" s="10"/>
      <c r="C741" s="10"/>
      <c r="D741" s="10"/>
      <c r="E741" s="10"/>
      <c r="F741" s="10"/>
      <c r="G741" s="10"/>
      <c r="I741" s="10"/>
      <c r="J741" s="10"/>
      <c r="K741" s="10"/>
      <c r="L741" s="10"/>
      <c r="M741" s="10" t="str">
        <f>ifna(VLOOKUP('acft-exerc'!$M741,FIX!$A$2:$D1000,4, false),"")</f>
        <v/>
      </c>
      <c r="N741" s="10"/>
      <c r="O741" s="10"/>
      <c r="P741" s="10"/>
      <c r="Q741" s="10"/>
      <c r="R741" s="10"/>
      <c r="S741" s="10"/>
      <c r="T741" s="10"/>
      <c r="U741" s="10"/>
      <c r="V741" s="10"/>
    </row>
    <row r="742">
      <c r="A742" s="10"/>
      <c r="B742" s="10"/>
      <c r="C742" s="10"/>
      <c r="D742" s="10"/>
      <c r="E742" s="10"/>
      <c r="F742" s="10"/>
      <c r="G742" s="10"/>
      <c r="I742" s="10"/>
      <c r="J742" s="10"/>
      <c r="K742" s="10"/>
      <c r="L742" s="10"/>
      <c r="M742" s="10" t="str">
        <f>ifna(VLOOKUP('acft-exerc'!$M742,FIX!$A$2:$D1000,4, false),"")</f>
        <v/>
      </c>
      <c r="N742" s="10"/>
      <c r="O742" s="10"/>
      <c r="P742" s="10"/>
      <c r="Q742" s="10"/>
      <c r="R742" s="10"/>
      <c r="S742" s="10"/>
      <c r="T742" s="10"/>
      <c r="U742" s="10"/>
      <c r="V742" s="10"/>
    </row>
    <row r="743">
      <c r="A743" s="10"/>
      <c r="B743" s="10"/>
      <c r="C743" s="10"/>
      <c r="D743" s="10"/>
      <c r="E743" s="10"/>
      <c r="F743" s="10"/>
      <c r="G743" s="10"/>
      <c r="I743" s="10"/>
      <c r="J743" s="10"/>
      <c r="K743" s="10"/>
      <c r="L743" s="10"/>
      <c r="M743" s="10" t="str">
        <f>ifna(VLOOKUP('acft-exerc'!$M743,FIX!$A$2:$D1000,4, false),"")</f>
        <v/>
      </c>
      <c r="N743" s="10"/>
      <c r="O743" s="10"/>
      <c r="P743" s="10"/>
      <c r="Q743" s="10"/>
      <c r="R743" s="10"/>
      <c r="S743" s="10"/>
      <c r="T743" s="10"/>
      <c r="U743" s="10"/>
      <c r="V743" s="10"/>
    </row>
    <row r="744">
      <c r="A744" s="10"/>
      <c r="B744" s="10"/>
      <c r="C744" s="10"/>
      <c r="D744" s="10"/>
      <c r="E744" s="10"/>
      <c r="F744" s="10"/>
      <c r="G744" s="10"/>
      <c r="I744" s="10"/>
      <c r="J744" s="10"/>
      <c r="K744" s="10"/>
      <c r="L744" s="10"/>
      <c r="M744" s="10" t="str">
        <f>ifna(VLOOKUP('acft-exerc'!$M744,FIX!$A$2:$D1000,4, false),"")</f>
        <v/>
      </c>
      <c r="N744" s="10"/>
      <c r="O744" s="10"/>
      <c r="P744" s="10"/>
      <c r="Q744" s="10"/>
      <c r="R744" s="10"/>
      <c r="S744" s="10"/>
      <c r="T744" s="10"/>
      <c r="U744" s="10"/>
      <c r="V744" s="10"/>
    </row>
    <row r="745">
      <c r="A745" s="10"/>
      <c r="B745" s="10"/>
      <c r="C745" s="10"/>
      <c r="D745" s="10"/>
      <c r="E745" s="10"/>
      <c r="F745" s="10"/>
      <c r="G745" s="10"/>
      <c r="I745" s="10"/>
      <c r="J745" s="10"/>
      <c r="K745" s="10"/>
      <c r="L745" s="10"/>
      <c r="M745" s="10" t="str">
        <f>ifna(VLOOKUP('acft-exerc'!$M745,FIX!$A$2:$D1000,4, false),"")</f>
        <v/>
      </c>
      <c r="N745" s="10"/>
      <c r="O745" s="10"/>
      <c r="P745" s="10"/>
      <c r="Q745" s="10"/>
      <c r="R745" s="10"/>
      <c r="S745" s="10"/>
      <c r="T745" s="10"/>
      <c r="U745" s="10"/>
      <c r="V745" s="10"/>
    </row>
    <row r="746">
      <c r="A746" s="10"/>
      <c r="B746" s="10"/>
      <c r="C746" s="10"/>
      <c r="D746" s="10"/>
      <c r="E746" s="10"/>
      <c r="F746" s="10"/>
      <c r="G746" s="10"/>
      <c r="I746" s="10"/>
      <c r="J746" s="10"/>
      <c r="K746" s="10"/>
      <c r="L746" s="10"/>
      <c r="M746" s="10" t="str">
        <f>ifna(VLOOKUP('acft-exerc'!$M746,FIX!$A$2:$D1000,4, false),"")</f>
        <v/>
      </c>
      <c r="N746" s="10"/>
      <c r="O746" s="10"/>
      <c r="P746" s="10"/>
      <c r="Q746" s="10"/>
      <c r="R746" s="10"/>
      <c r="S746" s="10"/>
      <c r="T746" s="10"/>
      <c r="U746" s="10"/>
      <c r="V746" s="10"/>
    </row>
    <row r="747">
      <c r="A747" s="10"/>
      <c r="B747" s="10"/>
      <c r="C747" s="10"/>
      <c r="D747" s="10"/>
      <c r="E747" s="10"/>
      <c r="F747" s="10"/>
      <c r="G747" s="10"/>
      <c r="I747" s="10"/>
      <c r="J747" s="10"/>
      <c r="K747" s="10"/>
      <c r="L747" s="10"/>
      <c r="M747" s="10" t="str">
        <f>ifna(VLOOKUP('acft-exerc'!$M747,FIX!$A$2:$D1000,4, false),"")</f>
        <v/>
      </c>
      <c r="N747" s="10"/>
      <c r="O747" s="10"/>
      <c r="P747" s="10"/>
      <c r="Q747" s="10"/>
      <c r="R747" s="10"/>
      <c r="S747" s="10"/>
      <c r="T747" s="10"/>
      <c r="U747" s="10"/>
      <c r="V747" s="10"/>
    </row>
    <row r="748">
      <c r="A748" s="10"/>
      <c r="B748" s="10"/>
      <c r="C748" s="10"/>
      <c r="D748" s="10"/>
      <c r="E748" s="10"/>
      <c r="F748" s="10"/>
      <c r="G748" s="10"/>
      <c r="I748" s="10"/>
      <c r="J748" s="10"/>
      <c r="K748" s="10"/>
      <c r="L748" s="10"/>
      <c r="M748" s="10" t="str">
        <f>ifna(VLOOKUP('acft-exerc'!$M748,FIX!$A$2:$D1000,4, false),"")</f>
        <v/>
      </c>
      <c r="N748" s="10"/>
      <c r="O748" s="10"/>
      <c r="P748" s="10"/>
      <c r="Q748" s="10"/>
      <c r="R748" s="10"/>
      <c r="S748" s="10"/>
      <c r="T748" s="10"/>
      <c r="U748" s="10"/>
      <c r="V748" s="10"/>
    </row>
    <row r="749">
      <c r="A749" s="10"/>
      <c r="B749" s="10"/>
      <c r="C749" s="10"/>
      <c r="D749" s="10"/>
      <c r="E749" s="10"/>
      <c r="F749" s="10"/>
      <c r="G749" s="10"/>
      <c r="I749" s="10"/>
      <c r="J749" s="10"/>
      <c r="K749" s="10"/>
      <c r="L749" s="10"/>
      <c r="M749" s="10" t="str">
        <f>ifna(VLOOKUP('acft-exerc'!$M749,FIX!$A$2:$D1000,4, false),"")</f>
        <v/>
      </c>
      <c r="N749" s="10"/>
      <c r="O749" s="10"/>
      <c r="P749" s="10"/>
      <c r="Q749" s="10"/>
      <c r="R749" s="10"/>
      <c r="S749" s="10"/>
      <c r="T749" s="10"/>
      <c r="U749" s="10"/>
      <c r="V749" s="10"/>
    </row>
    <row r="750">
      <c r="A750" s="10"/>
      <c r="B750" s="10"/>
      <c r="C750" s="10"/>
      <c r="D750" s="10"/>
      <c r="E750" s="10"/>
      <c r="F750" s="10"/>
      <c r="G750" s="10"/>
      <c r="I750" s="10"/>
      <c r="J750" s="10"/>
      <c r="K750" s="10"/>
      <c r="L750" s="10"/>
      <c r="M750" s="10" t="str">
        <f>ifna(VLOOKUP('acft-exerc'!$M750,FIX!$A$2:$D1000,4, false),"")</f>
        <v/>
      </c>
      <c r="N750" s="10"/>
      <c r="O750" s="10"/>
      <c r="P750" s="10"/>
      <c r="Q750" s="10"/>
      <c r="R750" s="10"/>
      <c r="S750" s="10"/>
      <c r="T750" s="10"/>
      <c r="U750" s="10"/>
      <c r="V750" s="10"/>
    </row>
    <row r="751">
      <c r="A751" s="10"/>
      <c r="B751" s="10"/>
      <c r="C751" s="10"/>
      <c r="D751" s="10"/>
      <c r="E751" s="10"/>
      <c r="F751" s="10"/>
      <c r="G751" s="10"/>
      <c r="I751" s="10"/>
      <c r="J751" s="10"/>
      <c r="K751" s="10"/>
      <c r="L751" s="10"/>
      <c r="M751" s="10" t="str">
        <f>ifna(VLOOKUP('acft-exerc'!$M751,FIX!$A$2:$D1000,4, false),"")</f>
        <v/>
      </c>
      <c r="N751" s="10"/>
      <c r="O751" s="10"/>
      <c r="P751" s="10"/>
      <c r="Q751" s="10"/>
      <c r="R751" s="10"/>
      <c r="S751" s="10"/>
      <c r="T751" s="10"/>
      <c r="U751" s="10"/>
      <c r="V751" s="10"/>
    </row>
    <row r="752">
      <c r="A752" s="10"/>
      <c r="B752" s="10"/>
      <c r="C752" s="10"/>
      <c r="D752" s="10"/>
      <c r="E752" s="10"/>
      <c r="F752" s="10"/>
      <c r="G752" s="10"/>
      <c r="I752" s="10"/>
      <c r="J752" s="10"/>
      <c r="K752" s="10"/>
      <c r="L752" s="10"/>
      <c r="M752" s="10" t="str">
        <f>ifna(VLOOKUP('acft-exerc'!$M752,FIX!$A$2:$D1000,4, false),"")</f>
        <v/>
      </c>
      <c r="N752" s="10"/>
      <c r="O752" s="10"/>
      <c r="P752" s="10"/>
      <c r="Q752" s="10"/>
      <c r="R752" s="10"/>
      <c r="S752" s="10"/>
      <c r="T752" s="10"/>
      <c r="U752" s="10"/>
      <c r="V752" s="10"/>
    </row>
    <row r="753">
      <c r="A753" s="10"/>
      <c r="B753" s="10"/>
      <c r="C753" s="10"/>
      <c r="D753" s="10"/>
      <c r="E753" s="10"/>
      <c r="F753" s="10"/>
      <c r="G753" s="10"/>
      <c r="I753" s="10"/>
      <c r="J753" s="10"/>
      <c r="K753" s="10"/>
      <c r="L753" s="10"/>
      <c r="M753" s="10" t="str">
        <f>ifna(VLOOKUP('acft-exerc'!$M753,FIX!$A$2:$D1000,4, false),"")</f>
        <v/>
      </c>
      <c r="N753" s="10"/>
      <c r="O753" s="10"/>
      <c r="P753" s="10"/>
      <c r="Q753" s="10"/>
      <c r="R753" s="10"/>
      <c r="S753" s="10"/>
      <c r="T753" s="10"/>
      <c r="U753" s="10"/>
      <c r="V753" s="10"/>
    </row>
    <row r="754">
      <c r="A754" s="10"/>
      <c r="B754" s="10"/>
      <c r="C754" s="10"/>
      <c r="D754" s="10"/>
      <c r="E754" s="10"/>
      <c r="F754" s="10"/>
      <c r="G754" s="10"/>
      <c r="I754" s="10"/>
      <c r="J754" s="10"/>
      <c r="K754" s="10"/>
      <c r="L754" s="10"/>
      <c r="M754" s="10" t="str">
        <f>ifna(VLOOKUP('acft-exerc'!$M754,FIX!$A$2:$D1000,4, false),"")</f>
        <v/>
      </c>
      <c r="N754" s="10"/>
      <c r="O754" s="10"/>
      <c r="P754" s="10"/>
      <c r="Q754" s="10"/>
      <c r="R754" s="10"/>
      <c r="S754" s="10"/>
      <c r="T754" s="10"/>
      <c r="U754" s="10"/>
      <c r="V754" s="10"/>
    </row>
    <row r="755">
      <c r="A755" s="10"/>
      <c r="B755" s="10"/>
      <c r="C755" s="10"/>
      <c r="D755" s="10"/>
      <c r="E755" s="10"/>
      <c r="F755" s="10"/>
      <c r="G755" s="10"/>
      <c r="I755" s="10"/>
      <c r="J755" s="10"/>
      <c r="K755" s="10"/>
      <c r="L755" s="10"/>
      <c r="M755" s="10" t="str">
        <f>ifna(VLOOKUP('acft-exerc'!$M755,FIX!$A$2:$D1000,4, false),"")</f>
        <v/>
      </c>
      <c r="N755" s="10"/>
      <c r="O755" s="10"/>
      <c r="P755" s="10"/>
      <c r="Q755" s="10"/>
      <c r="R755" s="10"/>
      <c r="S755" s="10"/>
      <c r="T755" s="10"/>
      <c r="U755" s="10"/>
      <c r="V755" s="10"/>
    </row>
    <row r="756">
      <c r="A756" s="10"/>
      <c r="B756" s="10"/>
      <c r="C756" s="10"/>
      <c r="D756" s="10"/>
      <c r="E756" s="10"/>
      <c r="F756" s="10"/>
      <c r="G756" s="10"/>
      <c r="I756" s="10"/>
      <c r="J756" s="10"/>
      <c r="K756" s="10"/>
      <c r="L756" s="10"/>
      <c r="M756" s="10" t="str">
        <f>ifna(VLOOKUP('acft-exerc'!$M756,FIX!$A$2:$D1000,4, false),"")</f>
        <v/>
      </c>
      <c r="N756" s="10"/>
      <c r="O756" s="10"/>
      <c r="P756" s="10"/>
      <c r="Q756" s="10"/>
      <c r="R756" s="10"/>
      <c r="S756" s="10"/>
      <c r="T756" s="10"/>
      <c r="U756" s="10"/>
      <c r="V756" s="10"/>
    </row>
    <row r="757">
      <c r="A757" s="10"/>
      <c r="B757" s="10"/>
      <c r="C757" s="10"/>
      <c r="D757" s="10"/>
      <c r="E757" s="10"/>
      <c r="F757" s="10"/>
      <c r="G757" s="10"/>
      <c r="I757" s="10"/>
      <c r="J757" s="10"/>
      <c r="K757" s="10"/>
      <c r="L757" s="10"/>
      <c r="M757" s="10" t="str">
        <f>ifna(VLOOKUP('acft-exerc'!$M757,FIX!$A$2:$D1000,4, false),"")</f>
        <v/>
      </c>
      <c r="N757" s="10"/>
      <c r="O757" s="10"/>
      <c r="P757" s="10"/>
      <c r="Q757" s="10"/>
      <c r="R757" s="10"/>
      <c r="S757" s="10"/>
      <c r="T757" s="10"/>
      <c r="U757" s="10"/>
      <c r="V757" s="10"/>
    </row>
    <row r="758">
      <c r="A758" s="10"/>
      <c r="B758" s="10"/>
      <c r="C758" s="10"/>
      <c r="D758" s="10"/>
      <c r="E758" s="10"/>
      <c r="F758" s="10"/>
      <c r="G758" s="10"/>
      <c r="I758" s="10"/>
      <c r="J758" s="10"/>
      <c r="K758" s="10"/>
      <c r="L758" s="10"/>
      <c r="M758" s="10" t="str">
        <f>ifna(VLOOKUP('acft-exerc'!$M758,FIX!$A$2:$D1000,4, false),"")</f>
        <v/>
      </c>
      <c r="N758" s="10"/>
      <c r="O758" s="10"/>
      <c r="P758" s="10"/>
      <c r="Q758" s="10"/>
      <c r="R758" s="10"/>
      <c r="S758" s="10"/>
      <c r="T758" s="10"/>
      <c r="U758" s="10"/>
      <c r="V758" s="10"/>
    </row>
    <row r="759">
      <c r="A759" s="10"/>
      <c r="B759" s="10"/>
      <c r="C759" s="10"/>
      <c r="D759" s="10"/>
      <c r="E759" s="10"/>
      <c r="F759" s="10"/>
      <c r="G759" s="10"/>
      <c r="I759" s="10"/>
      <c r="J759" s="10"/>
      <c r="K759" s="10"/>
      <c r="L759" s="10"/>
      <c r="M759" s="10" t="str">
        <f>ifna(VLOOKUP('acft-exerc'!$M759,FIX!$A$2:$D1000,4, false),"")</f>
        <v/>
      </c>
      <c r="N759" s="10"/>
      <c r="O759" s="10"/>
      <c r="P759" s="10"/>
      <c r="Q759" s="10"/>
      <c r="R759" s="10"/>
      <c r="S759" s="10"/>
      <c r="T759" s="10"/>
      <c r="U759" s="10"/>
      <c r="V759" s="10"/>
    </row>
    <row r="760">
      <c r="A760" s="10"/>
      <c r="B760" s="10"/>
      <c r="C760" s="10"/>
      <c r="D760" s="10"/>
      <c r="E760" s="10"/>
      <c r="F760" s="10"/>
      <c r="G760" s="10"/>
      <c r="I760" s="10"/>
      <c r="J760" s="10"/>
      <c r="K760" s="10"/>
      <c r="L760" s="10"/>
      <c r="M760" s="10" t="str">
        <f>ifna(VLOOKUP('acft-exerc'!$M760,FIX!$A$2:$D1000,4, false),"")</f>
        <v/>
      </c>
      <c r="N760" s="10"/>
      <c r="O760" s="10"/>
      <c r="P760" s="10"/>
      <c r="Q760" s="10"/>
      <c r="R760" s="10"/>
      <c r="S760" s="10"/>
      <c r="T760" s="10"/>
      <c r="U760" s="10"/>
      <c r="V760" s="10"/>
    </row>
    <row r="761">
      <c r="A761" s="10"/>
      <c r="B761" s="10"/>
      <c r="C761" s="10"/>
      <c r="D761" s="10"/>
      <c r="E761" s="10"/>
      <c r="F761" s="10"/>
      <c r="G761" s="10"/>
      <c r="I761" s="10"/>
      <c r="J761" s="10"/>
      <c r="K761" s="10"/>
      <c r="L761" s="10"/>
      <c r="M761" s="10" t="str">
        <f>ifna(VLOOKUP('acft-exerc'!$M761,FIX!$A$2:$D1000,4, false),"")</f>
        <v/>
      </c>
      <c r="N761" s="10"/>
      <c r="O761" s="10"/>
      <c r="P761" s="10"/>
      <c r="Q761" s="10"/>
      <c r="R761" s="10"/>
      <c r="S761" s="10"/>
      <c r="T761" s="10"/>
      <c r="U761" s="10"/>
      <c r="V761" s="10"/>
    </row>
    <row r="762">
      <c r="A762" s="10"/>
      <c r="B762" s="10"/>
      <c r="C762" s="10"/>
      <c r="D762" s="10"/>
      <c r="E762" s="10"/>
      <c r="F762" s="10"/>
      <c r="G762" s="10"/>
      <c r="I762" s="10"/>
      <c r="J762" s="10"/>
      <c r="K762" s="10"/>
      <c r="L762" s="10"/>
      <c r="M762" s="10" t="str">
        <f>ifna(VLOOKUP('acft-exerc'!$M762,FIX!$A$2:$D1000,4, false),"")</f>
        <v/>
      </c>
      <c r="N762" s="10"/>
      <c r="O762" s="10"/>
      <c r="P762" s="10"/>
      <c r="Q762" s="10"/>
      <c r="R762" s="10"/>
      <c r="S762" s="10"/>
      <c r="T762" s="10"/>
      <c r="U762" s="10"/>
      <c r="V762" s="10"/>
    </row>
    <row r="763">
      <c r="A763" s="10"/>
      <c r="B763" s="10"/>
      <c r="C763" s="10"/>
      <c r="D763" s="10"/>
      <c r="E763" s="10"/>
      <c r="F763" s="10"/>
      <c r="G763" s="10"/>
      <c r="I763" s="10"/>
      <c r="J763" s="10"/>
      <c r="K763" s="10"/>
      <c r="L763" s="10"/>
      <c r="M763" s="10" t="str">
        <f>ifna(VLOOKUP('acft-exerc'!$M763,FIX!$A$2:$D1000,4, false),"")</f>
        <v/>
      </c>
      <c r="N763" s="10"/>
      <c r="O763" s="10"/>
      <c r="P763" s="10"/>
      <c r="Q763" s="10"/>
      <c r="R763" s="10"/>
      <c r="S763" s="10"/>
      <c r="T763" s="10"/>
      <c r="U763" s="10"/>
      <c r="V763" s="10"/>
    </row>
    <row r="764">
      <c r="A764" s="10"/>
      <c r="B764" s="10"/>
      <c r="C764" s="10"/>
      <c r="D764" s="10"/>
      <c r="E764" s="10"/>
      <c r="F764" s="10"/>
      <c r="G764" s="10"/>
      <c r="I764" s="10"/>
      <c r="J764" s="10"/>
      <c r="K764" s="10"/>
      <c r="L764" s="10"/>
      <c r="M764" s="10" t="str">
        <f>ifna(VLOOKUP('acft-exerc'!$M764,FIX!$A$2:$D1000,4, false),"")</f>
        <v/>
      </c>
      <c r="N764" s="10"/>
      <c r="O764" s="10"/>
      <c r="P764" s="10"/>
      <c r="Q764" s="10"/>
      <c r="R764" s="10"/>
      <c r="S764" s="10"/>
      <c r="T764" s="10"/>
      <c r="U764" s="10"/>
      <c r="V764" s="10"/>
    </row>
    <row r="765">
      <c r="A765" s="10"/>
      <c r="B765" s="10"/>
      <c r="C765" s="10"/>
      <c r="D765" s="10"/>
      <c r="E765" s="10"/>
      <c r="F765" s="10"/>
      <c r="G765" s="10"/>
      <c r="I765" s="10"/>
      <c r="J765" s="10"/>
      <c r="K765" s="10"/>
      <c r="L765" s="10"/>
      <c r="M765" s="10" t="str">
        <f>ifna(VLOOKUP('acft-exerc'!$M765,FIX!$A$2:$D1000,4, false),"")</f>
        <v/>
      </c>
      <c r="N765" s="10"/>
      <c r="O765" s="10"/>
      <c r="P765" s="10"/>
      <c r="Q765" s="10"/>
      <c r="R765" s="10"/>
      <c r="S765" s="10"/>
      <c r="T765" s="10"/>
      <c r="U765" s="10"/>
      <c r="V765" s="10"/>
    </row>
    <row r="766">
      <c r="A766" s="10"/>
      <c r="B766" s="10"/>
      <c r="C766" s="10"/>
      <c r="D766" s="10"/>
      <c r="E766" s="10"/>
      <c r="F766" s="10"/>
      <c r="G766" s="10"/>
      <c r="I766" s="10"/>
      <c r="J766" s="10"/>
      <c r="K766" s="10"/>
      <c r="L766" s="10"/>
      <c r="M766" s="10" t="str">
        <f>ifna(VLOOKUP('acft-exerc'!$M766,FIX!$A$2:$D1000,4, false),"")</f>
        <v/>
      </c>
      <c r="N766" s="10"/>
      <c r="O766" s="10"/>
      <c r="P766" s="10"/>
      <c r="Q766" s="10"/>
      <c r="R766" s="10"/>
      <c r="S766" s="10"/>
      <c r="T766" s="10"/>
      <c r="U766" s="10"/>
      <c r="V766" s="10"/>
    </row>
    <row r="767">
      <c r="A767" s="10"/>
      <c r="B767" s="10"/>
      <c r="C767" s="10"/>
      <c r="D767" s="10"/>
      <c r="E767" s="10"/>
      <c r="F767" s="10"/>
      <c r="G767" s="10"/>
      <c r="I767" s="10"/>
      <c r="J767" s="10"/>
      <c r="K767" s="10"/>
      <c r="L767" s="10"/>
      <c r="M767" s="10" t="str">
        <f>ifna(VLOOKUP('acft-exerc'!$M767,FIX!$A$2:$D1000,4, false),"")</f>
        <v/>
      </c>
      <c r="N767" s="10"/>
      <c r="O767" s="10"/>
      <c r="P767" s="10"/>
      <c r="Q767" s="10"/>
      <c r="R767" s="10"/>
      <c r="S767" s="10"/>
      <c r="T767" s="10"/>
      <c r="U767" s="10"/>
      <c r="V767" s="10"/>
    </row>
    <row r="768">
      <c r="A768" s="10"/>
      <c r="B768" s="10"/>
      <c r="C768" s="10"/>
      <c r="D768" s="10"/>
      <c r="E768" s="10"/>
      <c r="F768" s="10"/>
      <c r="G768" s="10"/>
      <c r="I768" s="10"/>
      <c r="J768" s="10"/>
      <c r="K768" s="10"/>
      <c r="L768" s="10"/>
      <c r="M768" s="10" t="str">
        <f>ifna(VLOOKUP('acft-exerc'!$M768,FIX!$A$2:$D1000,4, false),"")</f>
        <v/>
      </c>
      <c r="N768" s="10"/>
      <c r="O768" s="10"/>
      <c r="P768" s="10"/>
      <c r="Q768" s="10"/>
      <c r="R768" s="10"/>
      <c r="S768" s="10"/>
      <c r="T768" s="10"/>
      <c r="U768" s="10"/>
      <c r="V768" s="10"/>
    </row>
    <row r="769">
      <c r="A769" s="10"/>
      <c r="B769" s="10"/>
      <c r="C769" s="10"/>
      <c r="D769" s="10"/>
      <c r="E769" s="10"/>
      <c r="F769" s="10"/>
      <c r="G769" s="10"/>
      <c r="I769" s="10"/>
      <c r="J769" s="10"/>
      <c r="K769" s="10"/>
      <c r="L769" s="10"/>
      <c r="M769" s="10" t="str">
        <f>ifna(VLOOKUP('acft-exerc'!$M769,FIX!$A$2:$D1000,4, false),"")</f>
        <v/>
      </c>
      <c r="N769" s="10"/>
      <c r="O769" s="10"/>
      <c r="P769" s="10"/>
      <c r="Q769" s="10"/>
      <c r="R769" s="10"/>
      <c r="S769" s="10"/>
      <c r="T769" s="10"/>
      <c r="U769" s="10"/>
      <c r="V769" s="10"/>
    </row>
    <row r="770">
      <c r="A770" s="10"/>
      <c r="B770" s="10"/>
      <c r="C770" s="10"/>
      <c r="D770" s="10"/>
      <c r="E770" s="10"/>
      <c r="F770" s="10"/>
      <c r="G770" s="10"/>
      <c r="I770" s="10"/>
      <c r="J770" s="10"/>
      <c r="K770" s="10"/>
      <c r="L770" s="10"/>
      <c r="M770" s="10" t="str">
        <f>ifna(VLOOKUP('acft-exerc'!$M770,FIX!$A$2:$D1000,4, false),"")</f>
        <v/>
      </c>
      <c r="N770" s="10"/>
      <c r="O770" s="10"/>
      <c r="P770" s="10"/>
      <c r="Q770" s="10"/>
      <c r="R770" s="10"/>
      <c r="S770" s="10"/>
      <c r="T770" s="10"/>
      <c r="U770" s="10"/>
      <c r="V770" s="10"/>
    </row>
    <row r="771">
      <c r="A771" s="10"/>
      <c r="B771" s="10"/>
      <c r="C771" s="10"/>
      <c r="D771" s="10"/>
      <c r="E771" s="10"/>
      <c r="F771" s="10"/>
      <c r="G771" s="10"/>
      <c r="I771" s="10"/>
      <c r="J771" s="10"/>
      <c r="K771" s="10"/>
      <c r="L771" s="10"/>
      <c r="M771" s="10" t="str">
        <f>ifna(VLOOKUP('acft-exerc'!$M771,FIX!$A$2:$D1000,4, false),"")</f>
        <v/>
      </c>
      <c r="N771" s="10"/>
      <c r="O771" s="10"/>
      <c r="P771" s="10"/>
      <c r="Q771" s="10"/>
      <c r="R771" s="10"/>
      <c r="S771" s="10"/>
      <c r="T771" s="10"/>
      <c r="U771" s="10"/>
      <c r="V771" s="10"/>
    </row>
    <row r="772">
      <c r="A772" s="10"/>
      <c r="B772" s="10"/>
      <c r="C772" s="10"/>
      <c r="D772" s="10"/>
      <c r="E772" s="10"/>
      <c r="F772" s="10"/>
      <c r="G772" s="10"/>
      <c r="I772" s="10"/>
      <c r="J772" s="10"/>
      <c r="K772" s="10"/>
      <c r="L772" s="10"/>
      <c r="M772" s="10" t="str">
        <f>ifna(VLOOKUP('acft-exerc'!$M772,FIX!$A$2:$D1000,4, false),"")</f>
        <v/>
      </c>
      <c r="N772" s="10"/>
      <c r="O772" s="10"/>
      <c r="P772" s="10"/>
      <c r="Q772" s="10"/>
      <c r="R772" s="10"/>
      <c r="S772" s="10"/>
      <c r="T772" s="10"/>
      <c r="U772" s="10"/>
      <c r="V772" s="10"/>
    </row>
    <row r="773">
      <c r="A773" s="10"/>
      <c r="B773" s="10"/>
      <c r="C773" s="10"/>
      <c r="D773" s="10"/>
      <c r="E773" s="10"/>
      <c r="F773" s="10"/>
      <c r="G773" s="10"/>
      <c r="I773" s="10"/>
      <c r="J773" s="10"/>
      <c r="K773" s="10"/>
      <c r="L773" s="10"/>
      <c r="M773" s="10" t="str">
        <f>ifna(VLOOKUP('acft-exerc'!$M773,FIX!$A$2:$D1000,4, false),"")</f>
        <v/>
      </c>
      <c r="N773" s="10"/>
      <c r="O773" s="10"/>
      <c r="P773" s="10"/>
      <c r="Q773" s="10"/>
      <c r="R773" s="10"/>
      <c r="S773" s="10"/>
      <c r="T773" s="10"/>
      <c r="U773" s="10"/>
      <c r="V773" s="10"/>
    </row>
    <row r="774">
      <c r="A774" s="10"/>
      <c r="B774" s="10"/>
      <c r="C774" s="10"/>
      <c r="D774" s="10"/>
      <c r="E774" s="10"/>
      <c r="F774" s="10"/>
      <c r="G774" s="10"/>
      <c r="I774" s="10"/>
      <c r="J774" s="10"/>
      <c r="K774" s="10"/>
      <c r="L774" s="10"/>
      <c r="M774" s="10" t="str">
        <f>ifna(VLOOKUP('acft-exerc'!$M774,FIX!$A$2:$D1000,4, false),"")</f>
        <v/>
      </c>
      <c r="N774" s="10"/>
      <c r="O774" s="10"/>
      <c r="P774" s="10"/>
      <c r="Q774" s="10"/>
      <c r="R774" s="10"/>
      <c r="S774" s="10"/>
      <c r="T774" s="10"/>
      <c r="U774" s="10"/>
      <c r="V774" s="10"/>
    </row>
    <row r="775">
      <c r="A775" s="10"/>
      <c r="B775" s="10"/>
      <c r="C775" s="10"/>
      <c r="D775" s="10"/>
      <c r="E775" s="10"/>
      <c r="F775" s="10"/>
      <c r="G775" s="10"/>
      <c r="I775" s="10"/>
      <c r="J775" s="10"/>
      <c r="K775" s="10"/>
      <c r="L775" s="10"/>
      <c r="M775" s="10" t="str">
        <f>ifna(VLOOKUP('acft-exerc'!$M775,FIX!$A$2:$D1000,4, false),"")</f>
        <v/>
      </c>
      <c r="N775" s="10"/>
      <c r="O775" s="10"/>
      <c r="P775" s="10"/>
      <c r="Q775" s="10"/>
      <c r="R775" s="10"/>
      <c r="S775" s="10"/>
      <c r="T775" s="10"/>
      <c r="U775" s="10"/>
      <c r="V775" s="10"/>
    </row>
    <row r="776">
      <c r="A776" s="10"/>
      <c r="B776" s="10"/>
      <c r="C776" s="10"/>
      <c r="D776" s="10"/>
      <c r="E776" s="10"/>
      <c r="F776" s="10"/>
      <c r="G776" s="10"/>
      <c r="I776" s="10"/>
      <c r="J776" s="10"/>
      <c r="K776" s="10"/>
      <c r="L776" s="10"/>
      <c r="M776" s="10" t="str">
        <f>ifna(VLOOKUP('acft-exerc'!$M776,FIX!$A$2:$D1000,4, false),"")</f>
        <v/>
      </c>
      <c r="N776" s="10"/>
      <c r="O776" s="10"/>
      <c r="P776" s="10"/>
      <c r="Q776" s="10"/>
      <c r="R776" s="10"/>
      <c r="S776" s="10"/>
      <c r="T776" s="10"/>
      <c r="U776" s="10"/>
      <c r="V776" s="10"/>
    </row>
    <row r="777">
      <c r="A777" s="10"/>
      <c r="B777" s="10"/>
      <c r="C777" s="10"/>
      <c r="D777" s="10"/>
      <c r="E777" s="10"/>
      <c r="F777" s="10"/>
      <c r="G777" s="10"/>
      <c r="I777" s="10"/>
      <c r="J777" s="10"/>
      <c r="K777" s="10"/>
      <c r="L777" s="10"/>
      <c r="M777" s="10" t="str">
        <f>ifna(VLOOKUP('acft-exerc'!$M777,FIX!$A$2:$D1000,4, false),"")</f>
        <v/>
      </c>
      <c r="N777" s="10"/>
      <c r="O777" s="10"/>
      <c r="P777" s="10"/>
      <c r="Q777" s="10"/>
      <c r="R777" s="10"/>
      <c r="S777" s="10"/>
      <c r="T777" s="10"/>
      <c r="U777" s="10"/>
      <c r="V777" s="10"/>
    </row>
    <row r="778">
      <c r="A778" s="10"/>
      <c r="B778" s="10"/>
      <c r="C778" s="10"/>
      <c r="D778" s="10"/>
      <c r="E778" s="10"/>
      <c r="F778" s="10"/>
      <c r="G778" s="10"/>
      <c r="I778" s="10"/>
      <c r="J778" s="10"/>
      <c r="K778" s="10"/>
      <c r="L778" s="10"/>
      <c r="M778" s="10" t="str">
        <f>ifna(VLOOKUP('acft-exerc'!$M778,FIX!$A$2:$D1000,4, false),"")</f>
        <v/>
      </c>
      <c r="N778" s="10"/>
      <c r="O778" s="10"/>
      <c r="P778" s="10"/>
      <c r="Q778" s="10"/>
      <c r="R778" s="10"/>
      <c r="S778" s="10"/>
      <c r="T778" s="10"/>
      <c r="U778" s="10"/>
      <c r="V778" s="10"/>
    </row>
    <row r="779">
      <c r="A779" s="10"/>
      <c r="B779" s="10"/>
      <c r="C779" s="10"/>
      <c r="D779" s="10"/>
      <c r="E779" s="10"/>
      <c r="F779" s="10"/>
      <c r="G779" s="10"/>
      <c r="I779" s="10"/>
      <c r="J779" s="10"/>
      <c r="K779" s="10"/>
      <c r="L779" s="10"/>
      <c r="M779" s="10" t="str">
        <f>ifna(VLOOKUP('acft-exerc'!$M779,FIX!$A$2:$D1000,4, false),"")</f>
        <v/>
      </c>
      <c r="N779" s="10"/>
      <c r="O779" s="10"/>
      <c r="P779" s="10"/>
      <c r="Q779" s="10"/>
      <c r="R779" s="10"/>
      <c r="S779" s="10"/>
      <c r="T779" s="10"/>
      <c r="U779" s="10"/>
      <c r="V779" s="10"/>
    </row>
    <row r="780">
      <c r="A780" s="10"/>
      <c r="B780" s="10"/>
      <c r="C780" s="10"/>
      <c r="D780" s="10"/>
      <c r="E780" s="10"/>
      <c r="F780" s="10"/>
      <c r="G780" s="10"/>
      <c r="I780" s="10"/>
      <c r="J780" s="10"/>
      <c r="K780" s="10"/>
      <c r="L780" s="10"/>
      <c r="M780" s="10" t="str">
        <f>ifna(VLOOKUP('acft-exerc'!$M780,FIX!$A$2:$D1000,4, false),"")</f>
        <v/>
      </c>
      <c r="N780" s="10"/>
      <c r="O780" s="10"/>
      <c r="P780" s="10"/>
      <c r="Q780" s="10"/>
      <c r="R780" s="10"/>
      <c r="S780" s="10"/>
      <c r="T780" s="10"/>
      <c r="U780" s="10"/>
      <c r="V780" s="10"/>
    </row>
    <row r="781">
      <c r="A781" s="10"/>
      <c r="B781" s="10"/>
      <c r="C781" s="10"/>
      <c r="D781" s="10"/>
      <c r="E781" s="10"/>
      <c r="F781" s="10"/>
      <c r="G781" s="10"/>
      <c r="I781" s="10"/>
      <c r="J781" s="10"/>
      <c r="K781" s="10"/>
      <c r="L781" s="10"/>
      <c r="M781" s="10" t="str">
        <f>ifna(VLOOKUP('acft-exerc'!$M781,FIX!$A$2:$D1000,4, false),"")</f>
        <v/>
      </c>
      <c r="N781" s="10"/>
      <c r="O781" s="10"/>
      <c r="P781" s="10"/>
      <c r="Q781" s="10"/>
      <c r="R781" s="10"/>
      <c r="S781" s="10"/>
      <c r="T781" s="10"/>
      <c r="U781" s="10"/>
      <c r="V781" s="10"/>
    </row>
    <row r="782">
      <c r="A782" s="10"/>
      <c r="B782" s="10"/>
      <c r="C782" s="10"/>
      <c r="D782" s="10"/>
      <c r="E782" s="10"/>
      <c r="F782" s="10"/>
      <c r="G782" s="10"/>
      <c r="I782" s="10"/>
      <c r="J782" s="10"/>
      <c r="K782" s="10"/>
      <c r="L782" s="10"/>
      <c r="M782" s="10" t="str">
        <f>ifna(VLOOKUP('acft-exerc'!$M782,FIX!$A$2:$D1000,4, false),"")</f>
        <v/>
      </c>
      <c r="N782" s="10"/>
      <c r="O782" s="10"/>
      <c r="P782" s="10"/>
      <c r="Q782" s="10"/>
      <c r="R782" s="10"/>
      <c r="S782" s="10"/>
      <c r="T782" s="10"/>
      <c r="U782" s="10"/>
      <c r="V782" s="10"/>
    </row>
    <row r="783">
      <c r="A783" s="10"/>
      <c r="B783" s="10"/>
      <c r="C783" s="10"/>
      <c r="D783" s="10"/>
      <c r="E783" s="10"/>
      <c r="F783" s="10"/>
      <c r="G783" s="10"/>
      <c r="I783" s="10"/>
      <c r="J783" s="10"/>
      <c r="K783" s="10"/>
      <c r="L783" s="10"/>
      <c r="M783" s="10" t="str">
        <f>ifna(VLOOKUP('acft-exerc'!$M783,FIX!$A$2:$D1000,4, false),"")</f>
        <v/>
      </c>
      <c r="N783" s="10"/>
      <c r="O783" s="10"/>
      <c r="P783" s="10"/>
      <c r="Q783" s="10"/>
      <c r="R783" s="10"/>
      <c r="S783" s="10"/>
      <c r="T783" s="10"/>
      <c r="U783" s="10"/>
      <c r="V783" s="10"/>
    </row>
    <row r="784">
      <c r="A784" s="10"/>
      <c r="B784" s="10"/>
      <c r="C784" s="10"/>
      <c r="D784" s="10"/>
      <c r="E784" s="10"/>
      <c r="F784" s="10"/>
      <c r="G784" s="10"/>
      <c r="I784" s="10"/>
      <c r="J784" s="10"/>
      <c r="K784" s="10"/>
      <c r="L784" s="10"/>
      <c r="M784" s="10" t="str">
        <f>ifna(VLOOKUP('acft-exerc'!$M784,FIX!$A$2:$D1000,4, false),"")</f>
        <v/>
      </c>
      <c r="N784" s="10"/>
      <c r="O784" s="10"/>
      <c r="P784" s="10"/>
      <c r="Q784" s="10"/>
      <c r="R784" s="10"/>
      <c r="S784" s="10"/>
      <c r="T784" s="10"/>
      <c r="U784" s="10"/>
      <c r="V784" s="10"/>
    </row>
    <row r="785">
      <c r="A785" s="10"/>
      <c r="B785" s="10"/>
      <c r="C785" s="10"/>
      <c r="D785" s="10"/>
      <c r="E785" s="10"/>
      <c r="F785" s="10"/>
      <c r="G785" s="10"/>
      <c r="I785" s="10"/>
      <c r="J785" s="10"/>
      <c r="K785" s="10"/>
      <c r="L785" s="10"/>
      <c r="M785" s="10" t="str">
        <f>ifna(VLOOKUP('acft-exerc'!$M785,FIX!$A$2:$D1000,4, false),"")</f>
        <v/>
      </c>
      <c r="N785" s="10"/>
      <c r="O785" s="10"/>
      <c r="P785" s="10"/>
      <c r="Q785" s="10"/>
      <c r="R785" s="10"/>
      <c r="S785" s="10"/>
      <c r="T785" s="10"/>
      <c r="U785" s="10"/>
      <c r="V785" s="10"/>
    </row>
    <row r="786">
      <c r="A786" s="10"/>
      <c r="B786" s="10"/>
      <c r="C786" s="10"/>
      <c r="D786" s="10"/>
      <c r="E786" s="10"/>
      <c r="F786" s="10"/>
      <c r="G786" s="10"/>
      <c r="I786" s="10"/>
      <c r="J786" s="10"/>
      <c r="K786" s="10"/>
      <c r="L786" s="10"/>
      <c r="M786" s="10" t="str">
        <f>ifna(VLOOKUP('acft-exerc'!$M786,FIX!$A$2:$D1000,4, false),"")</f>
        <v/>
      </c>
      <c r="N786" s="10"/>
      <c r="O786" s="10"/>
      <c r="P786" s="10"/>
      <c r="Q786" s="10"/>
      <c r="R786" s="10"/>
      <c r="S786" s="10"/>
      <c r="T786" s="10"/>
      <c r="U786" s="10"/>
      <c r="V786" s="10"/>
    </row>
    <row r="787">
      <c r="A787" s="10"/>
      <c r="B787" s="10"/>
      <c r="C787" s="10"/>
      <c r="D787" s="10"/>
      <c r="E787" s="10"/>
      <c r="F787" s="10"/>
      <c r="G787" s="10"/>
      <c r="I787" s="10"/>
      <c r="J787" s="10"/>
      <c r="K787" s="10"/>
      <c r="L787" s="10"/>
      <c r="M787" s="10" t="str">
        <f>ifna(VLOOKUP('acft-exerc'!$M787,FIX!$A$2:$D1000,4, false),"")</f>
        <v/>
      </c>
      <c r="N787" s="10"/>
      <c r="O787" s="10"/>
      <c r="P787" s="10"/>
      <c r="Q787" s="10"/>
      <c r="R787" s="10"/>
      <c r="S787" s="10"/>
      <c r="T787" s="10"/>
      <c r="U787" s="10"/>
      <c r="V787" s="10"/>
    </row>
    <row r="788">
      <c r="A788" s="10"/>
      <c r="B788" s="10"/>
      <c r="C788" s="10"/>
      <c r="D788" s="10"/>
      <c r="E788" s="10"/>
      <c r="F788" s="10"/>
      <c r="G788" s="10"/>
      <c r="I788" s="10"/>
      <c r="J788" s="10"/>
      <c r="K788" s="10"/>
      <c r="L788" s="10"/>
      <c r="M788" s="10" t="str">
        <f>ifna(VLOOKUP('acft-exerc'!$M788,FIX!$A$2:$D1000,4, false),"")</f>
        <v/>
      </c>
      <c r="N788" s="10"/>
      <c r="O788" s="10"/>
      <c r="P788" s="10"/>
      <c r="Q788" s="10"/>
      <c r="R788" s="10"/>
      <c r="S788" s="10"/>
      <c r="T788" s="10"/>
      <c r="U788" s="10"/>
      <c r="V788" s="10"/>
    </row>
    <row r="789">
      <c r="A789" s="10"/>
      <c r="B789" s="10"/>
      <c r="C789" s="10"/>
      <c r="D789" s="10"/>
      <c r="E789" s="10"/>
      <c r="F789" s="10"/>
      <c r="G789" s="10"/>
      <c r="I789" s="10"/>
      <c r="J789" s="10"/>
      <c r="K789" s="10"/>
      <c r="L789" s="10"/>
      <c r="M789" s="10" t="str">
        <f>ifna(VLOOKUP('acft-exerc'!$M789,FIX!$A$2:$D1000,4, false),"")</f>
        <v/>
      </c>
      <c r="N789" s="10"/>
      <c r="O789" s="10"/>
      <c r="P789" s="10"/>
      <c r="Q789" s="10"/>
      <c r="R789" s="10"/>
      <c r="S789" s="10"/>
      <c r="T789" s="10"/>
      <c r="U789" s="10"/>
      <c r="V789" s="10"/>
    </row>
    <row r="790">
      <c r="A790" s="10"/>
      <c r="B790" s="10"/>
      <c r="C790" s="10"/>
      <c r="D790" s="10"/>
      <c r="E790" s="10"/>
      <c r="F790" s="10"/>
      <c r="G790" s="10"/>
      <c r="I790" s="10"/>
      <c r="J790" s="10"/>
      <c r="K790" s="10"/>
      <c r="L790" s="10"/>
      <c r="M790" s="10" t="str">
        <f>ifna(VLOOKUP('acft-exerc'!$M790,FIX!$A$2:$D1000,4, false),"")</f>
        <v/>
      </c>
      <c r="N790" s="10"/>
      <c r="O790" s="10"/>
      <c r="P790" s="10"/>
      <c r="Q790" s="10"/>
      <c r="R790" s="10"/>
      <c r="S790" s="10"/>
      <c r="T790" s="10"/>
      <c r="U790" s="10"/>
      <c r="V790" s="10"/>
    </row>
    <row r="791">
      <c r="A791" s="10"/>
      <c r="B791" s="10"/>
      <c r="C791" s="10"/>
      <c r="D791" s="10"/>
      <c r="E791" s="10"/>
      <c r="F791" s="10"/>
      <c r="G791" s="10"/>
      <c r="I791" s="10"/>
      <c r="J791" s="10"/>
      <c r="K791" s="10"/>
      <c r="L791" s="10"/>
      <c r="M791" s="10" t="str">
        <f>ifna(VLOOKUP('acft-exerc'!$M791,FIX!$A$2:$D1000,4, false),"")</f>
        <v/>
      </c>
      <c r="N791" s="10"/>
      <c r="O791" s="10"/>
      <c r="P791" s="10"/>
      <c r="Q791" s="10"/>
      <c r="R791" s="10"/>
      <c r="S791" s="10"/>
      <c r="T791" s="10"/>
      <c r="U791" s="10"/>
      <c r="V791" s="10"/>
    </row>
    <row r="792">
      <c r="A792" s="10"/>
      <c r="B792" s="10"/>
      <c r="C792" s="10"/>
      <c r="D792" s="10"/>
      <c r="E792" s="10"/>
      <c r="F792" s="10"/>
      <c r="G792" s="10"/>
      <c r="I792" s="10"/>
      <c r="J792" s="10"/>
      <c r="K792" s="10"/>
      <c r="L792" s="10"/>
      <c r="M792" s="10" t="str">
        <f>ifna(VLOOKUP('acft-exerc'!$M792,FIX!$A$2:$D1000,4, false),"")</f>
        <v/>
      </c>
      <c r="N792" s="10"/>
      <c r="O792" s="10"/>
      <c r="P792" s="10"/>
      <c r="Q792" s="10"/>
      <c r="R792" s="10"/>
      <c r="S792" s="10"/>
      <c r="T792" s="10"/>
      <c r="U792" s="10"/>
      <c r="V792" s="10"/>
    </row>
    <row r="793">
      <c r="A793" s="10"/>
      <c r="B793" s="10"/>
      <c r="C793" s="10"/>
      <c r="D793" s="10"/>
      <c r="E793" s="10"/>
      <c r="F793" s="10"/>
      <c r="G793" s="10"/>
      <c r="I793" s="10"/>
      <c r="J793" s="10"/>
      <c r="K793" s="10"/>
      <c r="L793" s="10"/>
      <c r="M793" s="10" t="str">
        <f>ifna(VLOOKUP('acft-exerc'!$M793,FIX!$A$2:$D1000,4, false),"")</f>
        <v/>
      </c>
      <c r="N793" s="10"/>
      <c r="O793" s="10"/>
      <c r="P793" s="10"/>
      <c r="Q793" s="10"/>
      <c r="R793" s="10"/>
      <c r="S793" s="10"/>
      <c r="T793" s="10"/>
      <c r="U793" s="10"/>
      <c r="V793" s="10"/>
    </row>
    <row r="794">
      <c r="A794" s="10"/>
      <c r="B794" s="10"/>
      <c r="C794" s="10"/>
      <c r="D794" s="10"/>
      <c r="E794" s="10"/>
      <c r="F794" s="10"/>
      <c r="G794" s="10"/>
      <c r="I794" s="10"/>
      <c r="J794" s="10"/>
      <c r="K794" s="10"/>
      <c r="L794" s="10"/>
      <c r="M794" s="10" t="str">
        <f>ifna(VLOOKUP('acft-exerc'!$M794,FIX!$A$2:$D1000,4, false),"")</f>
        <v/>
      </c>
      <c r="N794" s="10"/>
      <c r="O794" s="10"/>
      <c r="P794" s="10"/>
      <c r="Q794" s="10"/>
      <c r="R794" s="10"/>
      <c r="S794" s="10"/>
      <c r="T794" s="10"/>
      <c r="U794" s="10"/>
      <c r="V794" s="10"/>
    </row>
    <row r="795">
      <c r="A795" s="10"/>
      <c r="B795" s="10"/>
      <c r="C795" s="10"/>
      <c r="D795" s="10"/>
      <c r="E795" s="10"/>
      <c r="F795" s="10"/>
      <c r="G795" s="10"/>
      <c r="I795" s="10"/>
      <c r="J795" s="10"/>
      <c r="K795" s="10"/>
      <c r="L795" s="10"/>
      <c r="M795" s="10" t="str">
        <f>ifna(VLOOKUP('acft-exerc'!$M795,FIX!$A$2:$D1000,4, false),"")</f>
        <v/>
      </c>
      <c r="N795" s="10"/>
      <c r="O795" s="10"/>
      <c r="P795" s="10"/>
      <c r="Q795" s="10"/>
      <c r="R795" s="10"/>
      <c r="S795" s="10"/>
      <c r="T795" s="10"/>
      <c r="U795" s="10"/>
      <c r="V795" s="10"/>
    </row>
    <row r="796">
      <c r="A796" s="10"/>
      <c r="B796" s="10"/>
      <c r="C796" s="10"/>
      <c r="D796" s="10"/>
      <c r="E796" s="10"/>
      <c r="F796" s="10"/>
      <c r="G796" s="10"/>
      <c r="I796" s="10"/>
      <c r="J796" s="10"/>
      <c r="K796" s="10"/>
      <c r="L796" s="10"/>
      <c r="M796" s="10" t="str">
        <f>ifna(VLOOKUP('acft-exerc'!$M796,FIX!$A$2:$D1000,4, false),"")</f>
        <v/>
      </c>
      <c r="N796" s="10"/>
      <c r="O796" s="10"/>
      <c r="P796" s="10"/>
      <c r="Q796" s="10"/>
      <c r="R796" s="10"/>
      <c r="S796" s="10"/>
      <c r="T796" s="10"/>
      <c r="U796" s="10"/>
      <c r="V796" s="10"/>
    </row>
    <row r="797">
      <c r="A797" s="10"/>
      <c r="B797" s="10"/>
      <c r="C797" s="10"/>
      <c r="D797" s="10"/>
      <c r="E797" s="10"/>
      <c r="F797" s="10"/>
      <c r="G797" s="10"/>
      <c r="I797" s="10"/>
      <c r="J797" s="10"/>
      <c r="K797" s="10"/>
      <c r="L797" s="10"/>
      <c r="M797" s="10" t="str">
        <f>ifna(VLOOKUP('acft-exerc'!$M797,FIX!$A$2:$D1000,4, false),"")</f>
        <v/>
      </c>
      <c r="N797" s="10"/>
      <c r="O797" s="10"/>
      <c r="P797" s="10"/>
      <c r="Q797" s="10"/>
      <c r="R797" s="10"/>
      <c r="S797" s="10"/>
      <c r="T797" s="10"/>
      <c r="U797" s="10"/>
      <c r="V797" s="10"/>
    </row>
    <row r="798">
      <c r="A798" s="10"/>
      <c r="B798" s="10"/>
      <c r="C798" s="10"/>
      <c r="D798" s="10"/>
      <c r="E798" s="10"/>
      <c r="F798" s="10"/>
      <c r="G798" s="10"/>
      <c r="I798" s="10"/>
      <c r="J798" s="10"/>
      <c r="K798" s="10"/>
      <c r="L798" s="10"/>
      <c r="M798" s="10" t="str">
        <f>ifna(VLOOKUP('acft-exerc'!$M798,FIX!$A$2:$D1000,4, false),"")</f>
        <v/>
      </c>
      <c r="N798" s="10"/>
      <c r="O798" s="10"/>
      <c r="P798" s="10"/>
      <c r="Q798" s="10"/>
      <c r="R798" s="10"/>
      <c r="S798" s="10"/>
      <c r="T798" s="10"/>
      <c r="U798" s="10"/>
      <c r="V798" s="10"/>
    </row>
    <row r="799">
      <c r="A799" s="10"/>
      <c r="B799" s="10"/>
      <c r="C799" s="10"/>
      <c r="D799" s="10"/>
      <c r="E799" s="10"/>
      <c r="F799" s="10"/>
      <c r="G799" s="10"/>
      <c r="I799" s="10"/>
      <c r="J799" s="10"/>
      <c r="K799" s="10"/>
      <c r="L799" s="10"/>
      <c r="M799" s="10" t="str">
        <f>ifna(VLOOKUP('acft-exerc'!$M799,FIX!$A$2:$D1000,4, false),"")</f>
        <v/>
      </c>
      <c r="N799" s="10"/>
      <c r="O799" s="10"/>
      <c r="P799" s="10"/>
      <c r="Q799" s="10"/>
      <c r="R799" s="10"/>
      <c r="S799" s="10"/>
      <c r="T799" s="10"/>
      <c r="U799" s="10"/>
      <c r="V799" s="10"/>
    </row>
    <row r="800">
      <c r="A800" s="10"/>
      <c r="B800" s="10"/>
      <c r="C800" s="10"/>
      <c r="D800" s="10"/>
      <c r="E800" s="10"/>
      <c r="F800" s="10"/>
      <c r="G800" s="10"/>
      <c r="I800" s="10"/>
      <c r="J800" s="10"/>
      <c r="K800" s="10"/>
      <c r="L800" s="10"/>
      <c r="M800" s="10" t="str">
        <f>ifna(VLOOKUP('acft-exerc'!$M800,FIX!$A$2:$D1000,4, false),"")</f>
        <v/>
      </c>
      <c r="N800" s="10"/>
      <c r="O800" s="10"/>
      <c r="P800" s="10"/>
      <c r="Q800" s="10"/>
      <c r="R800" s="10"/>
      <c r="S800" s="10"/>
      <c r="T800" s="10"/>
      <c r="U800" s="10"/>
      <c r="V800" s="10"/>
    </row>
    <row r="801">
      <c r="A801" s="10"/>
      <c r="B801" s="10"/>
      <c r="C801" s="10"/>
      <c r="D801" s="10"/>
      <c r="E801" s="10"/>
      <c r="F801" s="10"/>
      <c r="G801" s="10"/>
      <c r="I801" s="10"/>
      <c r="J801" s="10"/>
      <c r="K801" s="10"/>
      <c r="L801" s="10"/>
      <c r="M801" s="10" t="str">
        <f>ifna(VLOOKUP('acft-exerc'!$M801,FIX!$A$2:$D1000,4, false),"")</f>
        <v/>
      </c>
      <c r="N801" s="10"/>
      <c r="O801" s="10"/>
      <c r="P801" s="10"/>
      <c r="Q801" s="10"/>
      <c r="R801" s="10"/>
      <c r="S801" s="10"/>
      <c r="T801" s="10"/>
      <c r="U801" s="10"/>
      <c r="V801" s="10"/>
    </row>
    <row r="802">
      <c r="A802" s="10"/>
      <c r="B802" s="10"/>
      <c r="C802" s="10"/>
      <c r="D802" s="10"/>
      <c r="E802" s="10"/>
      <c r="F802" s="10"/>
      <c r="G802" s="10"/>
      <c r="I802" s="10"/>
      <c r="J802" s="10"/>
      <c r="K802" s="10"/>
      <c r="L802" s="10"/>
      <c r="M802" s="10" t="str">
        <f>ifna(VLOOKUP('acft-exerc'!$M802,FIX!$A$2:$D1000,4, false),"")</f>
        <v/>
      </c>
      <c r="N802" s="10"/>
      <c r="O802" s="10"/>
      <c r="P802" s="10"/>
      <c r="Q802" s="10"/>
      <c r="R802" s="10"/>
      <c r="S802" s="10"/>
      <c r="T802" s="10"/>
      <c r="U802" s="10"/>
      <c r="V802" s="10"/>
    </row>
    <row r="803">
      <c r="A803" s="10"/>
      <c r="B803" s="10"/>
      <c r="C803" s="10"/>
      <c r="D803" s="10"/>
      <c r="E803" s="10"/>
      <c r="F803" s="10"/>
      <c r="G803" s="10"/>
      <c r="I803" s="10"/>
      <c r="J803" s="10"/>
      <c r="K803" s="10"/>
      <c r="L803" s="10"/>
      <c r="M803" s="10" t="str">
        <f>ifna(VLOOKUP('acft-exerc'!$M803,FIX!$A$2:$D1000,4, false),"")</f>
        <v/>
      </c>
      <c r="N803" s="10"/>
      <c r="O803" s="10"/>
      <c r="P803" s="10"/>
      <c r="Q803" s="10"/>
      <c r="R803" s="10"/>
      <c r="S803" s="10"/>
      <c r="T803" s="10"/>
      <c r="U803" s="10"/>
      <c r="V803" s="10"/>
    </row>
    <row r="804">
      <c r="A804" s="10"/>
      <c r="B804" s="10"/>
      <c r="C804" s="10"/>
      <c r="D804" s="10"/>
      <c r="E804" s="10"/>
      <c r="F804" s="10"/>
      <c r="G804" s="10"/>
      <c r="I804" s="10"/>
      <c r="J804" s="10"/>
      <c r="K804" s="10"/>
      <c r="L804" s="10"/>
      <c r="M804" s="10" t="str">
        <f>ifna(VLOOKUP('acft-exerc'!$M804,FIX!$A$2:$D1000,4, false),"")</f>
        <v/>
      </c>
      <c r="N804" s="10"/>
      <c r="O804" s="10"/>
      <c r="P804" s="10"/>
      <c r="Q804" s="10"/>
      <c r="R804" s="10"/>
      <c r="S804" s="10"/>
      <c r="T804" s="10"/>
      <c r="U804" s="10"/>
      <c r="V804" s="10"/>
    </row>
    <row r="805">
      <c r="A805" s="10"/>
      <c r="B805" s="10"/>
      <c r="C805" s="10"/>
      <c r="D805" s="10"/>
      <c r="E805" s="10"/>
      <c r="F805" s="10"/>
      <c r="G805" s="10"/>
      <c r="I805" s="10"/>
      <c r="J805" s="10"/>
      <c r="K805" s="10"/>
      <c r="L805" s="10"/>
      <c r="M805" s="10" t="str">
        <f>ifna(VLOOKUP('acft-exerc'!$M805,FIX!$A$2:$D1000,4, false),"")</f>
        <v/>
      </c>
      <c r="N805" s="10"/>
      <c r="O805" s="10"/>
      <c r="P805" s="10"/>
      <c r="Q805" s="10"/>
      <c r="R805" s="10"/>
      <c r="S805" s="10"/>
      <c r="T805" s="10"/>
      <c r="U805" s="10"/>
      <c r="V805" s="10"/>
    </row>
    <row r="806">
      <c r="A806" s="10"/>
      <c r="B806" s="10"/>
      <c r="C806" s="10"/>
      <c r="D806" s="10"/>
      <c r="E806" s="10"/>
      <c r="F806" s="10"/>
      <c r="G806" s="10"/>
      <c r="I806" s="10"/>
      <c r="J806" s="10"/>
      <c r="K806" s="10"/>
      <c r="L806" s="10"/>
      <c r="M806" s="10" t="str">
        <f>ifna(VLOOKUP('acft-exerc'!$M806,FIX!$A$2:$D1000,4, false),"")</f>
        <v/>
      </c>
      <c r="N806" s="10"/>
      <c r="O806" s="10"/>
      <c r="P806" s="10"/>
      <c r="Q806" s="10"/>
      <c r="R806" s="10"/>
      <c r="S806" s="10"/>
      <c r="T806" s="10"/>
      <c r="U806" s="10"/>
      <c r="V806" s="10"/>
    </row>
    <row r="807">
      <c r="A807" s="10"/>
      <c r="B807" s="10"/>
      <c r="C807" s="10"/>
      <c r="D807" s="10"/>
      <c r="E807" s="10"/>
      <c r="F807" s="10"/>
      <c r="G807" s="10"/>
      <c r="I807" s="10"/>
      <c r="J807" s="10"/>
      <c r="K807" s="10"/>
      <c r="L807" s="10"/>
      <c r="M807" s="10" t="str">
        <f>ifna(VLOOKUP('acft-exerc'!$M807,FIX!$A$2:$D1000,4, false),"")</f>
        <v/>
      </c>
      <c r="N807" s="10"/>
      <c r="O807" s="10"/>
      <c r="P807" s="10"/>
      <c r="Q807" s="10"/>
      <c r="R807" s="10"/>
      <c r="S807" s="10"/>
      <c r="T807" s="10"/>
      <c r="U807" s="10"/>
      <c r="V807" s="10"/>
    </row>
    <row r="808">
      <c r="A808" s="10"/>
      <c r="B808" s="10"/>
      <c r="C808" s="10"/>
      <c r="D808" s="10"/>
      <c r="E808" s="10"/>
      <c r="F808" s="10"/>
      <c r="G808" s="10"/>
      <c r="I808" s="10"/>
      <c r="J808" s="10"/>
      <c r="K808" s="10"/>
      <c r="L808" s="10"/>
      <c r="M808" s="10" t="str">
        <f>ifna(VLOOKUP('acft-exerc'!$M808,FIX!$A$2:$D1000,4, false),"")</f>
        <v/>
      </c>
      <c r="N808" s="10"/>
      <c r="O808" s="10"/>
      <c r="P808" s="10"/>
      <c r="Q808" s="10"/>
      <c r="R808" s="10"/>
      <c r="S808" s="10"/>
      <c r="T808" s="10"/>
      <c r="U808" s="10"/>
      <c r="V808" s="10"/>
    </row>
    <row r="809">
      <c r="A809" s="10"/>
      <c r="B809" s="10"/>
      <c r="C809" s="10"/>
      <c r="D809" s="10"/>
      <c r="E809" s="10"/>
      <c r="F809" s="10"/>
      <c r="G809" s="10"/>
      <c r="I809" s="10"/>
      <c r="J809" s="10"/>
      <c r="K809" s="10"/>
      <c r="L809" s="10"/>
      <c r="M809" s="10" t="str">
        <f>ifna(VLOOKUP('acft-exerc'!$M809,FIX!$A$2:$D1000,4, false),"")</f>
        <v/>
      </c>
      <c r="N809" s="10"/>
      <c r="O809" s="10"/>
      <c r="P809" s="10"/>
      <c r="Q809" s="10"/>
      <c r="R809" s="10"/>
      <c r="S809" s="10"/>
      <c r="T809" s="10"/>
      <c r="U809" s="10"/>
      <c r="V809" s="10"/>
    </row>
    <row r="810">
      <c r="A810" s="10"/>
      <c r="B810" s="10"/>
      <c r="C810" s="10"/>
      <c r="D810" s="10"/>
      <c r="E810" s="10"/>
      <c r="F810" s="10"/>
      <c r="G810" s="10"/>
      <c r="I810" s="10"/>
      <c r="J810" s="10"/>
      <c r="K810" s="10"/>
      <c r="L810" s="10"/>
      <c r="M810" s="10" t="str">
        <f>ifna(VLOOKUP('acft-exerc'!$M810,FIX!$A$2:$D1000,4, false),"")</f>
        <v/>
      </c>
      <c r="N810" s="10"/>
      <c r="O810" s="10"/>
      <c r="P810" s="10"/>
      <c r="Q810" s="10"/>
      <c r="R810" s="10"/>
      <c r="S810" s="10"/>
      <c r="T810" s="10"/>
      <c r="U810" s="10"/>
      <c r="V810" s="10"/>
    </row>
    <row r="811">
      <c r="A811" s="10"/>
      <c r="B811" s="10"/>
      <c r="C811" s="10"/>
      <c r="D811" s="10"/>
      <c r="E811" s="10"/>
      <c r="F811" s="10"/>
      <c r="G811" s="10"/>
      <c r="I811" s="10"/>
      <c r="J811" s="10"/>
      <c r="K811" s="10"/>
      <c r="L811" s="10"/>
      <c r="M811" s="10" t="str">
        <f>ifna(VLOOKUP('acft-exerc'!$M811,FIX!$A$2:$D1000,4, false),"")</f>
        <v/>
      </c>
      <c r="N811" s="10"/>
      <c r="O811" s="10"/>
      <c r="P811" s="10"/>
      <c r="Q811" s="10"/>
      <c r="R811" s="10"/>
      <c r="S811" s="10"/>
      <c r="T811" s="10"/>
      <c r="U811" s="10"/>
      <c r="V811" s="10"/>
    </row>
    <row r="812">
      <c r="A812" s="10"/>
      <c r="B812" s="10"/>
      <c r="C812" s="10"/>
      <c r="D812" s="10"/>
      <c r="E812" s="10"/>
      <c r="F812" s="10"/>
      <c r="G812" s="10"/>
      <c r="I812" s="10"/>
      <c r="J812" s="10"/>
      <c r="K812" s="10"/>
      <c r="L812" s="10"/>
      <c r="M812" s="10" t="str">
        <f>ifna(VLOOKUP('acft-exerc'!$M812,FIX!$A$2:$D1000,4, false),"")</f>
        <v/>
      </c>
      <c r="N812" s="10"/>
      <c r="O812" s="10"/>
      <c r="P812" s="10"/>
      <c r="Q812" s="10"/>
      <c r="R812" s="10"/>
      <c r="S812" s="10"/>
      <c r="T812" s="10"/>
      <c r="U812" s="10"/>
      <c r="V812" s="10"/>
    </row>
    <row r="813">
      <c r="A813" s="10"/>
      <c r="B813" s="10"/>
      <c r="C813" s="10"/>
      <c r="D813" s="10"/>
      <c r="E813" s="10"/>
      <c r="F813" s="10"/>
      <c r="G813" s="10"/>
      <c r="I813" s="10"/>
      <c r="J813" s="10"/>
      <c r="K813" s="10"/>
      <c r="L813" s="10"/>
      <c r="M813" s="10" t="str">
        <f>ifna(VLOOKUP('acft-exerc'!$M813,FIX!$A$2:$D1000,4, false),"")</f>
        <v/>
      </c>
      <c r="N813" s="10"/>
      <c r="O813" s="10"/>
      <c r="P813" s="10"/>
      <c r="Q813" s="10"/>
      <c r="R813" s="10"/>
      <c r="S813" s="10"/>
      <c r="T813" s="10"/>
      <c r="U813" s="10"/>
      <c r="V813" s="10"/>
    </row>
    <row r="814">
      <c r="A814" s="10"/>
      <c r="B814" s="10"/>
      <c r="C814" s="10"/>
      <c r="D814" s="10"/>
      <c r="E814" s="10"/>
      <c r="F814" s="10"/>
      <c r="G814" s="10"/>
      <c r="I814" s="10"/>
      <c r="J814" s="10"/>
      <c r="K814" s="10"/>
      <c r="L814" s="10"/>
      <c r="M814" s="10" t="str">
        <f>ifna(VLOOKUP('acft-exerc'!$M814,FIX!$A$2:$D1000,4, false),"")</f>
        <v/>
      </c>
      <c r="N814" s="10"/>
      <c r="O814" s="10"/>
      <c r="P814" s="10"/>
      <c r="Q814" s="10"/>
      <c r="R814" s="10"/>
      <c r="S814" s="10"/>
      <c r="T814" s="10"/>
      <c r="U814" s="10"/>
      <c r="V814" s="10"/>
    </row>
    <row r="815">
      <c r="A815" s="10"/>
      <c r="B815" s="10"/>
      <c r="C815" s="10"/>
      <c r="D815" s="10"/>
      <c r="E815" s="10"/>
      <c r="F815" s="10"/>
      <c r="G815" s="10"/>
      <c r="I815" s="10"/>
      <c r="J815" s="10"/>
      <c r="K815" s="10"/>
      <c r="L815" s="10"/>
      <c r="M815" s="10" t="str">
        <f>ifna(VLOOKUP('acft-exerc'!$M815,FIX!$A$2:$D1000,4, false),"")</f>
        <v/>
      </c>
      <c r="N815" s="10"/>
      <c r="O815" s="10"/>
      <c r="P815" s="10"/>
      <c r="Q815" s="10"/>
      <c r="R815" s="10"/>
      <c r="S815" s="10"/>
      <c r="T815" s="10"/>
      <c r="U815" s="10"/>
      <c r="V815" s="10"/>
    </row>
    <row r="816">
      <c r="A816" s="10"/>
      <c r="B816" s="10"/>
      <c r="C816" s="10"/>
      <c r="D816" s="10"/>
      <c r="E816" s="10"/>
      <c r="F816" s="10"/>
      <c r="G816" s="10"/>
      <c r="I816" s="10"/>
      <c r="J816" s="10"/>
      <c r="K816" s="10"/>
      <c r="L816" s="10"/>
      <c r="M816" s="10" t="str">
        <f>ifna(VLOOKUP('acft-exerc'!$M816,FIX!$A$2:$D1000,4, false),"")</f>
        <v/>
      </c>
      <c r="N816" s="10"/>
      <c r="O816" s="10"/>
      <c r="P816" s="10"/>
      <c r="Q816" s="10"/>
      <c r="R816" s="10"/>
      <c r="S816" s="10"/>
      <c r="T816" s="10"/>
      <c r="U816" s="10"/>
      <c r="V816" s="10"/>
    </row>
    <row r="817">
      <c r="A817" s="10"/>
      <c r="B817" s="10"/>
      <c r="C817" s="10"/>
      <c r="D817" s="10"/>
      <c r="E817" s="10"/>
      <c r="F817" s="10"/>
      <c r="G817" s="10"/>
      <c r="I817" s="10"/>
      <c r="J817" s="10"/>
      <c r="K817" s="10"/>
      <c r="L817" s="10"/>
      <c r="M817" s="10" t="str">
        <f>ifna(VLOOKUP('acft-exerc'!$M817,FIX!$A$2:$D1000,4, false),"")</f>
        <v/>
      </c>
      <c r="N817" s="10"/>
      <c r="O817" s="10"/>
      <c r="P817" s="10"/>
      <c r="Q817" s="10"/>
      <c r="R817" s="10"/>
      <c r="S817" s="10"/>
      <c r="T817" s="10"/>
      <c r="U817" s="10"/>
      <c r="V817" s="10"/>
    </row>
    <row r="818">
      <c r="A818" s="10"/>
      <c r="B818" s="10"/>
      <c r="C818" s="10"/>
      <c r="D818" s="10"/>
      <c r="E818" s="10"/>
      <c r="F818" s="10"/>
      <c r="G818" s="10"/>
      <c r="I818" s="10"/>
      <c r="J818" s="10"/>
      <c r="K818" s="10"/>
      <c r="L818" s="10"/>
      <c r="M818" s="10" t="str">
        <f>ifna(VLOOKUP('acft-exerc'!$M818,FIX!$A$2:$D1000,4, false),"")</f>
        <v/>
      </c>
      <c r="N818" s="10"/>
      <c r="O818" s="10"/>
      <c r="P818" s="10"/>
      <c r="Q818" s="10"/>
      <c r="R818" s="10"/>
      <c r="S818" s="10"/>
      <c r="T818" s="10"/>
      <c r="U818" s="10"/>
      <c r="V818" s="10"/>
    </row>
    <row r="819">
      <c r="A819" s="10"/>
      <c r="B819" s="10"/>
      <c r="C819" s="10"/>
      <c r="D819" s="10"/>
      <c r="E819" s="10"/>
      <c r="F819" s="10"/>
      <c r="G819" s="10"/>
      <c r="I819" s="10"/>
      <c r="J819" s="10"/>
      <c r="K819" s="10"/>
      <c r="L819" s="10"/>
      <c r="M819" s="10" t="str">
        <f>ifna(VLOOKUP('acft-exerc'!$M819,FIX!$A$2:$D1000,4, false),"")</f>
        <v/>
      </c>
      <c r="N819" s="10"/>
      <c r="O819" s="10"/>
      <c r="P819" s="10"/>
      <c r="Q819" s="10"/>
      <c r="R819" s="10"/>
      <c r="S819" s="10"/>
      <c r="T819" s="10"/>
      <c r="U819" s="10"/>
      <c r="V819" s="10"/>
    </row>
    <row r="820">
      <c r="A820" s="10"/>
      <c r="B820" s="10"/>
      <c r="C820" s="10"/>
      <c r="D820" s="10"/>
      <c r="E820" s="10"/>
      <c r="F820" s="10"/>
      <c r="G820" s="10"/>
      <c r="I820" s="10"/>
      <c r="J820" s="10"/>
      <c r="K820" s="10"/>
      <c r="L820" s="10"/>
      <c r="M820" s="10" t="str">
        <f>ifna(VLOOKUP('acft-exerc'!$M820,FIX!$A$2:$D1000,4, false),"")</f>
        <v/>
      </c>
      <c r="N820" s="10"/>
      <c r="O820" s="10"/>
      <c r="P820" s="10"/>
      <c r="Q820" s="10"/>
      <c r="R820" s="10"/>
      <c r="S820" s="10"/>
      <c r="T820" s="10"/>
      <c r="U820" s="10"/>
      <c r="V820" s="10"/>
    </row>
    <row r="821">
      <c r="A821" s="10"/>
      <c r="B821" s="10"/>
      <c r="C821" s="10"/>
      <c r="D821" s="10"/>
      <c r="E821" s="10"/>
      <c r="F821" s="10"/>
      <c r="G821" s="10"/>
      <c r="I821" s="10"/>
      <c r="J821" s="10"/>
      <c r="K821" s="10"/>
      <c r="L821" s="10"/>
      <c r="M821" s="10" t="str">
        <f>ifna(VLOOKUP('acft-exerc'!$M821,FIX!$A$2:$D1000,4, false),"")</f>
        <v/>
      </c>
      <c r="N821" s="10"/>
      <c r="O821" s="10"/>
      <c r="P821" s="10"/>
      <c r="Q821" s="10"/>
      <c r="R821" s="10"/>
      <c r="S821" s="10"/>
      <c r="T821" s="10"/>
      <c r="U821" s="10"/>
      <c r="V821" s="10"/>
    </row>
    <row r="822">
      <c r="A822" s="10"/>
      <c r="B822" s="10"/>
      <c r="C822" s="10"/>
      <c r="D822" s="10"/>
      <c r="E822" s="10"/>
      <c r="F822" s="10"/>
      <c r="G822" s="10"/>
      <c r="I822" s="10"/>
      <c r="J822" s="10"/>
      <c r="K822" s="10"/>
      <c r="L822" s="10"/>
      <c r="M822" s="10" t="str">
        <f>ifna(VLOOKUP('acft-exerc'!$M822,FIX!$A$2:$D1000,4, false),"")</f>
        <v/>
      </c>
      <c r="N822" s="10"/>
      <c r="O822" s="10"/>
      <c r="P822" s="10"/>
      <c r="Q822" s="10"/>
      <c r="R822" s="10"/>
      <c r="S822" s="10"/>
      <c r="T822" s="10"/>
      <c r="U822" s="10"/>
      <c r="V822" s="10"/>
    </row>
    <row r="823">
      <c r="A823" s="10"/>
      <c r="B823" s="10"/>
      <c r="C823" s="10"/>
      <c r="D823" s="10"/>
      <c r="E823" s="10"/>
      <c r="F823" s="10"/>
      <c r="G823" s="10"/>
      <c r="I823" s="10"/>
      <c r="J823" s="10"/>
      <c r="K823" s="10"/>
      <c r="L823" s="10"/>
      <c r="M823" s="10" t="str">
        <f>ifna(VLOOKUP('acft-exerc'!$M823,FIX!$A$2:$D1000,4, false),"")</f>
        <v/>
      </c>
      <c r="N823" s="10"/>
      <c r="O823" s="10"/>
      <c r="P823" s="10"/>
      <c r="Q823" s="10"/>
      <c r="R823" s="10"/>
      <c r="S823" s="10"/>
      <c r="T823" s="10"/>
      <c r="U823" s="10"/>
      <c r="V823" s="10"/>
    </row>
    <row r="824">
      <c r="A824" s="10"/>
      <c r="B824" s="10"/>
      <c r="C824" s="10"/>
      <c r="D824" s="10"/>
      <c r="E824" s="10"/>
      <c r="F824" s="10"/>
      <c r="G824" s="10"/>
      <c r="I824" s="10"/>
      <c r="J824" s="10"/>
      <c r="K824" s="10"/>
      <c r="L824" s="10"/>
      <c r="M824" s="10" t="str">
        <f>ifna(VLOOKUP('acft-exerc'!$M824,FIX!$A$2:$D1000,4, false),"")</f>
        <v/>
      </c>
      <c r="N824" s="10"/>
      <c r="O824" s="10"/>
      <c r="P824" s="10"/>
      <c r="Q824" s="10"/>
      <c r="R824" s="10"/>
      <c r="S824" s="10"/>
      <c r="T824" s="10"/>
      <c r="U824" s="10"/>
      <c r="V824" s="10"/>
    </row>
    <row r="825">
      <c r="A825" s="10"/>
      <c r="B825" s="10"/>
      <c r="C825" s="10"/>
      <c r="D825" s="10"/>
      <c r="E825" s="10"/>
      <c r="F825" s="10"/>
      <c r="G825" s="10"/>
      <c r="I825" s="10"/>
      <c r="J825" s="10"/>
      <c r="K825" s="10"/>
      <c r="L825" s="10"/>
      <c r="M825" s="10" t="str">
        <f>ifna(VLOOKUP('acft-exerc'!$M825,FIX!$A$2:$D1000,4, false),"")</f>
        <v/>
      </c>
      <c r="N825" s="10"/>
      <c r="O825" s="10"/>
      <c r="P825" s="10"/>
      <c r="Q825" s="10"/>
      <c r="R825" s="10"/>
      <c r="S825" s="10"/>
      <c r="T825" s="10"/>
      <c r="U825" s="10"/>
      <c r="V825" s="10"/>
    </row>
    <row r="826">
      <c r="A826" s="10"/>
      <c r="B826" s="10"/>
      <c r="C826" s="10"/>
      <c r="D826" s="10"/>
      <c r="E826" s="10"/>
      <c r="F826" s="10"/>
      <c r="G826" s="10"/>
      <c r="I826" s="10"/>
      <c r="J826" s="10"/>
      <c r="K826" s="10"/>
      <c r="L826" s="10"/>
      <c r="M826" s="10" t="str">
        <f>ifna(VLOOKUP('acft-exerc'!$M826,FIX!$A$2:$D1000,4, false),"")</f>
        <v/>
      </c>
      <c r="N826" s="10"/>
      <c r="O826" s="10"/>
      <c r="P826" s="10"/>
      <c r="Q826" s="10"/>
      <c r="R826" s="10"/>
      <c r="S826" s="10"/>
      <c r="T826" s="10"/>
      <c r="U826" s="10"/>
      <c r="V826" s="10"/>
    </row>
    <row r="827">
      <c r="A827" s="10"/>
      <c r="B827" s="10"/>
      <c r="C827" s="10"/>
      <c r="D827" s="10"/>
      <c r="E827" s="10"/>
      <c r="F827" s="10"/>
      <c r="G827" s="10"/>
      <c r="I827" s="10"/>
      <c r="J827" s="10"/>
      <c r="K827" s="10"/>
      <c r="L827" s="10"/>
      <c r="M827" s="10" t="str">
        <f>ifna(VLOOKUP('acft-exerc'!$M827,FIX!$A$2:$D1000,4, false),"")</f>
        <v/>
      </c>
      <c r="N827" s="10"/>
      <c r="O827" s="10"/>
      <c r="P827" s="10"/>
      <c r="Q827" s="10"/>
      <c r="R827" s="10"/>
      <c r="S827" s="10"/>
      <c r="T827" s="10"/>
      <c r="U827" s="10"/>
      <c r="V827" s="10"/>
    </row>
    <row r="828">
      <c r="A828" s="10"/>
      <c r="B828" s="10"/>
      <c r="C828" s="10"/>
      <c r="D828" s="10"/>
      <c r="E828" s="10"/>
      <c r="F828" s="10"/>
      <c r="G828" s="10"/>
      <c r="I828" s="10"/>
      <c r="J828" s="10"/>
      <c r="K828" s="10"/>
      <c r="L828" s="10"/>
      <c r="M828" s="10" t="str">
        <f>ifna(VLOOKUP('acft-exerc'!$M828,FIX!$A$2:$D1000,4, false),"")</f>
        <v/>
      </c>
      <c r="N828" s="10"/>
      <c r="O828" s="10"/>
      <c r="P828" s="10"/>
      <c r="Q828" s="10"/>
      <c r="R828" s="10"/>
      <c r="S828" s="10"/>
      <c r="T828" s="10"/>
      <c r="U828" s="10"/>
      <c r="V828" s="10"/>
    </row>
    <row r="829">
      <c r="A829" s="10"/>
      <c r="B829" s="10"/>
      <c r="C829" s="10"/>
      <c r="D829" s="10"/>
      <c r="E829" s="10"/>
      <c r="F829" s="10"/>
      <c r="G829" s="10"/>
      <c r="I829" s="10"/>
      <c r="J829" s="10"/>
      <c r="K829" s="10"/>
      <c r="L829" s="10"/>
      <c r="M829" s="10" t="str">
        <f>ifna(VLOOKUP('acft-exerc'!$M829,FIX!$A$2:$D1000,4, false),"")</f>
        <v/>
      </c>
      <c r="N829" s="10"/>
      <c r="O829" s="10"/>
      <c r="P829" s="10"/>
      <c r="Q829" s="10"/>
      <c r="R829" s="10"/>
      <c r="S829" s="10"/>
      <c r="T829" s="10"/>
      <c r="U829" s="10"/>
      <c r="V829" s="10"/>
    </row>
    <row r="830">
      <c r="A830" s="10"/>
      <c r="B830" s="10"/>
      <c r="C830" s="10"/>
      <c r="D830" s="10"/>
      <c r="E830" s="10"/>
      <c r="F830" s="10"/>
      <c r="G830" s="10"/>
      <c r="I830" s="10"/>
      <c r="J830" s="10"/>
      <c r="K830" s="10"/>
      <c r="L830" s="10"/>
      <c r="M830" s="10" t="str">
        <f>ifna(VLOOKUP('acft-exerc'!$M830,FIX!$A$2:$D1000,4, false),"")</f>
        <v/>
      </c>
      <c r="N830" s="10"/>
      <c r="O830" s="10"/>
      <c r="P830" s="10"/>
      <c r="Q830" s="10"/>
      <c r="R830" s="10"/>
      <c r="S830" s="10"/>
      <c r="T830" s="10"/>
      <c r="U830" s="10"/>
      <c r="V830" s="10"/>
    </row>
    <row r="831">
      <c r="A831" s="10"/>
      <c r="B831" s="10"/>
      <c r="C831" s="10"/>
      <c r="D831" s="10"/>
      <c r="E831" s="10"/>
      <c r="F831" s="10"/>
      <c r="G831" s="10"/>
      <c r="I831" s="10"/>
      <c r="J831" s="10"/>
      <c r="K831" s="10"/>
      <c r="L831" s="10"/>
      <c r="M831" s="10" t="str">
        <f>ifna(VLOOKUP('acft-exerc'!$M831,FIX!$A$2:$D1000,4, false),"")</f>
        <v/>
      </c>
      <c r="N831" s="10"/>
      <c r="O831" s="10"/>
      <c r="P831" s="10"/>
      <c r="Q831" s="10"/>
      <c r="R831" s="10"/>
      <c r="S831" s="10"/>
      <c r="T831" s="10"/>
      <c r="U831" s="10"/>
      <c r="V831" s="10"/>
    </row>
    <row r="832">
      <c r="A832" s="10"/>
      <c r="B832" s="10"/>
      <c r="C832" s="10"/>
      <c r="D832" s="10"/>
      <c r="E832" s="10"/>
      <c r="F832" s="10"/>
      <c r="G832" s="10"/>
      <c r="I832" s="10"/>
      <c r="J832" s="10"/>
      <c r="K832" s="10"/>
      <c r="L832" s="10"/>
      <c r="M832" s="10" t="str">
        <f>ifna(VLOOKUP('acft-exerc'!$M832,FIX!$A$2:$D1000,4, false),"")</f>
        <v/>
      </c>
      <c r="N832" s="10"/>
      <c r="O832" s="10"/>
      <c r="P832" s="10"/>
      <c r="Q832" s="10"/>
      <c r="R832" s="10"/>
      <c r="S832" s="10"/>
      <c r="T832" s="10"/>
      <c r="U832" s="10"/>
      <c r="V832" s="10"/>
    </row>
    <row r="833">
      <c r="A833" s="10"/>
      <c r="B833" s="10"/>
      <c r="C833" s="10"/>
      <c r="D833" s="10"/>
      <c r="E833" s="10"/>
      <c r="F833" s="10"/>
      <c r="G833" s="10"/>
      <c r="I833" s="10"/>
      <c r="J833" s="10"/>
      <c r="K833" s="10"/>
      <c r="L833" s="10"/>
      <c r="M833" s="10" t="str">
        <f>ifna(VLOOKUP('acft-exerc'!$M833,FIX!$A$2:$D1000,4, false),"")</f>
        <v/>
      </c>
      <c r="N833" s="10"/>
      <c r="O833" s="10"/>
      <c r="P833" s="10"/>
      <c r="Q833" s="10"/>
      <c r="R833" s="10"/>
      <c r="S833" s="10"/>
      <c r="T833" s="10"/>
      <c r="U833" s="10"/>
      <c r="V833" s="10"/>
    </row>
    <row r="834">
      <c r="A834" s="10"/>
      <c r="B834" s="10"/>
      <c r="C834" s="10"/>
      <c r="D834" s="10"/>
      <c r="E834" s="10"/>
      <c r="F834" s="10"/>
      <c r="G834" s="10"/>
      <c r="I834" s="10"/>
      <c r="J834" s="10"/>
      <c r="K834" s="10"/>
      <c r="L834" s="10"/>
      <c r="M834" s="10" t="str">
        <f>ifna(VLOOKUP('acft-exerc'!$M834,FIX!$A$2:$D1000,4, false),"")</f>
        <v/>
      </c>
      <c r="N834" s="10"/>
      <c r="O834" s="10"/>
      <c r="P834" s="10"/>
      <c r="Q834" s="10"/>
      <c r="R834" s="10"/>
      <c r="S834" s="10"/>
      <c r="T834" s="10"/>
      <c r="U834" s="10"/>
      <c r="V834" s="10"/>
    </row>
    <row r="835">
      <c r="A835" s="10"/>
      <c r="B835" s="10"/>
      <c r="C835" s="10"/>
      <c r="D835" s="10"/>
      <c r="E835" s="10"/>
      <c r="F835" s="10"/>
      <c r="G835" s="10"/>
      <c r="I835" s="10"/>
      <c r="J835" s="10"/>
      <c r="K835" s="10"/>
      <c r="L835" s="10"/>
      <c r="M835" s="10" t="str">
        <f>ifna(VLOOKUP('acft-exerc'!$M835,FIX!$A$2:$D1000,4, false),"")</f>
        <v/>
      </c>
      <c r="N835" s="10"/>
      <c r="O835" s="10"/>
      <c r="P835" s="10"/>
      <c r="Q835" s="10"/>
      <c r="R835" s="10"/>
      <c r="S835" s="10"/>
      <c r="T835" s="10"/>
      <c r="U835" s="10"/>
      <c r="V835" s="10"/>
    </row>
    <row r="836">
      <c r="A836" s="10"/>
      <c r="B836" s="10"/>
      <c r="C836" s="10"/>
      <c r="D836" s="10"/>
      <c r="E836" s="10"/>
      <c r="F836" s="10"/>
      <c r="G836" s="10"/>
      <c r="I836" s="10"/>
      <c r="J836" s="10"/>
      <c r="K836" s="10"/>
      <c r="L836" s="10"/>
      <c r="M836" s="10" t="str">
        <f>ifna(VLOOKUP('acft-exerc'!$M836,FIX!$A$2:$D1000,4, false),"")</f>
        <v/>
      </c>
      <c r="N836" s="10"/>
      <c r="O836" s="10"/>
      <c r="P836" s="10"/>
      <c r="Q836" s="10"/>
      <c r="R836" s="10"/>
      <c r="S836" s="10"/>
      <c r="T836" s="10"/>
      <c r="U836" s="10"/>
      <c r="V836" s="10"/>
    </row>
    <row r="837">
      <c r="A837" s="10"/>
      <c r="B837" s="10"/>
      <c r="C837" s="10"/>
      <c r="D837" s="10"/>
      <c r="E837" s="10"/>
      <c r="F837" s="10"/>
      <c r="G837" s="10"/>
      <c r="I837" s="10"/>
      <c r="J837" s="10"/>
      <c r="K837" s="10"/>
      <c r="L837" s="10"/>
      <c r="M837" s="10" t="str">
        <f>ifna(VLOOKUP('acft-exerc'!$M837,FIX!$A$2:$D1000,4, false),"")</f>
        <v/>
      </c>
      <c r="N837" s="10"/>
      <c r="O837" s="10"/>
      <c r="P837" s="10"/>
      <c r="Q837" s="10"/>
      <c r="R837" s="10"/>
      <c r="S837" s="10"/>
      <c r="T837" s="10"/>
      <c r="U837" s="10"/>
      <c r="V837" s="10"/>
    </row>
    <row r="838">
      <c r="A838" s="10"/>
      <c r="B838" s="10"/>
      <c r="C838" s="10"/>
      <c r="D838" s="10"/>
      <c r="E838" s="10"/>
      <c r="F838" s="10"/>
      <c r="G838" s="10"/>
      <c r="I838" s="10"/>
      <c r="J838" s="10"/>
      <c r="K838" s="10"/>
      <c r="L838" s="10"/>
      <c r="M838" s="10" t="str">
        <f>ifna(VLOOKUP('acft-exerc'!$M838,FIX!$A$2:$D1000,4, false),"")</f>
        <v/>
      </c>
      <c r="N838" s="10"/>
      <c r="O838" s="10"/>
      <c r="P838" s="10"/>
      <c r="Q838" s="10"/>
      <c r="R838" s="10"/>
      <c r="S838" s="10"/>
      <c r="T838" s="10"/>
      <c r="U838" s="10"/>
      <c r="V838" s="10"/>
    </row>
    <row r="839">
      <c r="A839" s="10"/>
      <c r="B839" s="10"/>
      <c r="C839" s="10"/>
      <c r="D839" s="10"/>
      <c r="E839" s="10"/>
      <c r="F839" s="10"/>
      <c r="G839" s="10"/>
      <c r="I839" s="10"/>
      <c r="J839" s="10"/>
      <c r="K839" s="10"/>
      <c r="L839" s="10"/>
      <c r="M839" s="10" t="str">
        <f>ifna(VLOOKUP('acft-exerc'!$M839,FIX!$A$2:$D1000,4, false),"")</f>
        <v/>
      </c>
      <c r="N839" s="10"/>
      <c r="O839" s="10"/>
      <c r="P839" s="10"/>
      <c r="Q839" s="10"/>
      <c r="R839" s="10"/>
      <c r="S839" s="10"/>
      <c r="T839" s="10"/>
      <c r="U839" s="10"/>
      <c r="V839" s="10"/>
    </row>
    <row r="840">
      <c r="A840" s="10"/>
      <c r="B840" s="10"/>
      <c r="C840" s="10"/>
      <c r="D840" s="10"/>
      <c r="E840" s="10"/>
      <c r="F840" s="10"/>
      <c r="G840" s="10"/>
      <c r="I840" s="10"/>
      <c r="J840" s="10"/>
      <c r="K840" s="10"/>
      <c r="L840" s="10"/>
      <c r="M840" s="10" t="str">
        <f>ifna(VLOOKUP('acft-exerc'!$M840,FIX!$A$2:$D1000,4, false),"")</f>
        <v/>
      </c>
      <c r="N840" s="10"/>
      <c r="O840" s="10"/>
      <c r="P840" s="10"/>
      <c r="Q840" s="10"/>
      <c r="R840" s="10"/>
      <c r="S840" s="10"/>
      <c r="T840" s="10"/>
      <c r="U840" s="10"/>
      <c r="V840" s="10"/>
    </row>
    <row r="841">
      <c r="A841" s="10"/>
      <c r="B841" s="10"/>
      <c r="C841" s="10"/>
      <c r="D841" s="10"/>
      <c r="E841" s="10"/>
      <c r="F841" s="10"/>
      <c r="G841" s="10"/>
      <c r="I841" s="10"/>
      <c r="J841" s="10"/>
      <c r="K841" s="10"/>
      <c r="L841" s="10"/>
      <c r="M841" s="10" t="str">
        <f>ifna(VLOOKUP('acft-exerc'!$M841,FIX!$A$2:$D1000,4, false),"")</f>
        <v/>
      </c>
      <c r="N841" s="10"/>
      <c r="O841" s="10"/>
      <c r="P841" s="10"/>
      <c r="Q841" s="10"/>
      <c r="R841" s="10"/>
      <c r="S841" s="10"/>
      <c r="T841" s="10"/>
      <c r="U841" s="10"/>
      <c r="V841" s="10"/>
    </row>
    <row r="842">
      <c r="A842" s="10"/>
      <c r="B842" s="10"/>
      <c r="C842" s="10"/>
      <c r="D842" s="10"/>
      <c r="E842" s="10"/>
      <c r="F842" s="10"/>
      <c r="G842" s="10"/>
      <c r="I842" s="10"/>
      <c r="J842" s="10"/>
      <c r="K842" s="10"/>
      <c r="L842" s="10"/>
      <c r="M842" s="10" t="str">
        <f>ifna(VLOOKUP('acft-exerc'!$M842,FIX!$A$2:$D1000,4, false),"")</f>
        <v/>
      </c>
      <c r="N842" s="10"/>
      <c r="O842" s="10"/>
      <c r="P842" s="10"/>
      <c r="Q842" s="10"/>
      <c r="R842" s="10"/>
      <c r="S842" s="10"/>
      <c r="T842" s="10"/>
      <c r="U842" s="10"/>
      <c r="V842" s="10"/>
    </row>
    <row r="843">
      <c r="A843" s="10"/>
      <c r="B843" s="10"/>
      <c r="C843" s="10"/>
      <c r="D843" s="10"/>
      <c r="E843" s="10"/>
      <c r="F843" s="10"/>
      <c r="G843" s="10"/>
      <c r="I843" s="10"/>
      <c r="J843" s="10"/>
      <c r="K843" s="10"/>
      <c r="L843" s="10"/>
      <c r="M843" s="10" t="str">
        <f>ifna(VLOOKUP('acft-exerc'!$M843,FIX!$A$2:$D1000,4, false),"")</f>
        <v/>
      </c>
      <c r="N843" s="10"/>
      <c r="O843" s="10"/>
      <c r="P843" s="10"/>
      <c r="Q843" s="10"/>
      <c r="R843" s="10"/>
      <c r="S843" s="10"/>
      <c r="T843" s="10"/>
      <c r="U843" s="10"/>
      <c r="V843" s="10"/>
    </row>
    <row r="844">
      <c r="A844" s="10"/>
      <c r="B844" s="10"/>
      <c r="C844" s="10"/>
      <c r="D844" s="10"/>
      <c r="E844" s="10"/>
      <c r="F844" s="10"/>
      <c r="G844" s="10"/>
      <c r="I844" s="10"/>
      <c r="J844" s="10"/>
      <c r="K844" s="10"/>
      <c r="L844" s="10"/>
      <c r="M844" s="10" t="str">
        <f>ifna(VLOOKUP('acft-exerc'!$M844,FIX!$A$2:$D1000,4, false),"")</f>
        <v/>
      </c>
      <c r="N844" s="10"/>
      <c r="O844" s="10"/>
      <c r="P844" s="10"/>
      <c r="Q844" s="10"/>
      <c r="R844" s="10"/>
      <c r="S844" s="10"/>
      <c r="T844" s="10"/>
      <c r="U844" s="10"/>
      <c r="V844" s="10"/>
    </row>
    <row r="845">
      <c r="A845" s="10"/>
      <c r="B845" s="10"/>
      <c r="C845" s="10"/>
      <c r="D845" s="10"/>
      <c r="E845" s="10"/>
      <c r="F845" s="10"/>
      <c r="G845" s="10"/>
      <c r="I845" s="10"/>
      <c r="J845" s="10"/>
      <c r="K845" s="10"/>
      <c r="L845" s="10"/>
      <c r="M845" s="10" t="str">
        <f>ifna(VLOOKUP('acft-exerc'!$M845,FIX!$A$2:$D1000,4, false),"")</f>
        <v/>
      </c>
      <c r="N845" s="10"/>
      <c r="O845" s="10"/>
      <c r="P845" s="10"/>
      <c r="Q845" s="10"/>
      <c r="R845" s="10"/>
      <c r="S845" s="10"/>
      <c r="T845" s="10"/>
      <c r="U845" s="10"/>
      <c r="V845" s="10"/>
    </row>
    <row r="846">
      <c r="A846" s="10"/>
      <c r="B846" s="10"/>
      <c r="C846" s="10"/>
      <c r="D846" s="10"/>
      <c r="E846" s="10"/>
      <c r="F846" s="10"/>
      <c r="G846" s="10"/>
      <c r="I846" s="10"/>
      <c r="J846" s="10"/>
      <c r="K846" s="10"/>
      <c r="L846" s="10"/>
      <c r="M846" s="10" t="str">
        <f>ifna(VLOOKUP('acft-exerc'!$M846,FIX!$A$2:$D1000,4, false),"")</f>
        <v/>
      </c>
      <c r="N846" s="10"/>
      <c r="O846" s="10"/>
      <c r="P846" s="10"/>
      <c r="Q846" s="10"/>
      <c r="R846" s="10"/>
      <c r="S846" s="10"/>
      <c r="T846" s="10"/>
      <c r="U846" s="10"/>
      <c r="V846" s="10"/>
    </row>
    <row r="847">
      <c r="A847" s="10"/>
      <c r="B847" s="10"/>
      <c r="C847" s="10"/>
      <c r="D847" s="10"/>
      <c r="E847" s="10"/>
      <c r="F847" s="10"/>
      <c r="G847" s="10"/>
      <c r="I847" s="10"/>
      <c r="J847" s="10"/>
      <c r="K847" s="10"/>
      <c r="L847" s="10"/>
      <c r="M847" s="10" t="str">
        <f>ifna(VLOOKUP('acft-exerc'!$M847,FIX!$A$2:$D1000,4, false),"")</f>
        <v/>
      </c>
      <c r="N847" s="10"/>
      <c r="O847" s="10"/>
      <c r="P847" s="10"/>
      <c r="Q847" s="10"/>
      <c r="R847" s="10"/>
      <c r="S847" s="10"/>
      <c r="T847" s="10"/>
      <c r="U847" s="10"/>
      <c r="V847" s="10"/>
    </row>
    <row r="848">
      <c r="A848" s="10"/>
      <c r="B848" s="10"/>
      <c r="C848" s="10"/>
      <c r="D848" s="10"/>
      <c r="E848" s="10"/>
      <c r="F848" s="10"/>
      <c r="G848" s="10"/>
      <c r="I848" s="10"/>
      <c r="J848" s="10"/>
      <c r="K848" s="10"/>
      <c r="L848" s="10"/>
      <c r="M848" s="10" t="str">
        <f>ifna(VLOOKUP('acft-exerc'!$M848,FIX!$A$2:$D1000,4, false),"")</f>
        <v/>
      </c>
      <c r="N848" s="10"/>
      <c r="O848" s="10"/>
      <c r="P848" s="10"/>
      <c r="Q848" s="10"/>
      <c r="R848" s="10"/>
      <c r="S848" s="10"/>
      <c r="T848" s="10"/>
      <c r="U848" s="10"/>
      <c r="V848" s="10"/>
    </row>
    <row r="849">
      <c r="A849" s="10"/>
      <c r="B849" s="10"/>
      <c r="C849" s="10"/>
      <c r="D849" s="10"/>
      <c r="E849" s="10"/>
      <c r="F849" s="10"/>
      <c r="G849" s="10"/>
      <c r="I849" s="10"/>
      <c r="J849" s="10"/>
      <c r="K849" s="10"/>
      <c r="L849" s="10"/>
      <c r="M849" s="10" t="str">
        <f>ifna(VLOOKUP('acft-exerc'!$M849,FIX!$A$2:$D1000,4, false),"")</f>
        <v/>
      </c>
      <c r="N849" s="10"/>
      <c r="O849" s="10"/>
      <c r="P849" s="10"/>
      <c r="Q849" s="10"/>
      <c r="R849" s="10"/>
      <c r="S849" s="10"/>
      <c r="T849" s="10"/>
      <c r="U849" s="10"/>
      <c r="V849" s="10"/>
    </row>
    <row r="850">
      <c r="A850" s="10"/>
      <c r="B850" s="10"/>
      <c r="C850" s="10"/>
      <c r="D850" s="10"/>
      <c r="E850" s="10"/>
      <c r="F850" s="10"/>
      <c r="G850" s="10"/>
      <c r="I850" s="10"/>
      <c r="J850" s="10"/>
      <c r="K850" s="10"/>
      <c r="L850" s="10"/>
      <c r="M850" s="10" t="str">
        <f>ifna(VLOOKUP('acft-exerc'!$M850,FIX!$A$2:$D1000,4, false),"")</f>
        <v/>
      </c>
      <c r="N850" s="10"/>
      <c r="O850" s="10"/>
      <c r="P850" s="10"/>
      <c r="Q850" s="10"/>
      <c r="R850" s="10"/>
      <c r="S850" s="10"/>
      <c r="T850" s="10"/>
      <c r="U850" s="10"/>
      <c r="V850" s="10"/>
    </row>
    <row r="851">
      <c r="A851" s="10"/>
      <c r="B851" s="10"/>
      <c r="C851" s="10"/>
      <c r="D851" s="10"/>
      <c r="E851" s="10"/>
      <c r="F851" s="10"/>
      <c r="G851" s="10"/>
      <c r="I851" s="10"/>
      <c r="J851" s="10"/>
      <c r="K851" s="10"/>
      <c r="L851" s="10"/>
      <c r="M851" s="10" t="str">
        <f>ifna(VLOOKUP('acft-exerc'!$M851,FIX!$A$2:$D1000,4, false),"")</f>
        <v/>
      </c>
      <c r="N851" s="10"/>
      <c r="O851" s="10"/>
      <c r="P851" s="10"/>
      <c r="Q851" s="10"/>
      <c r="R851" s="10"/>
      <c r="S851" s="10"/>
      <c r="T851" s="10"/>
      <c r="U851" s="10"/>
      <c r="V851" s="10"/>
    </row>
    <row r="852">
      <c r="A852" s="10"/>
      <c r="B852" s="10"/>
      <c r="C852" s="10"/>
      <c r="D852" s="10"/>
      <c r="E852" s="10"/>
      <c r="F852" s="10"/>
      <c r="G852" s="10"/>
      <c r="I852" s="10"/>
      <c r="J852" s="10"/>
      <c r="K852" s="10"/>
      <c r="L852" s="10"/>
      <c r="M852" s="10" t="str">
        <f>ifna(VLOOKUP('acft-exerc'!$M852,FIX!$A$2:$D1000,4, false),"")</f>
        <v/>
      </c>
      <c r="N852" s="10"/>
      <c r="O852" s="10"/>
      <c r="P852" s="10"/>
      <c r="Q852" s="10"/>
      <c r="R852" s="10"/>
      <c r="S852" s="10"/>
      <c r="T852" s="10"/>
      <c r="U852" s="10"/>
      <c r="V852" s="10"/>
    </row>
    <row r="853">
      <c r="A853" s="10"/>
      <c r="B853" s="10"/>
      <c r="C853" s="10"/>
      <c r="D853" s="10"/>
      <c r="E853" s="10"/>
      <c r="F853" s="10"/>
      <c r="G853" s="10"/>
      <c r="I853" s="10"/>
      <c r="J853" s="10"/>
      <c r="K853" s="10"/>
      <c r="L853" s="10"/>
      <c r="M853" s="10" t="str">
        <f>ifna(VLOOKUP('acft-exerc'!$M853,FIX!$A$2:$D1000,4, false),"")</f>
        <v/>
      </c>
      <c r="N853" s="10"/>
      <c r="O853" s="10"/>
      <c r="P853" s="10"/>
      <c r="Q853" s="10"/>
      <c r="R853" s="10"/>
      <c r="S853" s="10"/>
      <c r="T853" s="10"/>
      <c r="U853" s="10"/>
      <c r="V853" s="10"/>
    </row>
    <row r="854">
      <c r="A854" s="10"/>
      <c r="B854" s="10"/>
      <c r="C854" s="10"/>
      <c r="D854" s="10"/>
      <c r="E854" s="10"/>
      <c r="F854" s="10"/>
      <c r="G854" s="10"/>
      <c r="I854" s="10"/>
      <c r="J854" s="10"/>
      <c r="K854" s="10"/>
      <c r="L854" s="10"/>
      <c r="M854" s="10" t="str">
        <f>ifna(VLOOKUP('acft-exerc'!$M854,FIX!$A$2:$D1000,4, false),"")</f>
        <v/>
      </c>
      <c r="N854" s="10"/>
      <c r="O854" s="10"/>
      <c r="P854" s="10"/>
      <c r="Q854" s="10"/>
      <c r="R854" s="10"/>
      <c r="S854" s="10"/>
      <c r="T854" s="10"/>
      <c r="U854" s="10"/>
      <c r="V854" s="10"/>
    </row>
    <row r="855">
      <c r="A855" s="10"/>
      <c r="B855" s="10"/>
      <c r="C855" s="10"/>
      <c r="D855" s="10"/>
      <c r="E855" s="10"/>
      <c r="F855" s="10"/>
      <c r="G855" s="10"/>
      <c r="I855" s="10"/>
      <c r="J855" s="10"/>
      <c r="K855" s="10"/>
      <c r="L855" s="10"/>
      <c r="M855" s="10" t="str">
        <f>ifna(VLOOKUP('acft-exerc'!$M855,FIX!$A$2:$D1000,4, false),"")</f>
        <v/>
      </c>
      <c r="N855" s="10"/>
      <c r="O855" s="10"/>
      <c r="P855" s="10"/>
      <c r="Q855" s="10"/>
      <c r="R855" s="10"/>
      <c r="S855" s="10"/>
      <c r="T855" s="10"/>
      <c r="U855" s="10"/>
      <c r="V855" s="10"/>
    </row>
    <row r="856">
      <c r="A856" s="10"/>
      <c r="B856" s="10"/>
      <c r="C856" s="10"/>
      <c r="D856" s="10"/>
      <c r="E856" s="10"/>
      <c r="F856" s="10"/>
      <c r="G856" s="10"/>
      <c r="I856" s="10"/>
      <c r="J856" s="10"/>
      <c r="K856" s="10"/>
      <c r="L856" s="10"/>
      <c r="M856" s="10" t="str">
        <f>ifna(VLOOKUP('acft-exerc'!$M856,FIX!$A$2:$D1000,4, false),"")</f>
        <v/>
      </c>
      <c r="N856" s="10"/>
      <c r="O856" s="10"/>
      <c r="P856" s="10"/>
      <c r="Q856" s="10"/>
      <c r="R856" s="10"/>
      <c r="S856" s="10"/>
      <c r="T856" s="10"/>
      <c r="U856" s="10"/>
      <c r="V856" s="10"/>
    </row>
    <row r="857">
      <c r="A857" s="10"/>
      <c r="B857" s="10"/>
      <c r="C857" s="10"/>
      <c r="D857" s="10"/>
      <c r="E857" s="10"/>
      <c r="F857" s="10"/>
      <c r="G857" s="10"/>
      <c r="I857" s="10"/>
      <c r="J857" s="10"/>
      <c r="K857" s="10"/>
      <c r="L857" s="10"/>
      <c r="M857" s="10" t="str">
        <f>ifna(VLOOKUP('acft-exerc'!$M857,FIX!$A$2:$D1000,4, false),"")</f>
        <v/>
      </c>
      <c r="N857" s="10"/>
      <c r="O857" s="10"/>
      <c r="P857" s="10"/>
      <c r="Q857" s="10"/>
      <c r="R857" s="10"/>
      <c r="S857" s="10"/>
      <c r="T857" s="10"/>
      <c r="U857" s="10"/>
      <c r="V857" s="10"/>
    </row>
    <row r="858">
      <c r="A858" s="10"/>
      <c r="B858" s="10"/>
      <c r="C858" s="10"/>
      <c r="D858" s="10"/>
      <c r="E858" s="10"/>
      <c r="F858" s="10"/>
      <c r="G858" s="10"/>
      <c r="I858" s="10"/>
      <c r="J858" s="10"/>
      <c r="K858" s="10"/>
      <c r="L858" s="10"/>
      <c r="M858" s="10" t="str">
        <f>ifna(VLOOKUP('acft-exerc'!$M858,FIX!$A$2:$D1000,4, false),"")</f>
        <v/>
      </c>
      <c r="N858" s="10"/>
      <c r="O858" s="10"/>
      <c r="P858" s="10"/>
      <c r="Q858" s="10"/>
      <c r="R858" s="10"/>
      <c r="S858" s="10"/>
      <c r="T858" s="10"/>
      <c r="U858" s="10"/>
      <c r="V858" s="10"/>
    </row>
    <row r="859">
      <c r="A859" s="10"/>
      <c r="B859" s="10"/>
      <c r="C859" s="10"/>
      <c r="D859" s="10"/>
      <c r="E859" s="10"/>
      <c r="F859" s="10"/>
      <c r="G859" s="10"/>
      <c r="I859" s="10"/>
      <c r="J859" s="10"/>
      <c r="K859" s="10"/>
      <c r="L859" s="10"/>
      <c r="M859" s="10" t="str">
        <f>ifna(VLOOKUP('acft-exerc'!$M859,FIX!$A$2:$D1000,4, false),"")</f>
        <v/>
      </c>
      <c r="N859" s="10"/>
      <c r="O859" s="10"/>
      <c r="P859" s="10"/>
      <c r="Q859" s="10"/>
      <c r="R859" s="10"/>
      <c r="S859" s="10"/>
      <c r="T859" s="10"/>
      <c r="U859" s="10"/>
      <c r="V859" s="10"/>
    </row>
    <row r="860">
      <c r="A860" s="10"/>
      <c r="B860" s="10"/>
      <c r="C860" s="10"/>
      <c r="D860" s="10"/>
      <c r="E860" s="10"/>
      <c r="F860" s="10"/>
      <c r="G860" s="10"/>
      <c r="I860" s="10"/>
      <c r="J860" s="10"/>
      <c r="K860" s="10"/>
      <c r="L860" s="10"/>
      <c r="M860" s="10" t="str">
        <f>ifna(VLOOKUP('acft-exerc'!$M860,FIX!$A$2:$D1000,4, false),"")</f>
        <v/>
      </c>
      <c r="N860" s="10"/>
      <c r="O860" s="10"/>
      <c r="P860" s="10"/>
      <c r="Q860" s="10"/>
      <c r="R860" s="10"/>
      <c r="S860" s="10"/>
      <c r="T860" s="10"/>
      <c r="U860" s="10"/>
      <c r="V860" s="10"/>
    </row>
    <row r="861">
      <c r="A861" s="10"/>
      <c r="B861" s="10"/>
      <c r="C861" s="10"/>
      <c r="D861" s="10"/>
      <c r="E861" s="10"/>
      <c r="F861" s="10"/>
      <c r="G861" s="10"/>
      <c r="I861" s="10"/>
      <c r="J861" s="10"/>
      <c r="K861" s="10"/>
      <c r="L861" s="10"/>
      <c r="M861" s="10" t="str">
        <f>ifna(VLOOKUP('acft-exerc'!$M861,FIX!$A$2:$D1000,4, false),"")</f>
        <v/>
      </c>
      <c r="N861" s="10"/>
      <c r="O861" s="10"/>
      <c r="P861" s="10"/>
      <c r="Q861" s="10"/>
      <c r="R861" s="10"/>
      <c r="S861" s="10"/>
      <c r="T861" s="10"/>
      <c r="U861" s="10"/>
      <c r="V861" s="10"/>
    </row>
    <row r="862">
      <c r="A862" s="10"/>
      <c r="B862" s="10"/>
      <c r="C862" s="10"/>
      <c r="D862" s="10"/>
      <c r="E862" s="10"/>
      <c r="F862" s="10"/>
      <c r="G862" s="10"/>
      <c r="I862" s="10"/>
      <c r="J862" s="10"/>
      <c r="K862" s="10"/>
      <c r="L862" s="10"/>
      <c r="M862" s="10" t="str">
        <f>ifna(VLOOKUP('acft-exerc'!$M862,FIX!$A$2:$D1000,4, false),"")</f>
        <v/>
      </c>
      <c r="N862" s="10"/>
      <c r="O862" s="10"/>
      <c r="P862" s="10"/>
      <c r="Q862" s="10"/>
      <c r="R862" s="10"/>
      <c r="S862" s="10"/>
      <c r="T862" s="10"/>
      <c r="U862" s="10"/>
      <c r="V862" s="10"/>
    </row>
    <row r="863">
      <c r="A863" s="10"/>
      <c r="B863" s="10"/>
      <c r="C863" s="10"/>
      <c r="D863" s="10"/>
      <c r="E863" s="10"/>
      <c r="F863" s="10"/>
      <c r="G863" s="10"/>
      <c r="I863" s="10"/>
      <c r="J863" s="10"/>
      <c r="K863" s="10"/>
      <c r="L863" s="10"/>
      <c r="M863" s="10" t="str">
        <f>ifna(VLOOKUP('acft-exerc'!$M863,FIX!$A$2:$D1000,4, false),"")</f>
        <v/>
      </c>
      <c r="N863" s="10"/>
      <c r="O863" s="10"/>
      <c r="P863" s="10"/>
      <c r="Q863" s="10"/>
      <c r="R863" s="10"/>
      <c r="S863" s="10"/>
      <c r="T863" s="10"/>
      <c r="U863" s="10"/>
      <c r="V863" s="10"/>
    </row>
    <row r="864">
      <c r="A864" s="10"/>
      <c r="B864" s="10"/>
      <c r="C864" s="10"/>
      <c r="D864" s="10"/>
      <c r="E864" s="10"/>
      <c r="F864" s="10"/>
      <c r="G864" s="10"/>
      <c r="I864" s="10"/>
      <c r="J864" s="10"/>
      <c r="K864" s="10"/>
      <c r="L864" s="10"/>
      <c r="M864" s="10" t="str">
        <f>ifna(VLOOKUP('acft-exerc'!$M864,FIX!$A$2:$D1000,4, false),"")</f>
        <v/>
      </c>
      <c r="N864" s="10"/>
      <c r="O864" s="10"/>
      <c r="P864" s="10"/>
      <c r="Q864" s="10"/>
      <c r="R864" s="10"/>
      <c r="S864" s="10"/>
      <c r="T864" s="10"/>
      <c r="U864" s="10"/>
      <c r="V864" s="10"/>
    </row>
    <row r="865">
      <c r="A865" s="10"/>
      <c r="B865" s="10"/>
      <c r="C865" s="10"/>
      <c r="D865" s="10"/>
      <c r="E865" s="10"/>
      <c r="F865" s="10"/>
      <c r="G865" s="10"/>
      <c r="I865" s="10"/>
      <c r="J865" s="10"/>
      <c r="K865" s="10"/>
      <c r="L865" s="10"/>
      <c r="M865" s="10" t="str">
        <f>ifna(VLOOKUP('acft-exerc'!$M865,FIX!$A$2:$D1000,4, false),"")</f>
        <v/>
      </c>
      <c r="N865" s="10"/>
      <c r="O865" s="10"/>
      <c r="P865" s="10"/>
      <c r="Q865" s="10"/>
      <c r="R865" s="10"/>
      <c r="S865" s="10"/>
      <c r="T865" s="10"/>
      <c r="U865" s="10"/>
      <c r="V865" s="10"/>
    </row>
    <row r="866">
      <c r="A866" s="10"/>
      <c r="B866" s="10"/>
      <c r="C866" s="10"/>
      <c r="D866" s="10"/>
      <c r="E866" s="10"/>
      <c r="F866" s="10"/>
      <c r="G866" s="10"/>
      <c r="I866" s="10"/>
      <c r="J866" s="10"/>
      <c r="K866" s="10"/>
      <c r="L866" s="10"/>
      <c r="M866" s="10" t="str">
        <f>ifna(VLOOKUP('acft-exerc'!$M866,FIX!$A$2:$D1000,4, false),"")</f>
        <v/>
      </c>
      <c r="N866" s="10"/>
      <c r="O866" s="10"/>
      <c r="P866" s="10"/>
      <c r="Q866" s="10"/>
      <c r="R866" s="10"/>
      <c r="S866" s="10"/>
      <c r="T866" s="10"/>
      <c r="U866" s="10"/>
      <c r="V866" s="10"/>
    </row>
    <row r="867">
      <c r="A867" s="10"/>
      <c r="B867" s="10"/>
      <c r="C867" s="10"/>
      <c r="D867" s="10"/>
      <c r="E867" s="10"/>
      <c r="F867" s="10"/>
      <c r="G867" s="10"/>
      <c r="I867" s="10"/>
      <c r="J867" s="10"/>
      <c r="K867" s="10"/>
      <c r="L867" s="10"/>
      <c r="M867" s="10" t="str">
        <f>ifna(VLOOKUP('acft-exerc'!$M867,FIX!$A$2:$D1000,4, false),"")</f>
        <v/>
      </c>
      <c r="N867" s="10"/>
      <c r="O867" s="10"/>
      <c r="P867" s="10"/>
      <c r="Q867" s="10"/>
      <c r="R867" s="10"/>
      <c r="S867" s="10"/>
      <c r="T867" s="10"/>
      <c r="U867" s="10"/>
      <c r="V867" s="10"/>
    </row>
    <row r="868">
      <c r="A868" s="10"/>
      <c r="B868" s="10"/>
      <c r="C868" s="10"/>
      <c r="D868" s="10"/>
      <c r="E868" s="10"/>
      <c r="F868" s="10"/>
      <c r="G868" s="10"/>
      <c r="I868" s="10"/>
      <c r="J868" s="10"/>
      <c r="K868" s="10"/>
      <c r="L868" s="10"/>
      <c r="M868" s="10" t="str">
        <f>ifna(VLOOKUP('acft-exerc'!$M868,FIX!$A$2:$D1000,4, false),"")</f>
        <v/>
      </c>
      <c r="N868" s="10"/>
      <c r="O868" s="10"/>
      <c r="P868" s="10"/>
      <c r="Q868" s="10"/>
      <c r="R868" s="10"/>
      <c r="S868" s="10"/>
      <c r="T868" s="10"/>
      <c r="U868" s="10"/>
      <c r="V868" s="10"/>
    </row>
    <row r="869">
      <c r="A869" s="10"/>
      <c r="B869" s="10"/>
      <c r="C869" s="10"/>
      <c r="D869" s="10"/>
      <c r="E869" s="10"/>
      <c r="F869" s="10"/>
      <c r="G869" s="10"/>
      <c r="I869" s="10"/>
      <c r="J869" s="10"/>
      <c r="K869" s="10"/>
      <c r="L869" s="10"/>
      <c r="M869" s="10" t="str">
        <f>ifna(VLOOKUP('acft-exerc'!$M869,FIX!$A$2:$D1000,4, false),"")</f>
        <v/>
      </c>
      <c r="N869" s="10"/>
      <c r="O869" s="10"/>
      <c r="P869" s="10"/>
      <c r="Q869" s="10"/>
      <c r="R869" s="10"/>
      <c r="S869" s="10"/>
      <c r="T869" s="10"/>
      <c r="U869" s="10"/>
      <c r="V869" s="10"/>
    </row>
    <row r="870">
      <c r="A870" s="10"/>
      <c r="B870" s="10"/>
      <c r="C870" s="10"/>
      <c r="D870" s="10"/>
      <c r="E870" s="10"/>
      <c r="F870" s="10"/>
      <c r="G870" s="10"/>
      <c r="I870" s="10"/>
      <c r="J870" s="10"/>
      <c r="K870" s="10"/>
      <c r="L870" s="10"/>
      <c r="M870" s="10" t="str">
        <f>ifna(VLOOKUP('acft-exerc'!$M870,FIX!$A$2:$D1000,4, false),"")</f>
        <v/>
      </c>
      <c r="N870" s="10"/>
      <c r="O870" s="10"/>
      <c r="P870" s="10"/>
      <c r="Q870" s="10"/>
      <c r="R870" s="10"/>
      <c r="S870" s="10"/>
      <c r="T870" s="10"/>
      <c r="U870" s="10"/>
      <c r="V870" s="10"/>
    </row>
    <row r="871">
      <c r="A871" s="10"/>
      <c r="B871" s="10"/>
      <c r="C871" s="10"/>
      <c r="D871" s="10"/>
      <c r="E871" s="10"/>
      <c r="F871" s="10"/>
      <c r="G871" s="10"/>
      <c r="I871" s="10"/>
      <c r="J871" s="10"/>
      <c r="K871" s="10"/>
      <c r="L871" s="10"/>
      <c r="M871" s="10" t="str">
        <f>ifna(VLOOKUP('acft-exerc'!$M871,FIX!$A$2:$D1000,4, false),"")</f>
        <v/>
      </c>
      <c r="N871" s="10"/>
      <c r="O871" s="10"/>
      <c r="P871" s="10"/>
      <c r="Q871" s="10"/>
      <c r="R871" s="10"/>
      <c r="S871" s="10"/>
      <c r="T871" s="10"/>
      <c r="U871" s="10"/>
      <c r="V871" s="10"/>
    </row>
    <row r="872">
      <c r="A872" s="10"/>
      <c r="B872" s="10"/>
      <c r="C872" s="10"/>
      <c r="D872" s="10"/>
      <c r="E872" s="10"/>
      <c r="F872" s="10"/>
      <c r="G872" s="10"/>
      <c r="I872" s="10"/>
      <c r="J872" s="10"/>
      <c r="K872" s="10"/>
      <c r="L872" s="10"/>
      <c r="M872" s="10" t="str">
        <f>ifna(VLOOKUP('acft-exerc'!$M872,FIX!$A$2:$D1000,4, false),"")</f>
        <v/>
      </c>
      <c r="N872" s="10"/>
      <c r="O872" s="10"/>
      <c r="P872" s="10"/>
      <c r="Q872" s="10"/>
      <c r="R872" s="10"/>
      <c r="S872" s="10"/>
      <c r="T872" s="10"/>
      <c r="U872" s="10"/>
      <c r="V872" s="10"/>
    </row>
    <row r="873">
      <c r="A873" s="10"/>
      <c r="B873" s="10"/>
      <c r="C873" s="10"/>
      <c r="D873" s="10"/>
      <c r="E873" s="10"/>
      <c r="F873" s="10"/>
      <c r="G873" s="10"/>
      <c r="I873" s="10"/>
      <c r="J873" s="10"/>
      <c r="K873" s="10"/>
      <c r="L873" s="10"/>
      <c r="M873" s="10" t="str">
        <f>ifna(VLOOKUP('acft-exerc'!$M873,FIX!$A$2:$D1000,4, false),"")</f>
        <v/>
      </c>
      <c r="N873" s="10"/>
      <c r="O873" s="10"/>
      <c r="P873" s="10"/>
      <c r="Q873" s="10"/>
      <c r="R873" s="10"/>
      <c r="S873" s="10"/>
      <c r="T873" s="10"/>
      <c r="U873" s="10"/>
      <c r="V873" s="10"/>
    </row>
    <row r="874">
      <c r="A874" s="10"/>
      <c r="B874" s="10"/>
      <c r="C874" s="10"/>
      <c r="D874" s="10"/>
      <c r="E874" s="10"/>
      <c r="F874" s="10"/>
      <c r="G874" s="10"/>
      <c r="I874" s="10"/>
      <c r="J874" s="10"/>
      <c r="K874" s="10"/>
      <c r="L874" s="10"/>
      <c r="M874" s="10" t="str">
        <f>ifna(VLOOKUP('acft-exerc'!$M874,FIX!$A$2:$D1000,4, false),"")</f>
        <v/>
      </c>
      <c r="N874" s="10"/>
      <c r="O874" s="10"/>
      <c r="P874" s="10"/>
      <c r="Q874" s="10"/>
      <c r="R874" s="10"/>
      <c r="S874" s="10"/>
      <c r="T874" s="10"/>
      <c r="U874" s="10"/>
      <c r="V874" s="10"/>
    </row>
    <row r="875">
      <c r="A875" s="10"/>
      <c r="B875" s="10"/>
      <c r="C875" s="10"/>
      <c r="D875" s="10"/>
      <c r="E875" s="10"/>
      <c r="F875" s="10"/>
      <c r="G875" s="10"/>
      <c r="I875" s="10"/>
      <c r="J875" s="10"/>
      <c r="K875" s="10"/>
      <c r="L875" s="10"/>
      <c r="M875" s="10" t="str">
        <f>ifna(VLOOKUP('acft-exerc'!$M875,FIX!$A$2:$D1000,4, false),"")</f>
        <v/>
      </c>
      <c r="N875" s="10"/>
      <c r="O875" s="10"/>
      <c r="P875" s="10"/>
      <c r="Q875" s="10"/>
      <c r="R875" s="10"/>
      <c r="S875" s="10"/>
      <c r="T875" s="10"/>
      <c r="U875" s="10"/>
      <c r="V875" s="10"/>
    </row>
    <row r="876">
      <c r="A876" s="10"/>
      <c r="B876" s="10"/>
      <c r="C876" s="10"/>
      <c r="D876" s="10"/>
      <c r="E876" s="10"/>
      <c r="F876" s="10"/>
      <c r="G876" s="10"/>
      <c r="I876" s="10"/>
      <c r="J876" s="10"/>
      <c r="K876" s="10"/>
      <c r="L876" s="10"/>
      <c r="M876" s="10" t="str">
        <f>ifna(VLOOKUP('acft-exerc'!$M876,FIX!$A$2:$D1000,4, false),"")</f>
        <v/>
      </c>
      <c r="N876" s="10"/>
      <c r="O876" s="10"/>
      <c r="P876" s="10"/>
      <c r="Q876" s="10"/>
      <c r="R876" s="10"/>
      <c r="S876" s="10"/>
      <c r="T876" s="10"/>
      <c r="U876" s="10"/>
      <c r="V876" s="10"/>
    </row>
    <row r="877">
      <c r="A877" s="10"/>
      <c r="B877" s="10"/>
      <c r="C877" s="10"/>
      <c r="D877" s="10"/>
      <c r="E877" s="10"/>
      <c r="F877" s="10"/>
      <c r="G877" s="10"/>
      <c r="I877" s="10"/>
      <c r="J877" s="10"/>
      <c r="K877" s="10"/>
      <c r="L877" s="10"/>
      <c r="M877" s="10" t="str">
        <f>ifna(VLOOKUP('acft-exerc'!$M877,FIX!$A$2:$D1000,4, false),"")</f>
        <v/>
      </c>
      <c r="N877" s="10"/>
      <c r="O877" s="10"/>
      <c r="P877" s="10"/>
      <c r="Q877" s="10"/>
      <c r="R877" s="10"/>
      <c r="S877" s="10"/>
      <c r="T877" s="10"/>
      <c r="U877" s="10"/>
      <c r="V877" s="10"/>
    </row>
    <row r="878">
      <c r="A878" s="10"/>
      <c r="B878" s="10"/>
      <c r="C878" s="10"/>
      <c r="D878" s="10"/>
      <c r="E878" s="10"/>
      <c r="F878" s="10"/>
      <c r="G878" s="10"/>
      <c r="I878" s="10"/>
      <c r="J878" s="10"/>
      <c r="K878" s="10"/>
      <c r="L878" s="10"/>
      <c r="M878" s="10" t="str">
        <f>ifna(VLOOKUP('acft-exerc'!$M878,FIX!$A$2:$D1000,4, false),"")</f>
        <v/>
      </c>
      <c r="N878" s="10"/>
      <c r="O878" s="10"/>
      <c r="P878" s="10"/>
      <c r="Q878" s="10"/>
      <c r="R878" s="10"/>
      <c r="S878" s="10"/>
      <c r="T878" s="10"/>
      <c r="U878" s="10"/>
      <c r="V878" s="10"/>
    </row>
    <row r="879">
      <c r="A879" s="10"/>
      <c r="B879" s="10"/>
      <c r="C879" s="10"/>
      <c r="D879" s="10"/>
      <c r="E879" s="10"/>
      <c r="F879" s="10"/>
      <c r="G879" s="10"/>
      <c r="I879" s="10"/>
      <c r="J879" s="10"/>
      <c r="K879" s="10"/>
      <c r="L879" s="10"/>
      <c r="M879" s="10" t="str">
        <f>ifna(VLOOKUP('acft-exerc'!$M879,FIX!$A$2:$D1000,4, false),"")</f>
        <v/>
      </c>
      <c r="N879" s="10"/>
      <c r="O879" s="10"/>
      <c r="P879" s="10"/>
      <c r="Q879" s="10"/>
      <c r="R879" s="10"/>
      <c r="S879" s="10"/>
      <c r="T879" s="10"/>
      <c r="U879" s="10"/>
      <c r="V879" s="10"/>
    </row>
    <row r="880">
      <c r="A880" s="10"/>
      <c r="B880" s="10"/>
      <c r="C880" s="10"/>
      <c r="D880" s="10"/>
      <c r="E880" s="10"/>
      <c r="F880" s="10"/>
      <c r="G880" s="10"/>
      <c r="I880" s="10"/>
      <c r="J880" s="10"/>
      <c r="K880" s="10"/>
      <c r="L880" s="10"/>
      <c r="M880" s="10" t="str">
        <f>ifna(VLOOKUP('acft-exerc'!$M880,FIX!$A$2:$D1000,4, false),"")</f>
        <v/>
      </c>
      <c r="N880" s="10"/>
      <c r="O880" s="10"/>
      <c r="P880" s="10"/>
      <c r="Q880" s="10"/>
      <c r="R880" s="10"/>
      <c r="S880" s="10"/>
      <c r="T880" s="10"/>
      <c r="U880" s="10"/>
      <c r="V880" s="10"/>
    </row>
    <row r="881">
      <c r="A881" s="10"/>
      <c r="B881" s="10"/>
      <c r="C881" s="10"/>
      <c r="D881" s="10"/>
      <c r="E881" s="10"/>
      <c r="F881" s="10"/>
      <c r="G881" s="10"/>
      <c r="I881" s="10"/>
      <c r="J881" s="10"/>
      <c r="K881" s="10"/>
      <c r="L881" s="10"/>
      <c r="M881" s="10" t="str">
        <f>ifna(VLOOKUP('acft-exerc'!$M881,FIX!$A$2:$D1000,4, false),"")</f>
        <v/>
      </c>
      <c r="N881" s="10"/>
      <c r="O881" s="10"/>
      <c r="P881" s="10"/>
      <c r="Q881" s="10"/>
      <c r="R881" s="10"/>
      <c r="S881" s="10"/>
      <c r="T881" s="10"/>
      <c r="U881" s="10"/>
      <c r="V881" s="10"/>
    </row>
    <row r="882">
      <c r="A882" s="10"/>
      <c r="B882" s="10"/>
      <c r="C882" s="10"/>
      <c r="D882" s="10"/>
      <c r="E882" s="10"/>
      <c r="F882" s="10"/>
      <c r="G882" s="10"/>
      <c r="I882" s="10"/>
      <c r="J882" s="10"/>
      <c r="K882" s="10"/>
      <c r="L882" s="10"/>
      <c r="M882" s="10" t="str">
        <f>ifna(VLOOKUP('acft-exerc'!$M882,FIX!$A$2:$D1000,4, false),"")</f>
        <v/>
      </c>
      <c r="N882" s="10"/>
      <c r="O882" s="10"/>
      <c r="P882" s="10"/>
      <c r="Q882" s="10"/>
      <c r="R882" s="10"/>
      <c r="S882" s="10"/>
      <c r="T882" s="10"/>
      <c r="U882" s="10"/>
      <c r="V882" s="10"/>
    </row>
    <row r="883">
      <c r="A883" s="10"/>
      <c r="B883" s="10"/>
      <c r="C883" s="10"/>
      <c r="D883" s="10"/>
      <c r="E883" s="10"/>
      <c r="F883" s="10"/>
      <c r="G883" s="10"/>
      <c r="I883" s="10"/>
      <c r="J883" s="10"/>
      <c r="K883" s="10"/>
      <c r="L883" s="10"/>
      <c r="M883" s="10" t="str">
        <f>ifna(VLOOKUP('acft-exerc'!$M883,FIX!$A$2:$D1000,4, false),"")</f>
        <v/>
      </c>
      <c r="N883" s="10"/>
      <c r="O883" s="10"/>
      <c r="P883" s="10"/>
      <c r="Q883" s="10"/>
      <c r="R883" s="10"/>
      <c r="S883" s="10"/>
      <c r="T883" s="10"/>
      <c r="U883" s="10"/>
      <c r="V883" s="10"/>
    </row>
    <row r="884">
      <c r="A884" s="10"/>
      <c r="B884" s="10"/>
      <c r="C884" s="10"/>
      <c r="D884" s="10"/>
      <c r="E884" s="10"/>
      <c r="F884" s="10"/>
      <c r="G884" s="10"/>
      <c r="I884" s="10"/>
      <c r="J884" s="10"/>
      <c r="K884" s="10"/>
      <c r="L884" s="10"/>
      <c r="M884" s="10" t="str">
        <f>ifna(VLOOKUP('acft-exerc'!$M884,FIX!$A$2:$D1000,4, false),"")</f>
        <v/>
      </c>
      <c r="N884" s="10"/>
      <c r="O884" s="10"/>
      <c r="P884" s="10"/>
      <c r="Q884" s="10"/>
      <c r="R884" s="10"/>
      <c r="S884" s="10"/>
      <c r="T884" s="10"/>
      <c r="U884" s="10"/>
      <c r="V884" s="10"/>
    </row>
    <row r="885">
      <c r="A885" s="10"/>
      <c r="B885" s="10"/>
      <c r="C885" s="10"/>
      <c r="D885" s="10"/>
      <c r="E885" s="10"/>
      <c r="F885" s="10"/>
      <c r="G885" s="10"/>
      <c r="I885" s="10"/>
      <c r="J885" s="10"/>
      <c r="K885" s="10"/>
      <c r="L885" s="10"/>
      <c r="M885" s="10" t="str">
        <f>ifna(VLOOKUP('acft-exerc'!$M885,FIX!$A$2:$D1000,4, false),"")</f>
        <v/>
      </c>
      <c r="N885" s="10"/>
      <c r="O885" s="10"/>
      <c r="P885" s="10"/>
      <c r="Q885" s="10"/>
      <c r="R885" s="10"/>
      <c r="S885" s="10"/>
      <c r="T885" s="10"/>
      <c r="U885" s="10"/>
      <c r="V885" s="10"/>
    </row>
    <row r="886">
      <c r="A886" s="10"/>
      <c r="B886" s="10"/>
      <c r="C886" s="10"/>
      <c r="D886" s="10"/>
      <c r="E886" s="10"/>
      <c r="F886" s="10"/>
      <c r="G886" s="10"/>
      <c r="I886" s="10"/>
      <c r="J886" s="10"/>
      <c r="K886" s="10"/>
      <c r="L886" s="10"/>
      <c r="M886" s="10" t="str">
        <f>ifna(VLOOKUP('acft-exerc'!$M886,FIX!$A$2:$D1000,4, false),"")</f>
        <v/>
      </c>
      <c r="N886" s="10"/>
      <c r="O886" s="10"/>
      <c r="P886" s="10"/>
      <c r="Q886" s="10"/>
      <c r="R886" s="10"/>
      <c r="S886" s="10"/>
      <c r="T886" s="10"/>
      <c r="U886" s="10"/>
      <c r="V886" s="10"/>
    </row>
    <row r="887">
      <c r="A887" s="10"/>
      <c r="B887" s="10"/>
      <c r="C887" s="10"/>
      <c r="D887" s="10"/>
      <c r="E887" s="10"/>
      <c r="F887" s="10"/>
      <c r="G887" s="10"/>
      <c r="I887" s="10"/>
      <c r="J887" s="10"/>
      <c r="K887" s="10"/>
      <c r="L887" s="10"/>
      <c r="M887" s="10" t="str">
        <f>ifna(VLOOKUP('acft-exerc'!$M887,FIX!$A$2:$D1000,4, false),"")</f>
        <v/>
      </c>
      <c r="N887" s="10"/>
      <c r="O887" s="10"/>
      <c r="P887" s="10"/>
      <c r="Q887" s="10"/>
      <c r="R887" s="10"/>
      <c r="S887" s="10"/>
      <c r="T887" s="10"/>
      <c r="U887" s="10"/>
      <c r="V887" s="10"/>
    </row>
    <row r="888">
      <c r="A888" s="10"/>
      <c r="B888" s="10"/>
      <c r="C888" s="10"/>
      <c r="D888" s="10"/>
      <c r="E888" s="10"/>
      <c r="F888" s="10"/>
      <c r="G888" s="10"/>
      <c r="I888" s="10"/>
      <c r="J888" s="10"/>
      <c r="K888" s="10"/>
      <c r="L888" s="10"/>
      <c r="M888" s="10" t="str">
        <f>ifna(VLOOKUP('acft-exerc'!$M888,FIX!$A$2:$D1000,4, false),"")</f>
        <v/>
      </c>
      <c r="N888" s="10"/>
      <c r="O888" s="10"/>
      <c r="P888" s="10"/>
      <c r="Q888" s="10"/>
      <c r="R888" s="10"/>
      <c r="S888" s="10"/>
      <c r="T888" s="10"/>
      <c r="U888" s="10"/>
      <c r="V888" s="10"/>
    </row>
    <row r="889">
      <c r="A889" s="10"/>
      <c r="B889" s="10"/>
      <c r="C889" s="10"/>
      <c r="D889" s="10"/>
      <c r="E889" s="10"/>
      <c r="F889" s="10"/>
      <c r="G889" s="10"/>
      <c r="I889" s="10"/>
      <c r="J889" s="10"/>
      <c r="K889" s="10"/>
      <c r="L889" s="10"/>
      <c r="M889" s="10" t="str">
        <f>ifna(VLOOKUP('acft-exerc'!$M889,FIX!$A$2:$D1000,4, false),"")</f>
        <v/>
      </c>
      <c r="N889" s="10"/>
      <c r="O889" s="10"/>
      <c r="P889" s="10"/>
      <c r="Q889" s="10"/>
      <c r="R889" s="10"/>
      <c r="S889" s="10"/>
      <c r="T889" s="10"/>
      <c r="U889" s="10"/>
      <c r="V889" s="10"/>
    </row>
    <row r="890">
      <c r="A890" s="10"/>
      <c r="B890" s="10"/>
      <c r="C890" s="10"/>
      <c r="D890" s="10"/>
      <c r="E890" s="10"/>
      <c r="F890" s="10"/>
      <c r="G890" s="10"/>
      <c r="I890" s="10"/>
      <c r="J890" s="10"/>
      <c r="K890" s="10"/>
      <c r="L890" s="10"/>
      <c r="M890" s="10" t="str">
        <f>ifna(VLOOKUP('acft-exerc'!$M890,FIX!$A$2:$D1000,4, false),"")</f>
        <v/>
      </c>
      <c r="N890" s="10"/>
      <c r="O890" s="10"/>
      <c r="P890" s="10"/>
      <c r="Q890" s="10"/>
      <c r="R890" s="10"/>
      <c r="S890" s="10"/>
      <c r="T890" s="10"/>
      <c r="U890" s="10"/>
      <c r="V890" s="10"/>
    </row>
    <row r="891">
      <c r="A891" s="10"/>
      <c r="B891" s="10"/>
      <c r="C891" s="10"/>
      <c r="D891" s="10"/>
      <c r="E891" s="10"/>
      <c r="F891" s="10"/>
      <c r="G891" s="10"/>
      <c r="I891" s="10"/>
      <c r="J891" s="10"/>
      <c r="K891" s="10"/>
      <c r="L891" s="10"/>
      <c r="M891" s="10" t="str">
        <f>ifna(VLOOKUP('acft-exerc'!$M891,FIX!$A$2:$D1000,4, false),"")</f>
        <v/>
      </c>
      <c r="N891" s="10"/>
      <c r="O891" s="10"/>
      <c r="P891" s="10"/>
      <c r="Q891" s="10"/>
      <c r="R891" s="10"/>
      <c r="S891" s="10"/>
      <c r="T891" s="10"/>
      <c r="U891" s="10"/>
      <c r="V891" s="10"/>
    </row>
    <row r="892">
      <c r="A892" s="10"/>
      <c r="B892" s="10"/>
      <c r="C892" s="10"/>
      <c r="D892" s="10"/>
      <c r="E892" s="10"/>
      <c r="F892" s="10"/>
      <c r="G892" s="10"/>
      <c r="I892" s="10"/>
      <c r="J892" s="10"/>
      <c r="K892" s="10"/>
      <c r="L892" s="10"/>
      <c r="M892" s="10" t="str">
        <f>ifna(VLOOKUP('acft-exerc'!$M892,FIX!$A$2:$D1000,4, false),"")</f>
        <v/>
      </c>
      <c r="N892" s="10"/>
      <c r="O892" s="10"/>
      <c r="P892" s="10"/>
      <c r="Q892" s="10"/>
      <c r="R892" s="10"/>
      <c r="S892" s="10"/>
      <c r="T892" s="10"/>
      <c r="U892" s="10"/>
      <c r="V892" s="10"/>
    </row>
    <row r="893">
      <c r="A893" s="10"/>
      <c r="B893" s="10"/>
      <c r="C893" s="10"/>
      <c r="D893" s="10"/>
      <c r="E893" s="10"/>
      <c r="F893" s="10"/>
      <c r="G893" s="10"/>
      <c r="I893" s="10"/>
      <c r="J893" s="10"/>
      <c r="K893" s="10"/>
      <c r="L893" s="10"/>
      <c r="M893" s="10" t="str">
        <f>ifna(VLOOKUP('acft-exerc'!$M893,FIX!$A$2:$D1000,4, false),"")</f>
        <v/>
      </c>
      <c r="N893" s="10"/>
      <c r="O893" s="10"/>
      <c r="P893" s="10"/>
      <c r="Q893" s="10"/>
      <c r="R893" s="10"/>
      <c r="S893" s="10"/>
      <c r="T893" s="10"/>
      <c r="U893" s="10"/>
      <c r="V893" s="10"/>
    </row>
    <row r="894">
      <c r="A894" s="10"/>
      <c r="B894" s="10"/>
      <c r="C894" s="10"/>
      <c r="D894" s="10"/>
      <c r="E894" s="10"/>
      <c r="F894" s="10"/>
      <c r="G894" s="10"/>
      <c r="I894" s="10"/>
      <c r="J894" s="10"/>
      <c r="K894" s="10"/>
      <c r="L894" s="10"/>
      <c r="M894" s="10" t="str">
        <f>ifna(VLOOKUP('acft-exerc'!$M894,FIX!$A$2:$D1000,4, false),"")</f>
        <v/>
      </c>
      <c r="N894" s="10"/>
      <c r="O894" s="10"/>
      <c r="P894" s="10"/>
      <c r="Q894" s="10"/>
      <c r="R894" s="10"/>
      <c r="S894" s="10"/>
      <c r="T894" s="10"/>
      <c r="U894" s="10"/>
      <c r="V894" s="10"/>
    </row>
    <row r="895">
      <c r="A895" s="10"/>
      <c r="B895" s="10"/>
      <c r="C895" s="10"/>
      <c r="D895" s="10"/>
      <c r="E895" s="10"/>
      <c r="F895" s="10"/>
      <c r="G895" s="10"/>
      <c r="I895" s="10"/>
      <c r="J895" s="10"/>
      <c r="K895" s="10"/>
      <c r="L895" s="10"/>
      <c r="M895" s="10" t="str">
        <f>ifna(VLOOKUP('acft-exerc'!$M895,FIX!$A$2:$D1000,4, false),"")</f>
        <v/>
      </c>
      <c r="N895" s="10"/>
      <c r="O895" s="10"/>
      <c r="P895" s="10"/>
      <c r="Q895" s="10"/>
      <c r="R895" s="10"/>
      <c r="S895" s="10"/>
      <c r="T895" s="10"/>
      <c r="U895" s="10"/>
      <c r="V895" s="10"/>
    </row>
    <row r="896">
      <c r="A896" s="10"/>
      <c r="B896" s="10"/>
      <c r="C896" s="10"/>
      <c r="D896" s="10"/>
      <c r="E896" s="10"/>
      <c r="F896" s="10"/>
      <c r="G896" s="10"/>
      <c r="I896" s="10"/>
      <c r="J896" s="10"/>
      <c r="K896" s="10"/>
      <c r="L896" s="10"/>
      <c r="M896" s="10" t="str">
        <f>ifna(VLOOKUP('acft-exerc'!$M896,FIX!$A$2:$D1000,4, false),"")</f>
        <v/>
      </c>
      <c r="N896" s="10"/>
      <c r="O896" s="10"/>
      <c r="P896" s="10"/>
      <c r="Q896" s="10"/>
      <c r="R896" s="10"/>
      <c r="S896" s="10"/>
      <c r="T896" s="10"/>
      <c r="U896" s="10"/>
      <c r="V896" s="10"/>
    </row>
    <row r="897">
      <c r="A897" s="10"/>
      <c r="B897" s="10"/>
      <c r="C897" s="10"/>
      <c r="D897" s="10"/>
      <c r="E897" s="10"/>
      <c r="F897" s="10"/>
      <c r="G897" s="10"/>
      <c r="I897" s="10"/>
      <c r="J897" s="10"/>
      <c r="K897" s="10"/>
      <c r="L897" s="10"/>
      <c r="M897" s="10" t="str">
        <f>ifna(VLOOKUP('acft-exerc'!$M897,FIX!$A$2:$D1000,4, false),"")</f>
        <v/>
      </c>
      <c r="N897" s="10"/>
      <c r="O897" s="10"/>
      <c r="P897" s="10"/>
      <c r="Q897" s="10"/>
      <c r="R897" s="10"/>
      <c r="S897" s="10"/>
      <c r="T897" s="10"/>
      <c r="U897" s="10"/>
      <c r="V897" s="10"/>
    </row>
    <row r="898">
      <c r="A898" s="10"/>
      <c r="B898" s="10"/>
      <c r="C898" s="10"/>
      <c r="D898" s="10"/>
      <c r="E898" s="10"/>
      <c r="F898" s="10"/>
      <c r="G898" s="10"/>
      <c r="I898" s="10"/>
      <c r="J898" s="10"/>
      <c r="K898" s="10"/>
      <c r="L898" s="10"/>
      <c r="M898" s="10" t="str">
        <f>ifna(VLOOKUP('acft-exerc'!$M898,FIX!$A$2:$D1000,4, false),"")</f>
        <v/>
      </c>
      <c r="N898" s="10"/>
      <c r="O898" s="10"/>
      <c r="P898" s="10"/>
      <c r="Q898" s="10"/>
      <c r="R898" s="10"/>
      <c r="S898" s="10"/>
      <c r="T898" s="10"/>
      <c r="U898" s="10"/>
      <c r="V898" s="10"/>
    </row>
    <row r="899">
      <c r="A899" s="10"/>
      <c r="B899" s="10"/>
      <c r="C899" s="10"/>
      <c r="D899" s="10"/>
      <c r="E899" s="10"/>
      <c r="F899" s="10"/>
      <c r="G899" s="10"/>
      <c r="I899" s="10"/>
      <c r="J899" s="10"/>
      <c r="K899" s="10"/>
      <c r="L899" s="10"/>
      <c r="M899" s="10" t="str">
        <f>ifna(VLOOKUP('acft-exerc'!$M899,FIX!$A$2:$D1000,4, false),"")</f>
        <v/>
      </c>
      <c r="N899" s="10"/>
      <c r="O899" s="10"/>
      <c r="P899" s="10"/>
      <c r="Q899" s="10"/>
      <c r="R899" s="10"/>
      <c r="S899" s="10"/>
      <c r="T899" s="10"/>
      <c r="U899" s="10"/>
      <c r="V899" s="10"/>
    </row>
    <row r="900">
      <c r="A900" s="10"/>
      <c r="B900" s="10"/>
      <c r="C900" s="10"/>
      <c r="D900" s="10"/>
      <c r="E900" s="10"/>
      <c r="F900" s="10"/>
      <c r="G900" s="10"/>
      <c r="I900" s="10"/>
      <c r="J900" s="10"/>
      <c r="K900" s="10"/>
      <c r="L900" s="10"/>
      <c r="M900" s="10" t="str">
        <f>ifna(VLOOKUP('acft-exerc'!$M900,FIX!$A$2:$D1000,4, false),"")</f>
        <v/>
      </c>
      <c r="N900" s="10"/>
      <c r="O900" s="10"/>
      <c r="P900" s="10"/>
      <c r="Q900" s="10"/>
      <c r="R900" s="10"/>
      <c r="S900" s="10"/>
      <c r="T900" s="10"/>
      <c r="U900" s="10"/>
      <c r="V900" s="10"/>
    </row>
    <row r="901">
      <c r="A901" s="10"/>
      <c r="B901" s="10"/>
      <c r="C901" s="10"/>
      <c r="D901" s="10"/>
      <c r="E901" s="10"/>
      <c r="F901" s="10"/>
      <c r="G901" s="10"/>
      <c r="I901" s="10"/>
      <c r="J901" s="10"/>
      <c r="K901" s="10"/>
      <c r="L901" s="10"/>
      <c r="M901" s="10" t="str">
        <f>ifna(VLOOKUP('acft-exerc'!$M901,FIX!$A$2:$D1000,4, false),"")</f>
        <v/>
      </c>
      <c r="N901" s="10"/>
      <c r="O901" s="10"/>
      <c r="P901" s="10"/>
      <c r="Q901" s="10"/>
      <c r="R901" s="10"/>
      <c r="S901" s="10"/>
      <c r="T901" s="10"/>
      <c r="U901" s="10"/>
      <c r="V901" s="10"/>
    </row>
    <row r="902">
      <c r="A902" s="10"/>
      <c r="B902" s="10"/>
      <c r="C902" s="10"/>
      <c r="D902" s="10"/>
      <c r="E902" s="10"/>
      <c r="F902" s="10"/>
      <c r="G902" s="10"/>
      <c r="I902" s="10"/>
      <c r="J902" s="10"/>
      <c r="K902" s="10"/>
      <c r="L902" s="10"/>
      <c r="M902" s="10" t="str">
        <f>ifna(VLOOKUP('acft-exerc'!$M902,FIX!$A$2:$D1000,4, false),"")</f>
        <v/>
      </c>
      <c r="N902" s="10"/>
      <c r="O902" s="10"/>
      <c r="P902" s="10"/>
      <c r="Q902" s="10"/>
      <c r="R902" s="10"/>
      <c r="S902" s="10"/>
      <c r="T902" s="10"/>
      <c r="U902" s="10"/>
      <c r="V902" s="10"/>
    </row>
    <row r="903">
      <c r="A903" s="10"/>
      <c r="B903" s="10"/>
      <c r="C903" s="10"/>
      <c r="D903" s="10"/>
      <c r="E903" s="10"/>
      <c r="F903" s="10"/>
      <c r="G903" s="10"/>
      <c r="I903" s="10"/>
      <c r="J903" s="10"/>
      <c r="K903" s="10"/>
      <c r="L903" s="10"/>
      <c r="M903" s="10" t="str">
        <f>ifna(VLOOKUP('acft-exerc'!$M903,FIX!$A$2:$D1000,4, false),"")</f>
        <v/>
      </c>
      <c r="N903" s="10"/>
      <c r="O903" s="10"/>
      <c r="P903" s="10"/>
      <c r="Q903" s="10"/>
      <c r="R903" s="10"/>
      <c r="S903" s="10"/>
      <c r="T903" s="10"/>
      <c r="U903" s="10"/>
      <c r="V903" s="10"/>
    </row>
    <row r="904">
      <c r="A904" s="10"/>
      <c r="B904" s="10"/>
      <c r="C904" s="10"/>
      <c r="D904" s="10"/>
      <c r="E904" s="10"/>
      <c r="F904" s="10"/>
      <c r="G904" s="10"/>
      <c r="I904" s="10"/>
      <c r="J904" s="10"/>
      <c r="K904" s="10"/>
      <c r="L904" s="10"/>
      <c r="M904" s="10" t="str">
        <f>ifna(VLOOKUP('acft-exerc'!$M904,FIX!$A$2:$D1000,4, false),"")</f>
        <v/>
      </c>
      <c r="N904" s="10"/>
      <c r="O904" s="10"/>
      <c r="P904" s="10"/>
      <c r="Q904" s="10"/>
      <c r="R904" s="10"/>
      <c r="S904" s="10"/>
      <c r="T904" s="10"/>
      <c r="U904" s="10"/>
      <c r="V904" s="10"/>
    </row>
    <row r="905">
      <c r="A905" s="10"/>
      <c r="B905" s="10"/>
      <c r="C905" s="10"/>
      <c r="D905" s="10"/>
      <c r="E905" s="10"/>
      <c r="F905" s="10"/>
      <c r="G905" s="10"/>
      <c r="I905" s="10"/>
      <c r="J905" s="10"/>
      <c r="K905" s="10"/>
      <c r="L905" s="10"/>
      <c r="M905" s="10" t="str">
        <f>ifna(VLOOKUP('acft-exerc'!$M905,FIX!$A$2:$D1000,4, false),"")</f>
        <v/>
      </c>
      <c r="N905" s="10"/>
      <c r="O905" s="10"/>
      <c r="P905" s="10"/>
      <c r="Q905" s="10"/>
      <c r="R905" s="10"/>
      <c r="S905" s="10"/>
      <c r="T905" s="10"/>
      <c r="U905" s="10"/>
      <c r="V905" s="10"/>
    </row>
    <row r="906">
      <c r="A906" s="10"/>
      <c r="B906" s="10"/>
      <c r="C906" s="10"/>
      <c r="D906" s="10"/>
      <c r="E906" s="10"/>
      <c r="F906" s="10"/>
      <c r="G906" s="10"/>
      <c r="I906" s="10"/>
      <c r="J906" s="10"/>
      <c r="K906" s="10"/>
      <c r="L906" s="10"/>
      <c r="M906" s="10" t="str">
        <f>ifna(VLOOKUP('acft-exerc'!$M906,FIX!$A$2:$D1000,4, false),"")</f>
        <v/>
      </c>
      <c r="N906" s="10"/>
      <c r="O906" s="10"/>
      <c r="P906" s="10"/>
      <c r="Q906" s="10"/>
      <c r="R906" s="10"/>
      <c r="S906" s="10"/>
      <c r="T906" s="10"/>
      <c r="U906" s="10"/>
      <c r="V906" s="10"/>
    </row>
    <row r="907">
      <c r="A907" s="10"/>
      <c r="B907" s="10"/>
      <c r="C907" s="10"/>
      <c r="D907" s="10"/>
      <c r="E907" s="10"/>
      <c r="F907" s="10"/>
      <c r="G907" s="10"/>
      <c r="I907" s="10"/>
      <c r="J907" s="10"/>
      <c r="K907" s="10"/>
      <c r="L907" s="10"/>
      <c r="M907" s="10" t="str">
        <f>ifna(VLOOKUP('acft-exerc'!$M907,FIX!$A$2:$D1000,4, false),"")</f>
        <v/>
      </c>
      <c r="N907" s="10"/>
      <c r="O907" s="10"/>
      <c r="P907" s="10"/>
      <c r="Q907" s="10"/>
      <c r="R907" s="10"/>
      <c r="S907" s="10"/>
      <c r="T907" s="10"/>
      <c r="U907" s="10"/>
      <c r="V907" s="10"/>
    </row>
    <row r="908">
      <c r="A908" s="10"/>
      <c r="B908" s="10"/>
      <c r="C908" s="10"/>
      <c r="D908" s="10"/>
      <c r="E908" s="10"/>
      <c r="F908" s="10"/>
      <c r="G908" s="10"/>
      <c r="I908" s="10"/>
      <c r="J908" s="10"/>
      <c r="K908" s="10"/>
      <c r="L908" s="10"/>
      <c r="M908" s="10" t="str">
        <f>ifna(VLOOKUP('acft-exerc'!$M908,FIX!$A$2:$D1000,4, false),"")</f>
        <v/>
      </c>
      <c r="N908" s="10"/>
      <c r="O908" s="10"/>
      <c r="P908" s="10"/>
      <c r="Q908" s="10"/>
      <c r="R908" s="10"/>
      <c r="S908" s="10"/>
      <c r="T908" s="10"/>
      <c r="U908" s="10"/>
      <c r="V908" s="10"/>
    </row>
    <row r="909">
      <c r="A909" s="10"/>
      <c r="B909" s="10"/>
      <c r="C909" s="10"/>
      <c r="D909" s="10"/>
      <c r="E909" s="10"/>
      <c r="F909" s="10"/>
      <c r="G909" s="10"/>
      <c r="I909" s="10"/>
      <c r="J909" s="10"/>
      <c r="K909" s="10"/>
      <c r="L909" s="10"/>
      <c r="M909" s="10" t="str">
        <f>ifna(VLOOKUP('acft-exerc'!$M909,FIX!$A$2:$D1000,4, false),"")</f>
        <v/>
      </c>
      <c r="N909" s="10"/>
      <c r="O909" s="10"/>
      <c r="P909" s="10"/>
      <c r="Q909" s="10"/>
      <c r="R909" s="10"/>
      <c r="S909" s="10"/>
      <c r="T909" s="10"/>
      <c r="U909" s="10"/>
      <c r="V909" s="10"/>
    </row>
    <row r="910">
      <c r="A910" s="10"/>
      <c r="B910" s="10"/>
      <c r="C910" s="10"/>
      <c r="D910" s="10"/>
      <c r="E910" s="10"/>
      <c r="F910" s="10"/>
      <c r="G910" s="10"/>
      <c r="I910" s="10"/>
      <c r="J910" s="10"/>
      <c r="K910" s="10"/>
      <c r="L910" s="10"/>
      <c r="M910" s="10" t="str">
        <f>ifna(VLOOKUP('acft-exerc'!$M910,FIX!$A$2:$D1000,4, false),"")</f>
        <v/>
      </c>
      <c r="N910" s="10"/>
      <c r="O910" s="10"/>
      <c r="P910" s="10"/>
      <c r="Q910" s="10"/>
      <c r="R910" s="10"/>
      <c r="S910" s="10"/>
      <c r="T910" s="10"/>
      <c r="U910" s="10"/>
      <c r="V910" s="10"/>
    </row>
    <row r="911">
      <c r="A911" s="10"/>
      <c r="B911" s="10"/>
      <c r="C911" s="10"/>
      <c r="D911" s="10"/>
      <c r="E911" s="10"/>
      <c r="F911" s="10"/>
      <c r="G911" s="10"/>
      <c r="I911" s="10"/>
      <c r="J911" s="10"/>
      <c r="K911" s="10"/>
      <c r="L911" s="10"/>
      <c r="M911" s="10" t="str">
        <f>ifna(VLOOKUP('acft-exerc'!$M911,FIX!$A$2:$D1000,4, false),"")</f>
        <v/>
      </c>
      <c r="N911" s="10"/>
      <c r="O911" s="10"/>
      <c r="P911" s="10"/>
      <c r="Q911" s="10"/>
      <c r="R911" s="10"/>
      <c r="S911" s="10"/>
      <c r="T911" s="10"/>
      <c r="U911" s="10"/>
      <c r="V911" s="10"/>
    </row>
    <row r="912">
      <c r="A912" s="10"/>
      <c r="B912" s="10"/>
      <c r="C912" s="10"/>
      <c r="D912" s="10"/>
      <c r="E912" s="10"/>
      <c r="F912" s="10"/>
      <c r="G912" s="10"/>
      <c r="I912" s="10"/>
      <c r="J912" s="10"/>
      <c r="K912" s="10"/>
      <c r="L912" s="10"/>
      <c r="M912" s="10" t="str">
        <f>ifna(VLOOKUP('acft-exerc'!$M912,FIX!$A$2:$D1000,4, false),"")</f>
        <v/>
      </c>
      <c r="N912" s="10"/>
      <c r="O912" s="10"/>
      <c r="P912" s="10"/>
      <c r="Q912" s="10"/>
      <c r="R912" s="10"/>
      <c r="S912" s="10"/>
      <c r="T912" s="10"/>
      <c r="U912" s="10"/>
      <c r="V912" s="10"/>
    </row>
    <row r="913">
      <c r="A913" s="10"/>
      <c r="B913" s="10"/>
      <c r="C913" s="10"/>
      <c r="D913" s="10"/>
      <c r="E913" s="10"/>
      <c r="F913" s="10"/>
      <c r="G913" s="10"/>
      <c r="I913" s="10"/>
      <c r="J913" s="10"/>
      <c r="K913" s="10"/>
      <c r="L913" s="10"/>
      <c r="M913" s="10" t="str">
        <f>ifna(VLOOKUP('acft-exerc'!$M913,FIX!$A$2:$D1000,4, false),"")</f>
        <v/>
      </c>
      <c r="N913" s="10"/>
      <c r="O913" s="10"/>
      <c r="P913" s="10"/>
      <c r="Q913" s="10"/>
      <c r="R913" s="10"/>
      <c r="S913" s="10"/>
      <c r="T913" s="10"/>
      <c r="U913" s="10"/>
      <c r="V913" s="10"/>
    </row>
    <row r="914">
      <c r="A914" s="10"/>
      <c r="B914" s="10"/>
      <c r="C914" s="10"/>
      <c r="D914" s="10"/>
      <c r="E914" s="10"/>
      <c r="F914" s="10"/>
      <c r="G914" s="10"/>
      <c r="I914" s="10"/>
      <c r="J914" s="10"/>
      <c r="K914" s="10"/>
      <c r="L914" s="10"/>
      <c r="M914" s="10" t="str">
        <f>ifna(VLOOKUP('acft-exerc'!$M914,FIX!$A$2:$D1000,4, false),"")</f>
        <v/>
      </c>
      <c r="N914" s="10"/>
      <c r="O914" s="10"/>
      <c r="P914" s="10"/>
      <c r="Q914" s="10"/>
      <c r="R914" s="10"/>
      <c r="S914" s="10"/>
      <c r="T914" s="10"/>
      <c r="U914" s="10"/>
      <c r="V914" s="10"/>
    </row>
    <row r="915">
      <c r="A915" s="10"/>
      <c r="B915" s="10"/>
      <c r="C915" s="10"/>
      <c r="D915" s="10"/>
      <c r="E915" s="10"/>
      <c r="F915" s="10"/>
      <c r="G915" s="10"/>
      <c r="I915" s="10"/>
      <c r="J915" s="10"/>
      <c r="K915" s="10"/>
      <c r="L915" s="10"/>
      <c r="M915" s="10" t="str">
        <f>ifna(VLOOKUP('acft-exerc'!$M915,FIX!$A$2:$D1000,4, false),"")</f>
        <v/>
      </c>
      <c r="N915" s="10"/>
      <c r="O915" s="10"/>
      <c r="P915" s="10"/>
      <c r="Q915" s="10"/>
      <c r="R915" s="10"/>
      <c r="S915" s="10"/>
      <c r="T915" s="10"/>
      <c r="U915" s="10"/>
      <c r="V915" s="10"/>
    </row>
    <row r="916">
      <c r="A916" s="10"/>
      <c r="B916" s="10"/>
      <c r="C916" s="10"/>
      <c r="D916" s="10"/>
      <c r="E916" s="10"/>
      <c r="F916" s="10"/>
      <c r="G916" s="10"/>
      <c r="I916" s="10"/>
      <c r="J916" s="10"/>
      <c r="K916" s="10"/>
      <c r="L916" s="10"/>
      <c r="M916" s="10" t="str">
        <f>ifna(VLOOKUP('acft-exerc'!$M916,FIX!$A$2:$D1000,4, false),"")</f>
        <v/>
      </c>
      <c r="N916" s="10"/>
      <c r="O916" s="10"/>
      <c r="P916" s="10"/>
      <c r="Q916" s="10"/>
      <c r="R916" s="10"/>
      <c r="S916" s="10"/>
      <c r="T916" s="10"/>
      <c r="U916" s="10"/>
      <c r="V916" s="10"/>
    </row>
    <row r="917">
      <c r="A917" s="10"/>
      <c r="B917" s="10"/>
      <c r="C917" s="10"/>
      <c r="D917" s="10"/>
      <c r="E917" s="10"/>
      <c r="F917" s="10"/>
      <c r="G917" s="10"/>
      <c r="I917" s="10"/>
      <c r="J917" s="10"/>
      <c r="K917" s="10"/>
      <c r="L917" s="10"/>
      <c r="M917" s="10" t="str">
        <f>ifna(VLOOKUP('acft-exerc'!$M917,FIX!$A$2:$D1000,4, false),"")</f>
        <v/>
      </c>
      <c r="N917" s="10"/>
      <c r="O917" s="10"/>
      <c r="P917" s="10"/>
      <c r="Q917" s="10"/>
      <c r="R917" s="10"/>
      <c r="S917" s="10"/>
      <c r="T917" s="10"/>
      <c r="U917" s="10"/>
      <c r="V917" s="10"/>
    </row>
    <row r="918">
      <c r="A918" s="10"/>
      <c r="B918" s="10"/>
      <c r="C918" s="10"/>
      <c r="D918" s="10"/>
      <c r="E918" s="10"/>
      <c r="F918" s="10"/>
      <c r="G918" s="10"/>
      <c r="I918" s="10"/>
      <c r="J918" s="10"/>
      <c r="K918" s="10"/>
      <c r="L918" s="10"/>
      <c r="M918" s="10" t="str">
        <f>ifna(VLOOKUP('acft-exerc'!$M918,FIX!$A$2:$D1000,4, false),"")</f>
        <v/>
      </c>
      <c r="N918" s="10"/>
      <c r="O918" s="10"/>
      <c r="P918" s="10"/>
      <c r="Q918" s="10"/>
      <c r="R918" s="10"/>
      <c r="S918" s="10"/>
      <c r="T918" s="10"/>
      <c r="U918" s="10"/>
      <c r="V918" s="10"/>
    </row>
    <row r="919">
      <c r="A919" s="10"/>
      <c r="B919" s="10"/>
      <c r="C919" s="10"/>
      <c r="D919" s="10"/>
      <c r="E919" s="10"/>
      <c r="F919" s="10"/>
      <c r="G919" s="10"/>
      <c r="I919" s="10"/>
      <c r="J919" s="10"/>
      <c r="K919" s="10"/>
      <c r="L919" s="10"/>
      <c r="M919" s="10" t="str">
        <f>ifna(VLOOKUP('acft-exerc'!$M919,FIX!$A$2:$D1000,4, false),"")</f>
        <v/>
      </c>
      <c r="N919" s="10"/>
      <c r="O919" s="10"/>
      <c r="P919" s="10"/>
      <c r="Q919" s="10"/>
      <c r="R919" s="10"/>
      <c r="S919" s="10"/>
      <c r="T919" s="10"/>
      <c r="U919" s="10"/>
      <c r="V919" s="10"/>
    </row>
    <row r="920">
      <c r="A920" s="10"/>
      <c r="B920" s="10"/>
      <c r="C920" s="10"/>
      <c r="D920" s="10"/>
      <c r="E920" s="10"/>
      <c r="F920" s="10"/>
      <c r="G920" s="10"/>
      <c r="I920" s="10"/>
      <c r="J920" s="10"/>
      <c r="K920" s="10"/>
      <c r="L920" s="10"/>
      <c r="M920" s="10" t="str">
        <f>ifna(VLOOKUP('acft-exerc'!$M920,FIX!$A$2:$D1000,4, false),"")</f>
        <v/>
      </c>
      <c r="N920" s="10"/>
      <c r="O920" s="10"/>
      <c r="P920" s="10"/>
      <c r="Q920" s="10"/>
      <c r="R920" s="10"/>
      <c r="S920" s="10"/>
      <c r="T920" s="10"/>
      <c r="U920" s="10"/>
      <c r="V920" s="10"/>
    </row>
    <row r="921">
      <c r="A921" s="10"/>
      <c r="B921" s="10"/>
      <c r="C921" s="10"/>
      <c r="D921" s="10"/>
      <c r="E921" s="10"/>
      <c r="F921" s="10"/>
      <c r="G921" s="10"/>
      <c r="I921" s="10"/>
      <c r="J921" s="10"/>
      <c r="K921" s="10"/>
      <c r="L921" s="10"/>
      <c r="M921" s="10" t="str">
        <f>ifna(VLOOKUP('acft-exerc'!$M921,FIX!$A$2:$D1000,4, false),"")</f>
        <v/>
      </c>
      <c r="N921" s="10"/>
      <c r="O921" s="10"/>
      <c r="P921" s="10"/>
      <c r="Q921" s="10"/>
      <c r="R921" s="10"/>
      <c r="S921" s="10"/>
      <c r="T921" s="10"/>
      <c r="U921" s="10"/>
      <c r="V921" s="10"/>
    </row>
    <row r="922">
      <c r="A922" s="10"/>
      <c r="B922" s="10"/>
      <c r="C922" s="10"/>
      <c r="D922" s="10"/>
      <c r="E922" s="10"/>
      <c r="F922" s="10"/>
      <c r="G922" s="10"/>
      <c r="I922" s="10"/>
      <c r="J922" s="10"/>
      <c r="K922" s="10"/>
      <c r="L922" s="10"/>
      <c r="M922" s="10" t="str">
        <f>ifna(VLOOKUP('acft-exerc'!$M922,FIX!$A$2:$D1000,4, false),"")</f>
        <v/>
      </c>
      <c r="N922" s="10"/>
      <c r="O922" s="10"/>
      <c r="P922" s="10"/>
      <c r="Q922" s="10"/>
      <c r="R922" s="10"/>
      <c r="S922" s="10"/>
      <c r="T922" s="10"/>
      <c r="U922" s="10"/>
      <c r="V922" s="10"/>
    </row>
    <row r="923">
      <c r="A923" s="10"/>
      <c r="B923" s="10"/>
      <c r="C923" s="10"/>
      <c r="D923" s="10"/>
      <c r="E923" s="10"/>
      <c r="F923" s="10"/>
      <c r="G923" s="10"/>
      <c r="I923" s="10"/>
      <c r="J923" s="10"/>
      <c r="K923" s="10"/>
      <c r="L923" s="10"/>
      <c r="M923" s="10" t="str">
        <f>ifna(VLOOKUP('acft-exerc'!$M923,FIX!$A$2:$D1000,4, false),"")</f>
        <v/>
      </c>
      <c r="N923" s="10"/>
      <c r="O923" s="10"/>
      <c r="P923" s="10"/>
      <c r="Q923" s="10"/>
      <c r="R923" s="10"/>
      <c r="S923" s="10"/>
      <c r="T923" s="10"/>
      <c r="U923" s="10"/>
      <c r="V923" s="10"/>
    </row>
    <row r="924">
      <c r="A924" s="10"/>
      <c r="B924" s="10"/>
      <c r="C924" s="10"/>
      <c r="D924" s="10"/>
      <c r="E924" s="10"/>
      <c r="F924" s="10"/>
      <c r="G924" s="10"/>
      <c r="I924" s="10"/>
      <c r="J924" s="10"/>
      <c r="K924" s="10"/>
      <c r="L924" s="10"/>
      <c r="M924" s="10" t="str">
        <f>ifna(VLOOKUP('acft-exerc'!$M924,FIX!$A$2:$D1000,4, false),"")</f>
        <v/>
      </c>
      <c r="N924" s="10"/>
      <c r="O924" s="10"/>
      <c r="P924" s="10"/>
      <c r="Q924" s="10"/>
      <c r="R924" s="10"/>
      <c r="S924" s="10"/>
      <c r="T924" s="10"/>
      <c r="U924" s="10"/>
      <c r="V924" s="10"/>
    </row>
    <row r="925">
      <c r="A925" s="10"/>
      <c r="B925" s="10"/>
      <c r="C925" s="10"/>
      <c r="D925" s="10"/>
      <c r="E925" s="10"/>
      <c r="F925" s="10"/>
      <c r="G925" s="10"/>
      <c r="I925" s="10"/>
      <c r="J925" s="10"/>
      <c r="K925" s="10"/>
      <c r="L925" s="10"/>
      <c r="M925" s="10" t="str">
        <f>ifna(VLOOKUP('acft-exerc'!$M925,FIX!$A$2:$D1000,4, false),"")</f>
        <v/>
      </c>
      <c r="N925" s="10"/>
      <c r="O925" s="10"/>
      <c r="P925" s="10"/>
      <c r="Q925" s="10"/>
      <c r="R925" s="10"/>
      <c r="S925" s="10"/>
      <c r="T925" s="10"/>
      <c r="U925" s="10"/>
      <c r="V925" s="10"/>
    </row>
    <row r="926">
      <c r="A926" s="10"/>
      <c r="B926" s="10"/>
      <c r="C926" s="10"/>
      <c r="D926" s="10"/>
      <c r="E926" s="10"/>
      <c r="F926" s="10"/>
      <c r="G926" s="10"/>
      <c r="I926" s="10"/>
      <c r="J926" s="10"/>
      <c r="K926" s="10"/>
      <c r="L926" s="10"/>
      <c r="M926" s="10" t="str">
        <f>ifna(VLOOKUP('acft-exerc'!$M926,FIX!$A$2:$D1000,4, false),"")</f>
        <v/>
      </c>
      <c r="N926" s="10"/>
      <c r="O926" s="10"/>
      <c r="P926" s="10"/>
      <c r="Q926" s="10"/>
      <c r="R926" s="10"/>
      <c r="S926" s="10"/>
      <c r="T926" s="10"/>
      <c r="U926" s="10"/>
      <c r="V926" s="10"/>
    </row>
    <row r="927">
      <c r="A927" s="10"/>
      <c r="B927" s="10"/>
      <c r="C927" s="10"/>
      <c r="D927" s="10"/>
      <c r="E927" s="10"/>
      <c r="F927" s="10"/>
      <c r="G927" s="10"/>
      <c r="I927" s="10"/>
      <c r="J927" s="10"/>
      <c r="K927" s="10"/>
      <c r="L927" s="10"/>
      <c r="M927" s="10" t="str">
        <f>ifna(VLOOKUP('acft-exerc'!$M927,FIX!$A$2:$D1000,4, false),"")</f>
        <v/>
      </c>
      <c r="N927" s="10"/>
      <c r="O927" s="10"/>
      <c r="P927" s="10"/>
      <c r="Q927" s="10"/>
      <c r="R927" s="10"/>
      <c r="S927" s="10"/>
      <c r="T927" s="10"/>
      <c r="U927" s="10"/>
      <c r="V927" s="10"/>
    </row>
    <row r="928">
      <c r="A928" s="10"/>
      <c r="B928" s="10"/>
      <c r="C928" s="10"/>
      <c r="D928" s="10"/>
      <c r="E928" s="10"/>
      <c r="F928" s="10"/>
      <c r="G928" s="10"/>
      <c r="I928" s="10"/>
      <c r="J928" s="10"/>
      <c r="K928" s="10"/>
      <c r="L928" s="10"/>
      <c r="M928" s="10" t="str">
        <f>ifna(VLOOKUP('acft-exerc'!$M928,FIX!$A$2:$D1000,4, false),"")</f>
        <v/>
      </c>
      <c r="N928" s="10"/>
      <c r="O928" s="10"/>
      <c r="P928" s="10"/>
      <c r="Q928" s="10"/>
      <c r="R928" s="10"/>
      <c r="S928" s="10"/>
      <c r="T928" s="10"/>
      <c r="U928" s="10"/>
      <c r="V928" s="10"/>
    </row>
    <row r="929">
      <c r="A929" s="10"/>
      <c r="B929" s="10"/>
      <c r="C929" s="10"/>
      <c r="D929" s="10"/>
      <c r="E929" s="10"/>
      <c r="F929" s="10"/>
      <c r="G929" s="10"/>
      <c r="I929" s="10"/>
      <c r="J929" s="10"/>
      <c r="K929" s="10"/>
      <c r="L929" s="10"/>
      <c r="M929" s="10" t="str">
        <f>ifna(VLOOKUP('acft-exerc'!$M929,FIX!$A$2:$D1000,4, false),"")</f>
        <v/>
      </c>
      <c r="N929" s="10"/>
      <c r="O929" s="10"/>
      <c r="P929" s="10"/>
      <c r="Q929" s="10"/>
      <c r="R929" s="10"/>
      <c r="S929" s="10"/>
      <c r="T929" s="10"/>
      <c r="U929" s="10"/>
      <c r="V929" s="10"/>
    </row>
    <row r="930">
      <c r="A930" s="10"/>
      <c r="B930" s="10"/>
      <c r="C930" s="10"/>
      <c r="D930" s="10"/>
      <c r="E930" s="10"/>
      <c r="F930" s="10"/>
      <c r="G930" s="10"/>
      <c r="I930" s="10"/>
      <c r="J930" s="10"/>
      <c r="K930" s="10"/>
      <c r="L930" s="10"/>
      <c r="M930" s="10" t="str">
        <f>ifna(VLOOKUP('acft-exerc'!$M930,FIX!$A$2:$D1000,4, false),"")</f>
        <v/>
      </c>
      <c r="N930" s="10"/>
      <c r="O930" s="10"/>
      <c r="P930" s="10"/>
      <c r="Q930" s="10"/>
      <c r="R930" s="10"/>
      <c r="S930" s="10"/>
      <c r="T930" s="10"/>
      <c r="U930" s="10"/>
      <c r="V930" s="10"/>
    </row>
    <row r="931">
      <c r="A931" s="10"/>
      <c r="B931" s="10"/>
      <c r="C931" s="10"/>
      <c r="D931" s="10"/>
      <c r="E931" s="10"/>
      <c r="F931" s="10"/>
      <c r="G931" s="10"/>
      <c r="I931" s="10"/>
      <c r="J931" s="10"/>
      <c r="K931" s="10"/>
      <c r="L931" s="10"/>
      <c r="M931" s="10" t="str">
        <f>ifna(VLOOKUP('acft-exerc'!$M931,FIX!$A$2:$D1000,4, false),"")</f>
        <v/>
      </c>
      <c r="N931" s="10"/>
      <c r="O931" s="10"/>
      <c r="P931" s="10"/>
      <c r="Q931" s="10"/>
      <c r="R931" s="10"/>
      <c r="S931" s="10"/>
      <c r="T931" s="10"/>
      <c r="U931" s="10"/>
      <c r="V931" s="10"/>
    </row>
    <row r="932">
      <c r="A932" s="10"/>
      <c r="B932" s="10"/>
      <c r="C932" s="10"/>
      <c r="D932" s="10"/>
      <c r="E932" s="10"/>
      <c r="F932" s="10"/>
      <c r="G932" s="10"/>
      <c r="I932" s="10"/>
      <c r="J932" s="10"/>
      <c r="K932" s="10"/>
      <c r="L932" s="10"/>
      <c r="M932" s="10" t="str">
        <f>ifna(VLOOKUP('acft-exerc'!$M932,FIX!$A$2:$D1000,4, false),"")</f>
        <v/>
      </c>
      <c r="N932" s="10"/>
      <c r="O932" s="10"/>
      <c r="P932" s="10"/>
      <c r="Q932" s="10"/>
      <c r="R932" s="10"/>
      <c r="S932" s="10"/>
      <c r="T932" s="10"/>
      <c r="U932" s="10"/>
      <c r="V932" s="10"/>
    </row>
    <row r="933">
      <c r="A933" s="10"/>
      <c r="B933" s="10"/>
      <c r="C933" s="10"/>
      <c r="D933" s="10"/>
      <c r="E933" s="10"/>
      <c r="F933" s="10"/>
      <c r="G933" s="10"/>
      <c r="I933" s="10"/>
      <c r="J933" s="10"/>
      <c r="K933" s="10"/>
      <c r="L933" s="10"/>
      <c r="M933" s="10" t="str">
        <f>ifna(VLOOKUP('acft-exerc'!$M933,FIX!$A$2:$D1000,4, false),"")</f>
        <v/>
      </c>
      <c r="N933" s="10"/>
      <c r="O933" s="10"/>
      <c r="P933" s="10"/>
      <c r="Q933" s="10"/>
      <c r="R933" s="10"/>
      <c r="S933" s="10"/>
      <c r="T933" s="10"/>
      <c r="U933" s="10"/>
      <c r="V933" s="10"/>
    </row>
    <row r="934">
      <c r="A934" s="10"/>
      <c r="B934" s="10"/>
      <c r="C934" s="10"/>
      <c r="D934" s="10"/>
      <c r="E934" s="10"/>
      <c r="F934" s="10"/>
      <c r="G934" s="10"/>
      <c r="I934" s="10"/>
      <c r="J934" s="10"/>
      <c r="K934" s="10"/>
      <c r="L934" s="10"/>
      <c r="M934" s="10" t="str">
        <f>ifna(VLOOKUP('acft-exerc'!$M934,FIX!$A$2:$D1000,4, false),"")</f>
        <v/>
      </c>
      <c r="N934" s="10"/>
      <c r="O934" s="10"/>
      <c r="P934" s="10"/>
      <c r="Q934" s="10"/>
      <c r="R934" s="10"/>
      <c r="S934" s="10"/>
      <c r="T934" s="10"/>
      <c r="U934" s="10"/>
      <c r="V934" s="10"/>
    </row>
    <row r="935">
      <c r="A935" s="10"/>
      <c r="B935" s="10"/>
      <c r="C935" s="10"/>
      <c r="D935" s="10"/>
      <c r="E935" s="10"/>
      <c r="F935" s="10"/>
      <c r="G935" s="10"/>
      <c r="I935" s="10"/>
      <c r="J935" s="10"/>
      <c r="K935" s="10"/>
      <c r="L935" s="10"/>
      <c r="M935" s="10" t="str">
        <f>ifna(VLOOKUP('acft-exerc'!$M935,FIX!$A$2:$D1000,4, false),"")</f>
        <v/>
      </c>
      <c r="N935" s="10"/>
      <c r="O935" s="10"/>
      <c r="P935" s="10"/>
      <c r="Q935" s="10"/>
      <c r="R935" s="10"/>
      <c r="S935" s="10"/>
      <c r="T935" s="10"/>
      <c r="U935" s="10"/>
      <c r="V935" s="10"/>
    </row>
    <row r="936">
      <c r="A936" s="10"/>
      <c r="B936" s="10"/>
      <c r="C936" s="10"/>
      <c r="D936" s="10"/>
      <c r="E936" s="10"/>
      <c r="F936" s="10"/>
      <c r="G936" s="10"/>
      <c r="I936" s="10"/>
      <c r="J936" s="10"/>
      <c r="K936" s="10"/>
      <c r="L936" s="10"/>
      <c r="M936" s="10" t="str">
        <f>ifna(VLOOKUP('acft-exerc'!$M936,FIX!$A$2:$D1000,4, false),"")</f>
        <v/>
      </c>
      <c r="N936" s="10"/>
      <c r="O936" s="10"/>
      <c r="P936" s="10"/>
      <c r="Q936" s="10"/>
      <c r="R936" s="10"/>
      <c r="S936" s="10"/>
      <c r="T936" s="10"/>
      <c r="U936" s="10"/>
      <c r="V936" s="10"/>
    </row>
    <row r="937">
      <c r="A937" s="10"/>
      <c r="B937" s="10"/>
      <c r="C937" s="10"/>
      <c r="D937" s="10"/>
      <c r="E937" s="10"/>
      <c r="F937" s="10"/>
      <c r="G937" s="10"/>
      <c r="I937" s="10"/>
      <c r="J937" s="10"/>
      <c r="K937" s="10"/>
      <c r="L937" s="10"/>
      <c r="M937" s="10" t="str">
        <f>ifna(VLOOKUP('acft-exerc'!$M937,FIX!$A$2:$D1000,4, false),"")</f>
        <v/>
      </c>
      <c r="N937" s="10"/>
      <c r="O937" s="10"/>
      <c r="P937" s="10"/>
      <c r="Q937" s="10"/>
      <c r="R937" s="10"/>
      <c r="S937" s="10"/>
      <c r="T937" s="10"/>
      <c r="U937" s="10"/>
      <c r="V937" s="10"/>
    </row>
    <row r="938">
      <c r="A938" s="10"/>
      <c r="B938" s="10"/>
      <c r="C938" s="10"/>
      <c r="D938" s="10"/>
      <c r="E938" s="10"/>
      <c r="F938" s="10"/>
      <c r="G938" s="10"/>
      <c r="I938" s="10"/>
      <c r="J938" s="10"/>
      <c r="K938" s="10"/>
      <c r="L938" s="10"/>
      <c r="M938" s="10" t="str">
        <f>ifna(VLOOKUP('acft-exerc'!$M938,FIX!$A$2:$D1000,4, false),"")</f>
        <v/>
      </c>
      <c r="N938" s="10"/>
      <c r="O938" s="10"/>
      <c r="P938" s="10"/>
      <c r="Q938" s="10"/>
      <c r="R938" s="10"/>
      <c r="S938" s="10"/>
      <c r="T938" s="10"/>
      <c r="U938" s="10"/>
      <c r="V938" s="10"/>
    </row>
    <row r="939">
      <c r="A939" s="10"/>
      <c r="B939" s="10"/>
      <c r="C939" s="10"/>
      <c r="D939" s="10"/>
      <c r="E939" s="10"/>
      <c r="F939" s="10"/>
      <c r="G939" s="10"/>
      <c r="I939" s="10"/>
      <c r="J939" s="10"/>
      <c r="K939" s="10"/>
      <c r="L939" s="10"/>
      <c r="M939" s="10" t="str">
        <f>ifna(VLOOKUP('acft-exerc'!$M939,FIX!$A$2:$D1000,4, false),"")</f>
        <v/>
      </c>
      <c r="N939" s="10"/>
      <c r="O939" s="10"/>
      <c r="P939" s="10"/>
      <c r="Q939" s="10"/>
      <c r="R939" s="10"/>
      <c r="S939" s="10"/>
      <c r="T939" s="10"/>
      <c r="U939" s="10"/>
      <c r="V939" s="10"/>
    </row>
    <row r="940">
      <c r="A940" s="10"/>
      <c r="B940" s="10"/>
      <c r="C940" s="10"/>
      <c r="D940" s="10"/>
      <c r="E940" s="10"/>
      <c r="F940" s="10"/>
      <c r="G940" s="10"/>
      <c r="I940" s="10"/>
      <c r="J940" s="10"/>
      <c r="K940" s="10"/>
      <c r="L940" s="10"/>
      <c r="M940" s="10" t="str">
        <f>ifna(VLOOKUP('acft-exerc'!$M940,FIX!$A$2:$D1000,4, false),"")</f>
        <v/>
      </c>
      <c r="N940" s="10"/>
      <c r="O940" s="10"/>
      <c r="P940" s="10"/>
      <c r="Q940" s="10"/>
      <c r="R940" s="10"/>
      <c r="S940" s="10"/>
      <c r="T940" s="10"/>
      <c r="U940" s="10"/>
      <c r="V940" s="10"/>
    </row>
    <row r="941">
      <c r="A941" s="10"/>
      <c r="B941" s="10"/>
      <c r="C941" s="10"/>
      <c r="D941" s="10"/>
      <c r="E941" s="10"/>
      <c r="F941" s="10"/>
      <c r="G941" s="10"/>
      <c r="I941" s="10"/>
      <c r="J941" s="10"/>
      <c r="K941" s="10"/>
      <c r="L941" s="10"/>
      <c r="M941" s="10" t="str">
        <f>ifna(VLOOKUP('acft-exerc'!$M941,FIX!$A$2:$D1000,4, false),"")</f>
        <v/>
      </c>
      <c r="N941" s="10"/>
      <c r="O941" s="10"/>
      <c r="P941" s="10"/>
      <c r="Q941" s="10"/>
      <c r="R941" s="10"/>
      <c r="S941" s="10"/>
      <c r="T941" s="10"/>
      <c r="U941" s="10"/>
      <c r="V941" s="10"/>
    </row>
    <row r="942">
      <c r="A942" s="10"/>
      <c r="B942" s="10"/>
      <c r="C942" s="10"/>
      <c r="D942" s="10"/>
      <c r="E942" s="10"/>
      <c r="F942" s="10"/>
      <c r="G942" s="10"/>
      <c r="I942" s="10"/>
      <c r="J942" s="10"/>
      <c r="K942" s="10"/>
      <c r="L942" s="10"/>
      <c r="M942" s="10" t="str">
        <f>ifna(VLOOKUP('acft-exerc'!$M942,FIX!$A$2:$D1000,4, false),"")</f>
        <v/>
      </c>
      <c r="N942" s="10"/>
      <c r="O942" s="10"/>
      <c r="P942" s="10"/>
      <c r="Q942" s="10"/>
      <c r="R942" s="10"/>
      <c r="S942" s="10"/>
      <c r="T942" s="10"/>
      <c r="U942" s="10"/>
      <c r="V942" s="10"/>
    </row>
    <row r="943">
      <c r="A943" s="10"/>
      <c r="B943" s="10"/>
      <c r="C943" s="10"/>
      <c r="D943" s="10"/>
      <c r="E943" s="10"/>
      <c r="F943" s="10"/>
      <c r="G943" s="10"/>
      <c r="I943" s="10"/>
      <c r="J943" s="10"/>
      <c r="K943" s="10"/>
      <c r="L943" s="10"/>
      <c r="M943" s="10" t="str">
        <f>ifna(VLOOKUP('acft-exerc'!$M943,FIX!$A$2:$D1000,4, false),"")</f>
        <v/>
      </c>
      <c r="N943" s="10"/>
      <c r="O943" s="10"/>
      <c r="P943" s="10"/>
      <c r="Q943" s="10"/>
      <c r="R943" s="10"/>
      <c r="S943" s="10"/>
      <c r="T943" s="10"/>
      <c r="U943" s="10"/>
      <c r="V943" s="10"/>
    </row>
    <row r="944">
      <c r="A944" s="10"/>
      <c r="B944" s="10"/>
      <c r="C944" s="10"/>
      <c r="D944" s="10"/>
      <c r="E944" s="10"/>
      <c r="F944" s="10"/>
      <c r="G944" s="10"/>
      <c r="I944" s="10"/>
      <c r="J944" s="10"/>
      <c r="K944" s="10"/>
      <c r="L944" s="10"/>
      <c r="M944" s="10" t="str">
        <f>ifna(VLOOKUP('acft-exerc'!$M944,FIX!$A$2:$D1000,4, false),"")</f>
        <v/>
      </c>
      <c r="N944" s="10"/>
      <c r="O944" s="10"/>
      <c r="P944" s="10"/>
      <c r="Q944" s="10"/>
      <c r="R944" s="10"/>
      <c r="S944" s="10"/>
      <c r="T944" s="10"/>
      <c r="U944" s="10"/>
      <c r="V944" s="10"/>
    </row>
    <row r="945">
      <c r="A945" s="10"/>
      <c r="B945" s="10"/>
      <c r="C945" s="10"/>
      <c r="D945" s="10"/>
      <c r="E945" s="10"/>
      <c r="F945" s="10"/>
      <c r="G945" s="10"/>
      <c r="I945" s="10"/>
      <c r="J945" s="10"/>
      <c r="K945" s="10"/>
      <c r="L945" s="10"/>
      <c r="M945" s="10" t="str">
        <f>ifna(VLOOKUP('acft-exerc'!$M945,FIX!$A$2:$D1000,4, false),"")</f>
        <v/>
      </c>
      <c r="N945" s="10"/>
      <c r="O945" s="10"/>
      <c r="P945" s="10"/>
      <c r="Q945" s="10"/>
      <c r="R945" s="10"/>
      <c r="S945" s="10"/>
      <c r="T945" s="10"/>
      <c r="U945" s="10"/>
      <c r="V945" s="10"/>
    </row>
    <row r="946">
      <c r="A946" s="10"/>
      <c r="B946" s="10"/>
      <c r="C946" s="10"/>
      <c r="D946" s="10"/>
      <c r="E946" s="10"/>
      <c r="F946" s="10"/>
      <c r="G946" s="10"/>
      <c r="I946" s="10"/>
      <c r="J946" s="10"/>
      <c r="K946" s="10"/>
      <c r="L946" s="10"/>
      <c r="M946" s="10" t="str">
        <f>ifna(VLOOKUP('acft-exerc'!$M946,FIX!$A$2:$D1000,4, false),"")</f>
        <v/>
      </c>
      <c r="N946" s="10"/>
      <c r="O946" s="10"/>
      <c r="P946" s="10"/>
      <c r="Q946" s="10"/>
      <c r="R946" s="10"/>
      <c r="S946" s="10"/>
      <c r="T946" s="10"/>
      <c r="U946" s="10"/>
      <c r="V946" s="10"/>
    </row>
    <row r="947">
      <c r="A947" s="10"/>
      <c r="B947" s="10"/>
      <c r="C947" s="10"/>
      <c r="D947" s="10"/>
      <c r="E947" s="10"/>
      <c r="F947" s="10"/>
      <c r="G947" s="10"/>
      <c r="I947" s="10"/>
      <c r="J947" s="10"/>
      <c r="K947" s="10"/>
      <c r="L947" s="10"/>
      <c r="M947" s="10" t="str">
        <f>ifna(VLOOKUP('acft-exerc'!$M947,FIX!$A$2:$D1000,4, false),"")</f>
        <v/>
      </c>
      <c r="N947" s="10"/>
      <c r="O947" s="10"/>
      <c r="P947" s="10"/>
      <c r="Q947" s="10"/>
      <c r="R947" s="10"/>
      <c r="S947" s="10"/>
      <c r="T947" s="10"/>
      <c r="U947" s="10"/>
      <c r="V947" s="10"/>
    </row>
    <row r="948">
      <c r="A948" s="10"/>
      <c r="B948" s="10"/>
      <c r="C948" s="10"/>
      <c r="D948" s="10"/>
      <c r="E948" s="10"/>
      <c r="F948" s="10"/>
      <c r="G948" s="10"/>
      <c r="I948" s="10"/>
      <c r="J948" s="10"/>
      <c r="K948" s="10"/>
      <c r="L948" s="10"/>
      <c r="M948" s="10" t="str">
        <f>ifna(VLOOKUP('acft-exerc'!$M948,FIX!$A$2:$D1000,4, false),"")</f>
        <v/>
      </c>
      <c r="N948" s="10"/>
      <c r="O948" s="10"/>
      <c r="P948" s="10"/>
      <c r="Q948" s="10"/>
      <c r="R948" s="10"/>
      <c r="S948" s="10"/>
      <c r="T948" s="10"/>
      <c r="U948" s="10"/>
      <c r="V948" s="10"/>
    </row>
    <row r="949">
      <c r="A949" s="10"/>
      <c r="B949" s="10"/>
      <c r="C949" s="10"/>
      <c r="D949" s="10"/>
      <c r="E949" s="10"/>
      <c r="F949" s="10"/>
      <c r="G949" s="10"/>
      <c r="I949" s="10"/>
      <c r="J949" s="10"/>
      <c r="K949" s="10"/>
      <c r="L949" s="10"/>
      <c r="M949" s="10" t="str">
        <f>ifna(VLOOKUP('acft-exerc'!$M949,FIX!$A$2:$D1000,4, false),"")</f>
        <v/>
      </c>
      <c r="N949" s="10"/>
      <c r="O949" s="10"/>
      <c r="P949" s="10"/>
      <c r="Q949" s="10"/>
      <c r="R949" s="10"/>
      <c r="S949" s="10"/>
      <c r="T949" s="10"/>
      <c r="U949" s="10"/>
      <c r="V949" s="10"/>
    </row>
    <row r="950">
      <c r="A950" s="10"/>
      <c r="B950" s="10"/>
      <c r="C950" s="10"/>
      <c r="D950" s="10"/>
      <c r="E950" s="10"/>
      <c r="F950" s="10"/>
      <c r="G950" s="10"/>
      <c r="I950" s="10"/>
      <c r="J950" s="10"/>
      <c r="K950" s="10"/>
      <c r="L950" s="10"/>
      <c r="M950" s="10" t="str">
        <f>ifna(VLOOKUP('acft-exerc'!$M950,FIX!$A$2:$D1000,4, false),"")</f>
        <v/>
      </c>
      <c r="N950" s="10"/>
      <c r="O950" s="10"/>
      <c r="P950" s="10"/>
      <c r="Q950" s="10"/>
      <c r="R950" s="10"/>
      <c r="S950" s="10"/>
      <c r="T950" s="10"/>
      <c r="U950" s="10"/>
      <c r="V950" s="10"/>
    </row>
    <row r="951">
      <c r="A951" s="10"/>
      <c r="B951" s="10"/>
      <c r="C951" s="10"/>
      <c r="D951" s="10"/>
      <c r="E951" s="10"/>
      <c r="F951" s="10"/>
      <c r="G951" s="10"/>
      <c r="I951" s="10"/>
      <c r="J951" s="10"/>
      <c r="K951" s="10"/>
      <c r="L951" s="10"/>
      <c r="M951" s="10" t="str">
        <f>ifna(VLOOKUP('acft-exerc'!$M951,FIX!$A$2:$D1000,4, false),"")</f>
        <v/>
      </c>
      <c r="N951" s="10"/>
      <c r="O951" s="10"/>
      <c r="P951" s="10"/>
      <c r="Q951" s="10"/>
      <c r="R951" s="10"/>
      <c r="S951" s="10"/>
      <c r="T951" s="10"/>
      <c r="U951" s="10"/>
      <c r="V951" s="10"/>
    </row>
    <row r="952">
      <c r="A952" s="10"/>
      <c r="B952" s="10"/>
      <c r="C952" s="10"/>
      <c r="D952" s="10"/>
      <c r="E952" s="10"/>
      <c r="F952" s="10"/>
      <c r="G952" s="10"/>
      <c r="I952" s="10"/>
      <c r="J952" s="10"/>
      <c r="K952" s="10"/>
      <c r="L952" s="10"/>
      <c r="M952" s="10" t="str">
        <f>ifna(VLOOKUP('acft-exerc'!$M952,FIX!$A$2:$D1000,4, false),"")</f>
        <v/>
      </c>
      <c r="N952" s="10"/>
      <c r="O952" s="10"/>
      <c r="P952" s="10"/>
      <c r="Q952" s="10"/>
      <c r="R952" s="10"/>
      <c r="S952" s="10"/>
      <c r="T952" s="10"/>
      <c r="U952" s="10"/>
      <c r="V952" s="10"/>
    </row>
    <row r="953">
      <c r="A953" s="10"/>
      <c r="B953" s="10"/>
      <c r="C953" s="10"/>
      <c r="D953" s="10"/>
      <c r="E953" s="10"/>
      <c r="F953" s="10"/>
      <c r="G953" s="10"/>
      <c r="I953" s="10"/>
      <c r="J953" s="10"/>
      <c r="K953" s="10"/>
      <c r="L953" s="10"/>
      <c r="M953" s="10" t="str">
        <f>ifna(VLOOKUP('acft-exerc'!$M953,FIX!$A$2:$D1000,4, false),"")</f>
        <v/>
      </c>
      <c r="N953" s="10"/>
      <c r="O953" s="10"/>
      <c r="P953" s="10"/>
      <c r="Q953" s="10"/>
      <c r="R953" s="10"/>
      <c r="S953" s="10"/>
      <c r="T953" s="10"/>
      <c r="U953" s="10"/>
      <c r="V953" s="10"/>
    </row>
    <row r="954">
      <c r="A954" s="10"/>
      <c r="B954" s="10"/>
      <c r="C954" s="10"/>
      <c r="D954" s="10"/>
      <c r="E954" s="10"/>
      <c r="F954" s="10"/>
      <c r="G954" s="10"/>
      <c r="I954" s="10"/>
      <c r="J954" s="10"/>
      <c r="K954" s="10"/>
      <c r="L954" s="10"/>
      <c r="M954" s="10" t="str">
        <f>ifna(VLOOKUP('acft-exerc'!$M954,FIX!$A$2:$D1000,4, false),"")</f>
        <v/>
      </c>
      <c r="N954" s="10"/>
      <c r="O954" s="10"/>
      <c r="P954" s="10"/>
      <c r="Q954" s="10"/>
      <c r="R954" s="10"/>
      <c r="S954" s="10"/>
      <c r="T954" s="10"/>
      <c r="U954" s="10"/>
      <c r="V954" s="10"/>
    </row>
    <row r="955">
      <c r="A955" s="10"/>
      <c r="B955" s="10"/>
      <c r="C955" s="10"/>
      <c r="D955" s="10"/>
      <c r="E955" s="10"/>
      <c r="F955" s="10"/>
      <c r="G955" s="10"/>
      <c r="I955" s="10"/>
      <c r="J955" s="10"/>
      <c r="K955" s="10"/>
      <c r="L955" s="10"/>
      <c r="M955" s="10" t="str">
        <f>ifna(VLOOKUP('acft-exerc'!$M955,FIX!$A$2:$D1000,4, false),"")</f>
        <v/>
      </c>
      <c r="N955" s="10"/>
      <c r="O955" s="10"/>
      <c r="P955" s="10"/>
      <c r="Q955" s="10"/>
      <c r="R955" s="10"/>
      <c r="S955" s="10"/>
      <c r="T955" s="10"/>
      <c r="U955" s="10"/>
      <c r="V955" s="10"/>
    </row>
    <row r="956">
      <c r="A956" s="10"/>
      <c r="B956" s="10"/>
      <c r="C956" s="10"/>
      <c r="D956" s="10"/>
      <c r="E956" s="10"/>
      <c r="F956" s="10"/>
      <c r="G956" s="10"/>
      <c r="I956" s="10"/>
      <c r="J956" s="10"/>
      <c r="K956" s="10"/>
      <c r="L956" s="10"/>
      <c r="M956" s="10" t="str">
        <f>ifna(VLOOKUP('acft-exerc'!$M956,FIX!$A$2:$D1000,4, false),"")</f>
        <v/>
      </c>
      <c r="N956" s="10"/>
      <c r="O956" s="10"/>
      <c r="P956" s="10"/>
      <c r="Q956" s="10"/>
      <c r="R956" s="10"/>
      <c r="S956" s="10"/>
      <c r="T956" s="10"/>
      <c r="U956" s="10"/>
      <c r="V956" s="10"/>
    </row>
    <row r="957">
      <c r="A957" s="10"/>
      <c r="B957" s="10"/>
      <c r="C957" s="10"/>
      <c r="D957" s="10"/>
      <c r="E957" s="10"/>
      <c r="F957" s="10"/>
      <c r="G957" s="10"/>
      <c r="I957" s="10"/>
      <c r="J957" s="10"/>
      <c r="K957" s="10"/>
      <c r="L957" s="10"/>
      <c r="M957" s="10" t="str">
        <f>ifna(VLOOKUP('acft-exerc'!$M957,FIX!$A$2:$D1000,4, false),"")</f>
        <v/>
      </c>
      <c r="N957" s="10"/>
      <c r="O957" s="10"/>
      <c r="P957" s="10"/>
      <c r="Q957" s="10"/>
      <c r="R957" s="10"/>
      <c r="S957" s="10"/>
      <c r="T957" s="10"/>
      <c r="U957" s="10"/>
      <c r="V957" s="10"/>
    </row>
    <row r="958">
      <c r="A958" s="10"/>
      <c r="B958" s="10"/>
      <c r="C958" s="10"/>
      <c r="D958" s="10"/>
      <c r="E958" s="10"/>
      <c r="F958" s="10"/>
      <c r="G958" s="10"/>
      <c r="I958" s="10"/>
      <c r="J958" s="10"/>
      <c r="K958" s="10"/>
      <c r="L958" s="10"/>
      <c r="M958" s="10" t="str">
        <f>ifna(VLOOKUP('acft-exerc'!$M958,FIX!$A$2:$D1000,4, false),"")</f>
        <v/>
      </c>
      <c r="N958" s="10"/>
      <c r="O958" s="10"/>
      <c r="P958" s="10"/>
      <c r="Q958" s="10"/>
      <c r="R958" s="10"/>
      <c r="S958" s="10"/>
      <c r="T958" s="10"/>
      <c r="U958" s="10"/>
      <c r="V958" s="10"/>
    </row>
    <row r="959">
      <c r="A959" s="10"/>
      <c r="B959" s="10"/>
      <c r="C959" s="10"/>
      <c r="D959" s="10"/>
      <c r="E959" s="10"/>
      <c r="F959" s="10"/>
      <c r="G959" s="10"/>
      <c r="I959" s="10"/>
      <c r="J959" s="10"/>
      <c r="K959" s="10"/>
      <c r="L959" s="10"/>
      <c r="M959" s="10" t="str">
        <f>ifna(VLOOKUP('acft-exerc'!$M959,FIX!$A$2:$D1000,4, false),"")</f>
        <v/>
      </c>
      <c r="N959" s="10"/>
      <c r="O959" s="10"/>
      <c r="P959" s="10"/>
      <c r="Q959" s="10"/>
      <c r="R959" s="10"/>
      <c r="S959" s="10"/>
      <c r="T959" s="10"/>
      <c r="U959" s="10"/>
      <c r="V959" s="10"/>
    </row>
    <row r="960">
      <c r="A960" s="10"/>
      <c r="B960" s="10"/>
      <c r="C960" s="10"/>
      <c r="D960" s="10"/>
      <c r="E960" s="10"/>
      <c r="F960" s="10"/>
      <c r="G960" s="10"/>
      <c r="I960" s="10"/>
      <c r="J960" s="10"/>
      <c r="K960" s="10"/>
      <c r="L960" s="10"/>
      <c r="M960" s="10" t="str">
        <f>ifna(VLOOKUP('acft-exerc'!$M960,FIX!$A$2:$D1000,4, false),"")</f>
        <v/>
      </c>
      <c r="N960" s="10"/>
      <c r="O960" s="10"/>
      <c r="P960" s="10"/>
      <c r="Q960" s="10"/>
      <c r="R960" s="10"/>
      <c r="S960" s="10"/>
      <c r="T960" s="10"/>
      <c r="U960" s="10"/>
      <c r="V960" s="10"/>
    </row>
    <row r="961">
      <c r="A961" s="10"/>
      <c r="B961" s="10"/>
      <c r="C961" s="10"/>
      <c r="D961" s="10"/>
      <c r="E961" s="10"/>
      <c r="F961" s="10"/>
      <c r="G961" s="10"/>
      <c r="I961" s="10"/>
      <c r="J961" s="10"/>
      <c r="K961" s="10"/>
      <c r="L961" s="10"/>
      <c r="M961" s="10" t="str">
        <f>ifna(VLOOKUP('acft-exerc'!$M961,FIX!$A$2:$D1000,4, false),"")</f>
        <v/>
      </c>
      <c r="N961" s="10"/>
      <c r="O961" s="10"/>
      <c r="P961" s="10"/>
      <c r="Q961" s="10"/>
      <c r="R961" s="10"/>
      <c r="S961" s="10"/>
      <c r="T961" s="10"/>
      <c r="U961" s="10"/>
      <c r="V961" s="10"/>
    </row>
    <row r="962">
      <c r="A962" s="10"/>
      <c r="B962" s="10"/>
      <c r="C962" s="10"/>
      <c r="D962" s="10"/>
      <c r="E962" s="10"/>
      <c r="F962" s="10"/>
      <c r="G962" s="10"/>
      <c r="I962" s="10"/>
      <c r="J962" s="10"/>
      <c r="K962" s="10"/>
      <c r="L962" s="10"/>
      <c r="M962" s="10" t="str">
        <f>ifna(VLOOKUP('acft-exerc'!$M962,FIX!$A$2:$D1000,4, false),"")</f>
        <v/>
      </c>
      <c r="N962" s="10"/>
      <c r="O962" s="10"/>
      <c r="P962" s="10"/>
      <c r="Q962" s="10"/>
      <c r="R962" s="10"/>
      <c r="S962" s="10"/>
      <c r="T962" s="10"/>
      <c r="U962" s="10"/>
      <c r="V962" s="10"/>
    </row>
    <row r="963">
      <c r="A963" s="10"/>
      <c r="B963" s="10"/>
      <c r="C963" s="10"/>
      <c r="D963" s="10"/>
      <c r="E963" s="10"/>
      <c r="F963" s="10"/>
      <c r="G963" s="10"/>
      <c r="I963" s="10"/>
      <c r="J963" s="10"/>
      <c r="K963" s="10"/>
      <c r="L963" s="10"/>
      <c r="M963" s="10" t="str">
        <f>ifna(VLOOKUP('acft-exerc'!$M963,FIX!$A$2:$D1000,4, false),"")</f>
        <v/>
      </c>
      <c r="N963" s="10"/>
      <c r="O963" s="10"/>
      <c r="P963" s="10"/>
      <c r="Q963" s="10"/>
      <c r="R963" s="10"/>
      <c r="S963" s="10"/>
      <c r="T963" s="10"/>
      <c r="U963" s="10"/>
      <c r="V963" s="10"/>
    </row>
    <row r="964">
      <c r="A964" s="10"/>
      <c r="B964" s="10"/>
      <c r="C964" s="10"/>
      <c r="D964" s="10"/>
      <c r="E964" s="10"/>
      <c r="F964" s="10"/>
      <c r="G964" s="10"/>
      <c r="I964" s="10"/>
      <c r="J964" s="10"/>
      <c r="K964" s="10"/>
      <c r="L964" s="10"/>
      <c r="M964" s="10" t="str">
        <f>ifna(VLOOKUP('acft-exerc'!$M964,FIX!$A$2:$D1000,4, false),"")</f>
        <v/>
      </c>
      <c r="N964" s="10"/>
      <c r="O964" s="10"/>
      <c r="P964" s="10"/>
      <c r="Q964" s="10"/>
      <c r="R964" s="10"/>
      <c r="S964" s="10"/>
      <c r="T964" s="10"/>
      <c r="U964" s="10"/>
      <c r="V964" s="10"/>
    </row>
    <row r="965">
      <c r="A965" s="10"/>
      <c r="B965" s="10"/>
      <c r="C965" s="10"/>
      <c r="D965" s="10"/>
      <c r="E965" s="10"/>
      <c r="F965" s="10"/>
      <c r="G965" s="10"/>
      <c r="I965" s="10"/>
      <c r="J965" s="10"/>
      <c r="K965" s="10"/>
      <c r="L965" s="10"/>
      <c r="M965" s="10" t="str">
        <f>ifna(VLOOKUP('acft-exerc'!$M965,FIX!$A$2:$D1000,4, false),"")</f>
        <v/>
      </c>
      <c r="N965" s="10"/>
      <c r="O965" s="10"/>
      <c r="P965" s="10"/>
      <c r="Q965" s="10"/>
      <c r="R965" s="10"/>
      <c r="S965" s="10"/>
      <c r="T965" s="10"/>
      <c r="U965" s="10"/>
      <c r="V965" s="10"/>
    </row>
    <row r="966">
      <c r="A966" s="10"/>
      <c r="B966" s="10"/>
      <c r="C966" s="10"/>
      <c r="D966" s="10"/>
      <c r="E966" s="10"/>
      <c r="F966" s="10"/>
      <c r="G966" s="10"/>
      <c r="I966" s="10"/>
      <c r="J966" s="10"/>
      <c r="K966" s="10"/>
      <c r="L966" s="10"/>
      <c r="M966" s="10" t="str">
        <f>ifna(VLOOKUP('acft-exerc'!$M966,FIX!$A$2:$D1000,4, false),"")</f>
        <v/>
      </c>
      <c r="N966" s="10"/>
      <c r="O966" s="10"/>
      <c r="P966" s="10"/>
      <c r="Q966" s="10"/>
      <c r="R966" s="10"/>
      <c r="S966" s="10"/>
      <c r="T966" s="10"/>
      <c r="U966" s="10"/>
      <c r="V966" s="10"/>
    </row>
    <row r="967">
      <c r="A967" s="10"/>
      <c r="B967" s="10"/>
      <c r="C967" s="10"/>
      <c r="D967" s="10"/>
      <c r="E967" s="10"/>
      <c r="F967" s="10"/>
      <c r="G967" s="10"/>
      <c r="I967" s="10"/>
      <c r="J967" s="10"/>
      <c r="K967" s="10"/>
      <c r="L967" s="10"/>
      <c r="M967" s="10" t="str">
        <f>ifna(VLOOKUP('acft-exerc'!$M967,FIX!$A$2:$D1000,4, false),"")</f>
        <v/>
      </c>
      <c r="N967" s="10"/>
      <c r="O967" s="10"/>
      <c r="P967" s="10"/>
      <c r="Q967" s="10"/>
      <c r="R967" s="10"/>
      <c r="S967" s="10"/>
      <c r="T967" s="10"/>
      <c r="U967" s="10"/>
      <c r="V967" s="10"/>
    </row>
    <row r="968">
      <c r="A968" s="10"/>
      <c r="B968" s="10"/>
      <c r="C968" s="10"/>
      <c r="D968" s="10"/>
      <c r="E968" s="10"/>
      <c r="F968" s="10"/>
      <c r="G968" s="10"/>
      <c r="I968" s="10"/>
      <c r="J968" s="10"/>
      <c r="K968" s="10"/>
      <c r="L968" s="10"/>
      <c r="M968" s="10" t="str">
        <f>ifna(VLOOKUP('acft-exerc'!$M968,FIX!$A$2:$D1000,4, false),"")</f>
        <v/>
      </c>
      <c r="N968" s="10"/>
      <c r="O968" s="10"/>
      <c r="P968" s="10"/>
      <c r="Q968" s="10"/>
      <c r="R968" s="10"/>
      <c r="S968" s="10"/>
      <c r="T968" s="10"/>
      <c r="U968" s="10"/>
      <c r="V968" s="10"/>
    </row>
    <row r="969">
      <c r="A969" s="10"/>
      <c r="B969" s="10"/>
      <c r="C969" s="10"/>
      <c r="D969" s="10"/>
      <c r="E969" s="10"/>
      <c r="F969" s="10"/>
      <c r="G969" s="10"/>
      <c r="I969" s="10"/>
      <c r="J969" s="10"/>
      <c r="K969" s="10"/>
      <c r="L969" s="10"/>
      <c r="M969" s="10" t="str">
        <f>ifna(VLOOKUP('acft-exerc'!$M969,FIX!$A$2:$D1000,4, false),"")</f>
        <v/>
      </c>
      <c r="N969" s="10"/>
      <c r="O969" s="10"/>
      <c r="P969" s="10"/>
      <c r="Q969" s="10"/>
      <c r="R969" s="10"/>
      <c r="S969" s="10"/>
      <c r="T969" s="10"/>
      <c r="U969" s="10"/>
      <c r="V969" s="10"/>
    </row>
    <row r="970">
      <c r="A970" s="10"/>
      <c r="B970" s="10"/>
      <c r="C970" s="10"/>
      <c r="D970" s="10"/>
      <c r="E970" s="10"/>
      <c r="F970" s="10"/>
      <c r="G970" s="10"/>
      <c r="I970" s="10"/>
      <c r="J970" s="10"/>
      <c r="K970" s="10"/>
      <c r="L970" s="10"/>
      <c r="M970" s="10" t="str">
        <f>ifna(VLOOKUP('acft-exerc'!$M970,FIX!$A$2:$D1000,4, false),"")</f>
        <v/>
      </c>
      <c r="N970" s="10"/>
      <c r="O970" s="10"/>
      <c r="P970" s="10"/>
      <c r="Q970" s="10"/>
      <c r="R970" s="10"/>
      <c r="S970" s="10"/>
      <c r="T970" s="10"/>
      <c r="U970" s="10"/>
      <c r="V970" s="10"/>
    </row>
    <row r="971">
      <c r="A971" s="10"/>
      <c r="B971" s="10"/>
      <c r="C971" s="10"/>
      <c r="D971" s="10"/>
      <c r="E971" s="10"/>
      <c r="F971" s="10"/>
      <c r="G971" s="10"/>
      <c r="I971" s="10"/>
      <c r="J971" s="10"/>
      <c r="K971" s="10"/>
      <c r="L971" s="10"/>
      <c r="M971" s="10" t="str">
        <f>ifna(VLOOKUP('acft-exerc'!$M971,FIX!$A$2:$D1000,4, false),"")</f>
        <v/>
      </c>
      <c r="N971" s="10"/>
      <c r="O971" s="10"/>
      <c r="P971" s="10"/>
      <c r="Q971" s="10"/>
      <c r="R971" s="10"/>
      <c r="S971" s="10"/>
      <c r="T971" s="10"/>
      <c r="U971" s="10"/>
      <c r="V971" s="10"/>
    </row>
    <row r="972">
      <c r="A972" s="10"/>
      <c r="B972" s="10"/>
      <c r="C972" s="10"/>
      <c r="D972" s="10"/>
      <c r="E972" s="10"/>
      <c r="F972" s="10"/>
      <c r="G972" s="10"/>
      <c r="I972" s="10"/>
      <c r="J972" s="10"/>
      <c r="K972" s="10"/>
      <c r="L972" s="10"/>
      <c r="M972" s="10" t="str">
        <f>ifna(VLOOKUP('acft-exerc'!$M972,FIX!$A$2:$D1000,4, false),"")</f>
        <v/>
      </c>
      <c r="N972" s="10"/>
      <c r="O972" s="10"/>
      <c r="P972" s="10"/>
      <c r="Q972" s="10"/>
      <c r="R972" s="10"/>
      <c r="S972" s="10"/>
      <c r="T972" s="10"/>
      <c r="U972" s="10"/>
      <c r="V972" s="10"/>
    </row>
    <row r="973">
      <c r="A973" s="10"/>
      <c r="B973" s="10"/>
      <c r="C973" s="10"/>
      <c r="D973" s="10"/>
      <c r="E973" s="10"/>
      <c r="F973" s="10"/>
      <c r="G973" s="10"/>
      <c r="I973" s="10"/>
      <c r="J973" s="10"/>
      <c r="K973" s="10"/>
      <c r="L973" s="10"/>
      <c r="M973" s="10" t="str">
        <f>ifna(VLOOKUP('acft-exerc'!$M973,FIX!$A$2:$D1000,4, false),"")</f>
        <v/>
      </c>
      <c r="N973" s="10"/>
      <c r="O973" s="10"/>
      <c r="P973" s="10"/>
      <c r="Q973" s="10"/>
      <c r="R973" s="10"/>
      <c r="S973" s="10"/>
      <c r="T973" s="10"/>
      <c r="U973" s="10"/>
      <c r="V973" s="10"/>
    </row>
    <row r="974">
      <c r="A974" s="10"/>
      <c r="B974" s="10"/>
      <c r="C974" s="10"/>
      <c r="D974" s="10"/>
      <c r="E974" s="10"/>
      <c r="F974" s="10"/>
      <c r="G974" s="10"/>
      <c r="I974" s="10"/>
      <c r="J974" s="10"/>
      <c r="K974" s="10"/>
      <c r="L974" s="10"/>
      <c r="M974" s="10" t="str">
        <f>ifna(VLOOKUP('acft-exerc'!$M974,FIX!$A$2:$D1000,4, false),"")</f>
        <v/>
      </c>
      <c r="N974" s="10"/>
      <c r="O974" s="10"/>
      <c r="P974" s="10"/>
      <c r="Q974" s="10"/>
      <c r="R974" s="10"/>
      <c r="S974" s="10"/>
      <c r="T974" s="10"/>
      <c r="U974" s="10"/>
      <c r="V974" s="10"/>
    </row>
    <row r="975">
      <c r="A975" s="10"/>
      <c r="B975" s="10"/>
      <c r="C975" s="10"/>
      <c r="D975" s="10"/>
      <c r="E975" s="10"/>
      <c r="F975" s="10"/>
      <c r="G975" s="10"/>
      <c r="I975" s="10"/>
      <c r="J975" s="10"/>
      <c r="K975" s="10"/>
      <c r="L975" s="10"/>
      <c r="M975" s="10" t="str">
        <f>ifna(VLOOKUP('acft-exerc'!$M975,FIX!$A$2:$D1000,4, false),"")</f>
        <v/>
      </c>
      <c r="N975" s="10"/>
      <c r="O975" s="10"/>
      <c r="P975" s="10"/>
      <c r="Q975" s="10"/>
      <c r="R975" s="10"/>
      <c r="S975" s="10"/>
      <c r="T975" s="10"/>
      <c r="U975" s="10"/>
      <c r="V975" s="10"/>
    </row>
    <row r="976">
      <c r="A976" s="10"/>
      <c r="B976" s="10"/>
      <c r="C976" s="10"/>
      <c r="D976" s="10"/>
      <c r="E976" s="10"/>
      <c r="F976" s="10"/>
      <c r="G976" s="10"/>
      <c r="I976" s="10"/>
      <c r="J976" s="10"/>
      <c r="K976" s="10"/>
      <c r="L976" s="10"/>
      <c r="M976" s="10" t="str">
        <f>ifna(VLOOKUP('acft-exerc'!$M976,FIX!$A$2:$D1000,4, false),"")</f>
        <v/>
      </c>
      <c r="N976" s="10"/>
      <c r="O976" s="10"/>
      <c r="P976" s="10"/>
      <c r="Q976" s="10"/>
      <c r="R976" s="10"/>
      <c r="S976" s="10"/>
      <c r="T976" s="10"/>
      <c r="U976" s="10"/>
      <c r="V976" s="10"/>
    </row>
    <row r="977">
      <c r="A977" s="10"/>
      <c r="B977" s="10"/>
      <c r="C977" s="10"/>
      <c r="D977" s="10"/>
      <c r="E977" s="10"/>
      <c r="F977" s="10"/>
      <c r="G977" s="10"/>
      <c r="I977" s="10"/>
      <c r="J977" s="10"/>
      <c r="K977" s="10"/>
      <c r="L977" s="10"/>
      <c r="M977" s="10" t="str">
        <f>ifna(VLOOKUP('acft-exerc'!$M977,FIX!$A$2:$D1000,4, false),"")</f>
        <v/>
      </c>
      <c r="N977" s="10"/>
      <c r="O977" s="10"/>
      <c r="P977" s="10"/>
      <c r="Q977" s="10"/>
      <c r="R977" s="10"/>
      <c r="S977" s="10"/>
      <c r="T977" s="10"/>
      <c r="U977" s="10"/>
      <c r="V977" s="10"/>
    </row>
    <row r="978">
      <c r="A978" s="10"/>
      <c r="B978" s="10"/>
      <c r="C978" s="10"/>
      <c r="D978" s="10"/>
      <c r="E978" s="10"/>
      <c r="F978" s="10"/>
      <c r="G978" s="10"/>
      <c r="I978" s="10"/>
      <c r="J978" s="10"/>
      <c r="K978" s="10"/>
      <c r="L978" s="10"/>
      <c r="M978" s="10" t="str">
        <f>ifna(VLOOKUP('acft-exerc'!$M978,FIX!$A$2:$D1000,4, false),"")</f>
        <v/>
      </c>
      <c r="N978" s="10"/>
      <c r="O978" s="10"/>
      <c r="P978" s="10"/>
      <c r="Q978" s="10"/>
      <c r="R978" s="10"/>
      <c r="S978" s="10"/>
      <c r="T978" s="10"/>
      <c r="U978" s="10"/>
      <c r="V978" s="10"/>
    </row>
    <row r="979">
      <c r="A979" s="10"/>
      <c r="B979" s="10"/>
      <c r="C979" s="10"/>
      <c r="D979" s="10"/>
      <c r="E979" s="10"/>
      <c r="F979" s="10"/>
      <c r="G979" s="10"/>
      <c r="I979" s="10"/>
      <c r="J979" s="10"/>
      <c r="K979" s="10"/>
      <c r="L979" s="10"/>
      <c r="M979" s="10" t="str">
        <f>ifna(VLOOKUP('acft-exerc'!$M979,FIX!$A$2:$D1000,4, false),"")</f>
        <v/>
      </c>
      <c r="N979" s="10"/>
      <c r="O979" s="10"/>
      <c r="P979" s="10"/>
      <c r="Q979" s="10"/>
      <c r="R979" s="10"/>
      <c r="S979" s="10"/>
      <c r="T979" s="10"/>
      <c r="U979" s="10"/>
      <c r="V979" s="10"/>
    </row>
    <row r="980">
      <c r="A980" s="10"/>
      <c r="B980" s="10"/>
      <c r="C980" s="10"/>
      <c r="D980" s="10"/>
      <c r="E980" s="10"/>
      <c r="F980" s="10"/>
      <c r="G980" s="10"/>
      <c r="I980" s="10"/>
      <c r="J980" s="10"/>
      <c r="K980" s="10"/>
      <c r="L980" s="10"/>
      <c r="M980" s="10" t="str">
        <f>ifna(VLOOKUP('acft-exerc'!$M980,FIX!$A$2:$D1000,4, false),"")</f>
        <v/>
      </c>
      <c r="N980" s="10"/>
      <c r="O980" s="10"/>
      <c r="P980" s="10"/>
      <c r="Q980" s="10"/>
      <c r="R980" s="10"/>
      <c r="S980" s="10"/>
      <c r="T980" s="10"/>
      <c r="U980" s="10"/>
      <c r="V980" s="10"/>
    </row>
    <row r="981">
      <c r="A981" s="10"/>
      <c r="B981" s="10"/>
      <c r="C981" s="10"/>
      <c r="D981" s="10"/>
      <c r="E981" s="10"/>
      <c r="F981" s="10"/>
      <c r="G981" s="10"/>
      <c r="I981" s="10"/>
      <c r="J981" s="10"/>
      <c r="K981" s="10"/>
      <c r="L981" s="10"/>
      <c r="M981" s="10" t="str">
        <f>ifna(VLOOKUP('acft-exerc'!$M981,FIX!$A$2:$D1000,4, false),"")</f>
        <v/>
      </c>
      <c r="N981" s="10"/>
      <c r="O981" s="10"/>
      <c r="P981" s="10"/>
      <c r="Q981" s="10"/>
      <c r="R981" s="10"/>
      <c r="S981" s="10"/>
      <c r="T981" s="10"/>
      <c r="U981" s="10"/>
      <c r="V981" s="10"/>
    </row>
    <row r="982">
      <c r="A982" s="10"/>
      <c r="B982" s="10"/>
      <c r="C982" s="10"/>
      <c r="D982" s="10"/>
      <c r="E982" s="10"/>
      <c r="F982" s="10"/>
      <c r="G982" s="10"/>
      <c r="I982" s="10"/>
      <c r="J982" s="10"/>
      <c r="K982" s="10"/>
      <c r="L982" s="10"/>
      <c r="M982" s="10" t="str">
        <f>ifna(VLOOKUP('acft-exerc'!$M982,FIX!$A$2:$D1000,4, false),"")</f>
        <v/>
      </c>
      <c r="N982" s="10"/>
      <c r="O982" s="10"/>
      <c r="P982" s="10"/>
      <c r="Q982" s="10"/>
      <c r="R982" s="10"/>
      <c r="S982" s="10"/>
      <c r="T982" s="10"/>
      <c r="U982" s="10"/>
      <c r="V982" s="10"/>
    </row>
    <row r="983">
      <c r="A983" s="10"/>
      <c r="B983" s="10"/>
      <c r="C983" s="10"/>
      <c r="D983" s="10"/>
      <c r="E983" s="10"/>
      <c r="F983" s="10"/>
      <c r="G983" s="10"/>
      <c r="I983" s="10"/>
      <c r="J983" s="10"/>
      <c r="K983" s="10"/>
      <c r="L983" s="10"/>
      <c r="M983" s="10" t="str">
        <f>ifna(VLOOKUP('acft-exerc'!$M983,FIX!$A$2:$D1000,4, false),"")</f>
        <v/>
      </c>
      <c r="N983" s="10"/>
      <c r="O983" s="10"/>
      <c r="P983" s="10"/>
      <c r="Q983" s="10"/>
      <c r="R983" s="10"/>
      <c r="S983" s="10"/>
      <c r="T983" s="10"/>
      <c r="U983" s="10"/>
      <c r="V983" s="10"/>
    </row>
    <row r="984">
      <c r="A984" s="10"/>
      <c r="B984" s="10"/>
      <c r="C984" s="10"/>
      <c r="D984" s="10"/>
      <c r="E984" s="10"/>
      <c r="F984" s="10"/>
      <c r="G984" s="10"/>
      <c r="I984" s="10"/>
      <c r="J984" s="10"/>
      <c r="K984" s="10"/>
      <c r="L984" s="10"/>
      <c r="M984" s="10" t="str">
        <f>ifna(VLOOKUP('acft-exerc'!$M984,FIX!$A$2:$D1000,4, false),"")</f>
        <v/>
      </c>
      <c r="N984" s="10"/>
      <c r="O984" s="10"/>
      <c r="P984" s="10"/>
      <c r="Q984" s="10"/>
      <c r="R984" s="10"/>
      <c r="S984" s="10"/>
      <c r="T984" s="10"/>
      <c r="U984" s="10"/>
      <c r="V984" s="10"/>
    </row>
    <row r="985">
      <c r="A985" s="10"/>
      <c r="B985" s="10"/>
      <c r="C985" s="10"/>
      <c r="D985" s="10"/>
      <c r="E985" s="10"/>
      <c r="F985" s="10"/>
      <c r="G985" s="10"/>
      <c r="I985" s="10"/>
      <c r="J985" s="10"/>
      <c r="K985" s="10"/>
      <c r="L985" s="10"/>
      <c r="M985" s="10" t="str">
        <f>ifna(VLOOKUP('acft-exerc'!$M985,FIX!$A$2:$D1000,4, false),"")</f>
        <v/>
      </c>
      <c r="N985" s="10"/>
      <c r="O985" s="10"/>
      <c r="P985" s="10"/>
      <c r="Q985" s="10"/>
      <c r="R985" s="10"/>
      <c r="S985" s="10"/>
      <c r="T985" s="10"/>
      <c r="U985" s="10"/>
      <c r="V985" s="10"/>
    </row>
    <row r="986">
      <c r="A986" s="10"/>
      <c r="B986" s="10"/>
      <c r="C986" s="10"/>
      <c r="D986" s="10"/>
      <c r="E986" s="10"/>
      <c r="F986" s="10"/>
      <c r="G986" s="10"/>
      <c r="I986" s="10"/>
      <c r="J986" s="10"/>
      <c r="K986" s="10"/>
      <c r="L986" s="10"/>
      <c r="M986" s="10" t="str">
        <f>ifna(VLOOKUP('acft-exerc'!$M986,FIX!$A$2:$D1000,4, false),"")</f>
        <v/>
      </c>
      <c r="N986" s="10"/>
      <c r="O986" s="10"/>
      <c r="P986" s="10"/>
      <c r="Q986" s="10"/>
      <c r="R986" s="10"/>
      <c r="S986" s="10"/>
      <c r="T986" s="10"/>
      <c r="U986" s="10"/>
      <c r="V986" s="10"/>
    </row>
    <row r="987">
      <c r="A987" s="10"/>
      <c r="B987" s="10"/>
      <c r="C987" s="10"/>
      <c r="D987" s="10"/>
      <c r="E987" s="10"/>
      <c r="F987" s="10"/>
      <c r="G987" s="10"/>
      <c r="I987" s="10"/>
      <c r="J987" s="10"/>
      <c r="K987" s="10"/>
      <c r="L987" s="10"/>
      <c r="M987" s="10" t="str">
        <f>ifna(VLOOKUP('acft-exerc'!$M987,FIX!$A$2:$D1000,4, false),"")</f>
        <v/>
      </c>
      <c r="N987" s="10"/>
      <c r="O987" s="10"/>
      <c r="P987" s="10"/>
      <c r="Q987" s="10"/>
      <c r="R987" s="10"/>
      <c r="S987" s="10"/>
      <c r="T987" s="10"/>
      <c r="U987" s="10"/>
      <c r="V987" s="10"/>
    </row>
    <row r="988">
      <c r="A988" s="10"/>
      <c r="B988" s="10"/>
      <c r="C988" s="10"/>
      <c r="D988" s="10"/>
      <c r="E988" s="10"/>
      <c r="F988" s="10"/>
      <c r="G988" s="10"/>
      <c r="I988" s="10"/>
      <c r="J988" s="10"/>
      <c r="K988" s="10"/>
      <c r="L988" s="10"/>
      <c r="M988" s="10" t="str">
        <f>ifna(VLOOKUP('acft-exerc'!$M988,FIX!$A$2:$D1000,4, false),"")</f>
        <v/>
      </c>
      <c r="N988" s="10"/>
      <c r="O988" s="10"/>
      <c r="P988" s="10"/>
      <c r="Q988" s="10"/>
      <c r="R988" s="10"/>
      <c r="S988" s="10"/>
      <c r="T988" s="10"/>
      <c r="U988" s="10"/>
      <c r="V988" s="10"/>
    </row>
    <row r="989">
      <c r="A989" s="10"/>
      <c r="B989" s="10"/>
      <c r="C989" s="10"/>
      <c r="D989" s="10"/>
      <c r="E989" s="10"/>
      <c r="F989" s="10"/>
      <c r="G989" s="10"/>
      <c r="I989" s="10"/>
      <c r="J989" s="10"/>
      <c r="K989" s="10"/>
      <c r="L989" s="10"/>
      <c r="M989" s="10" t="str">
        <f>ifna(VLOOKUP('acft-exerc'!$M989,FIX!$A$2:$D1000,4, false),"")</f>
        <v/>
      </c>
      <c r="N989" s="10"/>
      <c r="O989" s="10"/>
      <c r="P989" s="10"/>
      <c r="Q989" s="10"/>
      <c r="R989" s="10"/>
      <c r="S989" s="10"/>
      <c r="T989" s="10"/>
      <c r="U989" s="10"/>
      <c r="V989" s="10"/>
    </row>
    <row r="990">
      <c r="A990" s="10"/>
      <c r="B990" s="10"/>
      <c r="C990" s="10"/>
      <c r="D990" s="10"/>
      <c r="E990" s="10"/>
      <c r="F990" s="10"/>
      <c r="G990" s="10"/>
      <c r="I990" s="10"/>
      <c r="J990" s="10"/>
      <c r="K990" s="10"/>
      <c r="L990" s="10"/>
      <c r="M990" s="10" t="str">
        <f>ifna(VLOOKUP('acft-exerc'!$M990,FIX!$A$2:$D1000,4, false),"")</f>
        <v/>
      </c>
      <c r="N990" s="10"/>
      <c r="O990" s="10"/>
      <c r="P990" s="10"/>
      <c r="Q990" s="10"/>
      <c r="R990" s="10"/>
      <c r="S990" s="10"/>
      <c r="T990" s="10"/>
      <c r="U990" s="10"/>
      <c r="V990" s="10"/>
    </row>
    <row r="991">
      <c r="A991" s="10"/>
      <c r="B991" s="10"/>
      <c r="C991" s="10"/>
      <c r="D991" s="10"/>
      <c r="E991" s="10"/>
      <c r="F991" s="10"/>
      <c r="G991" s="10"/>
      <c r="I991" s="10"/>
      <c r="J991" s="10"/>
      <c r="K991" s="10"/>
      <c r="L991" s="10"/>
      <c r="M991" s="10" t="str">
        <f>ifna(VLOOKUP('acft-exerc'!$M991,FIX!$A$2:$D1000,4, false),"")</f>
        <v/>
      </c>
      <c r="N991" s="10"/>
      <c r="O991" s="10"/>
      <c r="P991" s="10"/>
      <c r="Q991" s="10"/>
      <c r="R991" s="10"/>
      <c r="S991" s="10"/>
      <c r="T991" s="10"/>
      <c r="U991" s="10"/>
      <c r="V991" s="10"/>
    </row>
    <row r="992">
      <c r="A992" s="10"/>
      <c r="B992" s="10"/>
      <c r="C992" s="10"/>
      <c r="D992" s="10"/>
      <c r="E992" s="10"/>
      <c r="F992" s="10"/>
      <c r="G992" s="10"/>
      <c r="I992" s="10"/>
      <c r="J992" s="10"/>
      <c r="K992" s="10"/>
      <c r="L992" s="10"/>
      <c r="M992" s="10" t="str">
        <f>ifna(VLOOKUP('acft-exerc'!$M992,FIX!$A$2:$D1000,4, false),"")</f>
        <v/>
      </c>
      <c r="N992" s="10"/>
      <c r="O992" s="10"/>
      <c r="P992" s="10"/>
      <c r="Q992" s="10"/>
      <c r="R992" s="10"/>
      <c r="S992" s="10"/>
      <c r="T992" s="10"/>
      <c r="U992" s="10"/>
      <c r="V992" s="10"/>
    </row>
    <row r="993">
      <c r="A993" s="10"/>
      <c r="B993" s="10"/>
      <c r="C993" s="10"/>
      <c r="D993" s="10"/>
      <c r="E993" s="10"/>
      <c r="F993" s="10"/>
      <c r="G993" s="10"/>
      <c r="I993" s="10"/>
      <c r="J993" s="10"/>
      <c r="K993" s="10"/>
      <c r="L993" s="10"/>
      <c r="M993" s="10" t="str">
        <f>ifna(VLOOKUP('acft-exerc'!$M993,FIX!$A$2:$D1000,4, false),"")</f>
        <v/>
      </c>
      <c r="N993" s="10"/>
      <c r="O993" s="10"/>
      <c r="P993" s="10"/>
      <c r="Q993" s="10"/>
      <c r="R993" s="10"/>
      <c r="S993" s="10"/>
      <c r="T993" s="10"/>
      <c r="U993" s="10"/>
      <c r="V993" s="10"/>
    </row>
    <row r="994">
      <c r="A994" s="10"/>
      <c r="B994" s="10"/>
      <c r="C994" s="10"/>
      <c r="D994" s="10"/>
      <c r="E994" s="10"/>
      <c r="F994" s="10"/>
      <c r="G994" s="10"/>
      <c r="I994" s="10"/>
      <c r="J994" s="10"/>
      <c r="K994" s="10"/>
      <c r="L994" s="10"/>
      <c r="M994" s="10" t="str">
        <f>ifna(VLOOKUP('acft-exerc'!$M994,FIX!$A$2:$D1000,4, false),"")</f>
        <v/>
      </c>
      <c r="N994" s="10"/>
      <c r="O994" s="10"/>
      <c r="P994" s="10"/>
      <c r="Q994" s="10"/>
      <c r="R994" s="10"/>
      <c r="S994" s="10"/>
      <c r="T994" s="10"/>
      <c r="U994" s="10"/>
      <c r="V994" s="10"/>
    </row>
    <row r="995">
      <c r="A995" s="10"/>
      <c r="B995" s="10"/>
      <c r="C995" s="10"/>
      <c r="D995" s="10"/>
      <c r="E995" s="10"/>
      <c r="F995" s="10"/>
      <c r="G995" s="10"/>
      <c r="I995" s="10"/>
      <c r="J995" s="10"/>
      <c r="K995" s="10"/>
      <c r="L995" s="10"/>
      <c r="M995" s="10" t="str">
        <f>ifna(VLOOKUP('acft-exerc'!$M995,FIX!$A$2:$D1000,4, false),"")</f>
        <v/>
      </c>
      <c r="N995" s="10"/>
      <c r="O995" s="10"/>
      <c r="P995" s="10"/>
      <c r="Q995" s="10"/>
      <c r="R995" s="10"/>
      <c r="S995" s="10"/>
      <c r="T995" s="10"/>
      <c r="U995" s="10"/>
      <c r="V995" s="10"/>
    </row>
    <row r="996">
      <c r="A996" s="10"/>
      <c r="B996" s="10"/>
      <c r="C996" s="10"/>
      <c r="D996" s="10"/>
      <c r="E996" s="10"/>
      <c r="F996" s="10"/>
      <c r="G996" s="10"/>
      <c r="I996" s="10"/>
      <c r="J996" s="10"/>
      <c r="K996" s="10"/>
      <c r="L996" s="10"/>
      <c r="M996" s="10" t="str">
        <f>ifna(VLOOKUP('acft-exerc'!$M996,FIX!$A$2:$D1000,4, false),"")</f>
        <v/>
      </c>
      <c r="N996" s="10"/>
      <c r="O996" s="10"/>
      <c r="P996" s="10"/>
      <c r="Q996" s="10"/>
      <c r="R996" s="10"/>
      <c r="S996" s="10"/>
      <c r="T996" s="10"/>
      <c r="U996" s="10"/>
      <c r="V996" s="10"/>
    </row>
    <row r="997">
      <c r="A997" s="10"/>
      <c r="B997" s="10"/>
      <c r="C997" s="10"/>
      <c r="D997" s="10"/>
      <c r="E997" s="10"/>
      <c r="F997" s="10"/>
      <c r="G997" s="10"/>
      <c r="I997" s="10"/>
      <c r="J997" s="10"/>
      <c r="K997" s="10"/>
      <c r="L997" s="10"/>
      <c r="M997" s="10" t="str">
        <f>ifna(VLOOKUP('acft-exerc'!$M997,FIX!$A$2:$D1000,4, false),"")</f>
        <v/>
      </c>
      <c r="N997" s="10"/>
      <c r="O997" s="10"/>
      <c r="P997" s="10"/>
      <c r="Q997" s="10"/>
      <c r="R997" s="10"/>
      <c r="S997" s="10"/>
      <c r="T997" s="10"/>
      <c r="U997" s="10"/>
      <c r="V997" s="10"/>
    </row>
    <row r="998">
      <c r="A998" s="10"/>
      <c r="B998" s="10"/>
      <c r="C998" s="10"/>
      <c r="D998" s="10"/>
      <c r="E998" s="10"/>
      <c r="F998" s="10"/>
      <c r="G998" s="10"/>
      <c r="I998" s="10"/>
      <c r="J998" s="10"/>
      <c r="K998" s="10"/>
      <c r="L998" s="10"/>
      <c r="M998" s="10" t="str">
        <f>ifna(VLOOKUP('acft-exerc'!$M998,FIX!$A$2:$D1000,4, false),"")</f>
        <v/>
      </c>
      <c r="N998" s="10"/>
      <c r="O998" s="10"/>
      <c r="P998" s="10"/>
      <c r="Q998" s="10"/>
      <c r="R998" s="10"/>
      <c r="S998" s="10"/>
      <c r="T998" s="10"/>
      <c r="U998" s="10"/>
      <c r="V998" s="10"/>
    </row>
    <row r="999">
      <c r="A999" s="10"/>
      <c r="B999" s="10"/>
      <c r="C999" s="10"/>
      <c r="D999" s="10"/>
      <c r="E999" s="10"/>
      <c r="F999" s="10"/>
      <c r="G999" s="10"/>
      <c r="I999" s="10"/>
      <c r="J999" s="10"/>
      <c r="K999" s="10"/>
      <c r="L999" s="10"/>
      <c r="M999" s="10" t="str">
        <f>ifna(VLOOKUP('acft-exerc'!$M999,FIX!$A$2:$D1000,4, false),"")</f>
        <v/>
      </c>
      <c r="N999" s="10"/>
      <c r="O999" s="10"/>
      <c r="P999" s="10"/>
      <c r="Q999" s="10"/>
      <c r="R999" s="10"/>
      <c r="S999" s="10"/>
      <c r="T999" s="10"/>
      <c r="U999" s="10"/>
      <c r="V999" s="10"/>
    </row>
    <row r="1000">
      <c r="A1000" s="10"/>
      <c r="B1000" s="10"/>
      <c r="C1000" s="10"/>
      <c r="D1000" s="10"/>
      <c r="E1000" s="10"/>
      <c r="F1000" s="10"/>
      <c r="G1000" s="10"/>
      <c r="I1000" s="10"/>
      <c r="J1000" s="10"/>
      <c r="K1000" s="10"/>
      <c r="L1000" s="10"/>
      <c r="M1000" s="10" t="str">
        <f>ifna(VLOOKUP('acft-exerc'!$M1000,FIX!$A$2:$D1000,4, false),"")</f>
        <v/>
      </c>
      <c r="N1000" s="10"/>
      <c r="O1000" s="10"/>
      <c r="P1000" s="10"/>
      <c r="Q1000" s="10"/>
      <c r="R1000" s="10"/>
      <c r="S1000" s="10"/>
      <c r="T1000" s="10"/>
      <c r="U1000" s="10"/>
      <c r="V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tr">
        <f>IFERROR(__xludf.DUMMYFUNCTION("QUERY({trj!B2:B1000, trj!D2:D1000; sub!B2:B1000, sub!E2:E1000},""where Col1 is not null"")"),"STAR RWY 16 SP")</f>
        <v>STAR RWY 16 SP</v>
      </c>
      <c r="B1" s="10" t="str">
        <f>IFERROR(__xludf.DUMMYFUNCTION("""COMPUTED_VALUE"""),"TRJ0073")</f>
        <v>TRJ0073</v>
      </c>
    </row>
    <row r="2">
      <c r="A2" s="10" t="str">
        <f>IFERROR(__xludf.DUMMYFUNCTION("""COMPUTED_VALUE"""),"SID RWY 16 MIMIP")</f>
        <v>SID RWY 16 MIMIP</v>
      </c>
      <c r="B2" s="10" t="str">
        <f>IFERROR(__xludf.DUMMYFUNCTION("""COMPUTED_VALUE"""),"SUB001")</f>
        <v>SUB001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</row>
    <row r="2">
      <c r="A2" s="1">
        <v>73.0</v>
      </c>
      <c r="B2" s="1" t="s">
        <v>42</v>
      </c>
      <c r="C2" s="1" t="s">
        <v>49</v>
      </c>
      <c r="D2" s="10" t="str">
        <f t="shared" ref="D2:D695" si="1">IF(A2&lt;&gt;"",CONCATENATE("TRJ",TEXT($A2,"0000"),""),"")</f>
        <v>TRJ0073</v>
      </c>
    </row>
    <row r="3">
      <c r="D3" s="10" t="str">
        <f t="shared" si="1"/>
        <v/>
      </c>
    </row>
    <row r="4">
      <c r="D4" s="10" t="str">
        <f t="shared" si="1"/>
        <v/>
      </c>
    </row>
    <row r="5">
      <c r="D5" s="10" t="str">
        <f t="shared" si="1"/>
        <v/>
      </c>
    </row>
    <row r="6">
      <c r="D6" s="10" t="str">
        <f t="shared" si="1"/>
        <v/>
      </c>
    </row>
    <row r="7">
      <c r="D7" s="10" t="str">
        <f t="shared" si="1"/>
        <v/>
      </c>
    </row>
    <row r="8">
      <c r="D8" s="10" t="str">
        <f t="shared" si="1"/>
        <v/>
      </c>
    </row>
    <row r="9">
      <c r="D9" s="10" t="str">
        <f t="shared" si="1"/>
        <v/>
      </c>
    </row>
    <row r="10">
      <c r="D10" s="10" t="str">
        <f t="shared" si="1"/>
        <v/>
      </c>
    </row>
    <row r="11">
      <c r="D11" s="10" t="str">
        <f t="shared" si="1"/>
        <v/>
      </c>
    </row>
    <row r="12">
      <c r="D12" s="10" t="str">
        <f t="shared" si="1"/>
        <v/>
      </c>
    </row>
    <row r="13">
      <c r="D13" s="10" t="str">
        <f t="shared" si="1"/>
        <v/>
      </c>
    </row>
    <row r="14">
      <c r="D14" s="10" t="str">
        <f t="shared" si="1"/>
        <v/>
      </c>
    </row>
    <row r="15">
      <c r="D15" s="10" t="str">
        <f t="shared" si="1"/>
        <v/>
      </c>
    </row>
    <row r="16">
      <c r="D16" s="10" t="str">
        <f t="shared" si="1"/>
        <v/>
      </c>
    </row>
    <row r="17">
      <c r="D17" s="10" t="str">
        <f t="shared" si="1"/>
        <v/>
      </c>
    </row>
    <row r="18">
      <c r="D18" s="10" t="str">
        <f t="shared" si="1"/>
        <v/>
      </c>
    </row>
    <row r="19">
      <c r="D19" s="10" t="str">
        <f t="shared" si="1"/>
        <v/>
      </c>
    </row>
    <row r="20">
      <c r="D20" s="10" t="str">
        <f t="shared" si="1"/>
        <v/>
      </c>
    </row>
    <row r="21">
      <c r="D21" s="10" t="str">
        <f t="shared" si="1"/>
        <v/>
      </c>
    </row>
    <row r="22">
      <c r="D22" s="10" t="str">
        <f t="shared" si="1"/>
        <v/>
      </c>
    </row>
    <row r="23">
      <c r="D23" s="10" t="str">
        <f t="shared" si="1"/>
        <v/>
      </c>
    </row>
    <row r="24">
      <c r="D24" s="10" t="str">
        <f t="shared" si="1"/>
        <v/>
      </c>
    </row>
    <row r="25">
      <c r="D25" s="10" t="str">
        <f t="shared" si="1"/>
        <v/>
      </c>
    </row>
    <row r="26">
      <c r="D26" s="10" t="str">
        <f t="shared" si="1"/>
        <v/>
      </c>
    </row>
    <row r="27">
      <c r="D27" s="10" t="str">
        <f t="shared" si="1"/>
        <v/>
      </c>
    </row>
    <row r="28">
      <c r="D28" s="10" t="str">
        <f t="shared" si="1"/>
        <v/>
      </c>
    </row>
    <row r="29">
      <c r="D29" s="10" t="str">
        <f t="shared" si="1"/>
        <v/>
      </c>
    </row>
    <row r="30">
      <c r="D30" s="10" t="str">
        <f t="shared" si="1"/>
        <v/>
      </c>
    </row>
    <row r="31">
      <c r="D31" s="10" t="str">
        <f t="shared" si="1"/>
        <v/>
      </c>
    </row>
    <row r="32">
      <c r="D32" s="10" t="str">
        <f t="shared" si="1"/>
        <v/>
      </c>
    </row>
    <row r="33">
      <c r="D33" s="10" t="str">
        <f t="shared" si="1"/>
        <v/>
      </c>
    </row>
    <row r="34">
      <c r="D34" s="10" t="str">
        <f t="shared" si="1"/>
        <v/>
      </c>
    </row>
    <row r="35">
      <c r="D35" s="10" t="str">
        <f t="shared" si="1"/>
        <v/>
      </c>
    </row>
    <row r="36">
      <c r="D36" s="10" t="str">
        <f t="shared" si="1"/>
        <v/>
      </c>
    </row>
    <row r="37">
      <c r="D37" s="10" t="str">
        <f t="shared" si="1"/>
        <v/>
      </c>
    </row>
    <row r="38">
      <c r="D38" s="10" t="str">
        <f t="shared" si="1"/>
        <v/>
      </c>
    </row>
    <row r="39">
      <c r="D39" s="10" t="str">
        <f t="shared" si="1"/>
        <v/>
      </c>
    </row>
    <row r="40">
      <c r="D40" s="10" t="str">
        <f t="shared" si="1"/>
        <v/>
      </c>
    </row>
    <row r="41">
      <c r="D41" s="10" t="str">
        <f t="shared" si="1"/>
        <v/>
      </c>
    </row>
    <row r="42">
      <c r="D42" s="10" t="str">
        <f t="shared" si="1"/>
        <v/>
      </c>
    </row>
    <row r="43">
      <c r="D43" s="10" t="str">
        <f t="shared" si="1"/>
        <v/>
      </c>
    </row>
    <row r="44">
      <c r="D44" s="10" t="str">
        <f t="shared" si="1"/>
        <v/>
      </c>
    </row>
    <row r="45">
      <c r="D45" s="10" t="str">
        <f t="shared" si="1"/>
        <v/>
      </c>
    </row>
    <row r="46">
      <c r="D46" s="10" t="str">
        <f t="shared" si="1"/>
        <v/>
      </c>
    </row>
    <row r="47">
      <c r="D47" s="10" t="str">
        <f t="shared" si="1"/>
        <v/>
      </c>
    </row>
    <row r="48">
      <c r="D48" s="10" t="str">
        <f t="shared" si="1"/>
        <v/>
      </c>
    </row>
    <row r="49">
      <c r="D49" s="10" t="str">
        <f t="shared" si="1"/>
        <v/>
      </c>
    </row>
    <row r="50">
      <c r="D50" s="10" t="str">
        <f t="shared" si="1"/>
        <v/>
      </c>
    </row>
    <row r="51">
      <c r="D51" s="10" t="str">
        <f t="shared" si="1"/>
        <v/>
      </c>
    </row>
    <row r="52">
      <c r="D52" s="10" t="str">
        <f t="shared" si="1"/>
        <v/>
      </c>
    </row>
    <row r="53">
      <c r="D53" s="10" t="str">
        <f t="shared" si="1"/>
        <v/>
      </c>
    </row>
    <row r="54">
      <c r="D54" s="10" t="str">
        <f t="shared" si="1"/>
        <v/>
      </c>
    </row>
    <row r="55">
      <c r="D55" s="10" t="str">
        <f t="shared" si="1"/>
        <v/>
      </c>
    </row>
    <row r="56">
      <c r="D56" s="10" t="str">
        <f t="shared" si="1"/>
        <v/>
      </c>
    </row>
    <row r="57">
      <c r="D57" s="10" t="str">
        <f t="shared" si="1"/>
        <v/>
      </c>
    </row>
    <row r="58">
      <c r="D58" s="10" t="str">
        <f t="shared" si="1"/>
        <v/>
      </c>
    </row>
    <row r="59">
      <c r="D59" s="10" t="str">
        <f t="shared" si="1"/>
        <v/>
      </c>
    </row>
    <row r="60">
      <c r="D60" s="10" t="str">
        <f t="shared" si="1"/>
        <v/>
      </c>
    </row>
    <row r="61">
      <c r="D61" s="10" t="str">
        <f t="shared" si="1"/>
        <v/>
      </c>
    </row>
    <row r="62">
      <c r="D62" s="10" t="str">
        <f t="shared" si="1"/>
        <v/>
      </c>
    </row>
    <row r="63">
      <c r="D63" s="10" t="str">
        <f t="shared" si="1"/>
        <v/>
      </c>
    </row>
    <row r="64">
      <c r="D64" s="10" t="str">
        <f t="shared" si="1"/>
        <v/>
      </c>
    </row>
    <row r="65">
      <c r="D65" s="10" t="str">
        <f t="shared" si="1"/>
        <v/>
      </c>
    </row>
    <row r="66">
      <c r="D66" s="10" t="str">
        <f t="shared" si="1"/>
        <v/>
      </c>
    </row>
    <row r="67">
      <c r="D67" s="10" t="str">
        <f t="shared" si="1"/>
        <v/>
      </c>
    </row>
    <row r="68">
      <c r="D68" s="10" t="str">
        <f t="shared" si="1"/>
        <v/>
      </c>
    </row>
    <row r="69">
      <c r="D69" s="10" t="str">
        <f t="shared" si="1"/>
        <v/>
      </c>
    </row>
    <row r="70">
      <c r="D70" s="10" t="str">
        <f t="shared" si="1"/>
        <v/>
      </c>
    </row>
    <row r="71">
      <c r="D71" s="10" t="str">
        <f t="shared" si="1"/>
        <v/>
      </c>
    </row>
    <row r="72">
      <c r="D72" s="10" t="str">
        <f t="shared" si="1"/>
        <v/>
      </c>
    </row>
    <row r="73">
      <c r="D73" s="10" t="str">
        <f t="shared" si="1"/>
        <v/>
      </c>
    </row>
    <row r="74">
      <c r="D74" s="10" t="str">
        <f t="shared" si="1"/>
        <v/>
      </c>
    </row>
    <row r="75">
      <c r="D75" s="10" t="str">
        <f t="shared" si="1"/>
        <v/>
      </c>
    </row>
    <row r="76">
      <c r="D76" s="10" t="str">
        <f t="shared" si="1"/>
        <v/>
      </c>
    </row>
    <row r="77">
      <c r="D77" s="10" t="str">
        <f t="shared" si="1"/>
        <v/>
      </c>
    </row>
    <row r="78">
      <c r="D78" s="10" t="str">
        <f t="shared" si="1"/>
        <v/>
      </c>
    </row>
    <row r="79">
      <c r="D79" s="10" t="str">
        <f t="shared" si="1"/>
        <v/>
      </c>
    </row>
    <row r="80">
      <c r="D80" s="10" t="str">
        <f t="shared" si="1"/>
        <v/>
      </c>
    </row>
    <row r="81">
      <c r="D81" s="10" t="str">
        <f t="shared" si="1"/>
        <v/>
      </c>
    </row>
    <row r="82">
      <c r="D82" s="10" t="str">
        <f t="shared" si="1"/>
        <v/>
      </c>
    </row>
    <row r="83">
      <c r="D83" s="10" t="str">
        <f t="shared" si="1"/>
        <v/>
      </c>
    </row>
    <row r="84">
      <c r="D84" s="10" t="str">
        <f t="shared" si="1"/>
        <v/>
      </c>
    </row>
    <row r="85">
      <c r="D85" s="10" t="str">
        <f t="shared" si="1"/>
        <v/>
      </c>
    </row>
    <row r="86">
      <c r="D86" s="10" t="str">
        <f t="shared" si="1"/>
        <v/>
      </c>
    </row>
    <row r="87">
      <c r="D87" s="10" t="str">
        <f t="shared" si="1"/>
        <v/>
      </c>
    </row>
    <row r="88">
      <c r="D88" s="10" t="str">
        <f t="shared" si="1"/>
        <v/>
      </c>
    </row>
    <row r="89">
      <c r="D89" s="10" t="str">
        <f t="shared" si="1"/>
        <v/>
      </c>
    </row>
    <row r="90">
      <c r="D90" s="10" t="str">
        <f t="shared" si="1"/>
        <v/>
      </c>
    </row>
    <row r="91">
      <c r="D91" s="10" t="str">
        <f t="shared" si="1"/>
        <v/>
      </c>
    </row>
    <row r="92">
      <c r="D92" s="10" t="str">
        <f t="shared" si="1"/>
        <v/>
      </c>
    </row>
    <row r="93">
      <c r="D93" s="10" t="str">
        <f t="shared" si="1"/>
        <v/>
      </c>
    </row>
    <row r="94">
      <c r="D94" s="10" t="str">
        <f t="shared" si="1"/>
        <v/>
      </c>
    </row>
    <row r="95">
      <c r="D95" s="10" t="str">
        <f t="shared" si="1"/>
        <v/>
      </c>
    </row>
    <row r="96">
      <c r="D96" s="10" t="str">
        <f t="shared" si="1"/>
        <v/>
      </c>
    </row>
    <row r="97">
      <c r="D97" s="10" t="str">
        <f t="shared" si="1"/>
        <v/>
      </c>
    </row>
    <row r="98">
      <c r="D98" s="10" t="str">
        <f t="shared" si="1"/>
        <v/>
      </c>
    </row>
    <row r="99">
      <c r="D99" s="10" t="str">
        <f t="shared" si="1"/>
        <v/>
      </c>
    </row>
    <row r="100">
      <c r="D100" s="10" t="str">
        <f t="shared" si="1"/>
        <v/>
      </c>
    </row>
    <row r="101">
      <c r="D101" s="10" t="str">
        <f t="shared" si="1"/>
        <v/>
      </c>
    </row>
    <row r="102">
      <c r="D102" s="10" t="str">
        <f t="shared" si="1"/>
        <v/>
      </c>
    </row>
    <row r="103">
      <c r="D103" s="10" t="str">
        <f t="shared" si="1"/>
        <v/>
      </c>
    </row>
    <row r="104">
      <c r="D104" s="10" t="str">
        <f t="shared" si="1"/>
        <v/>
      </c>
    </row>
    <row r="105">
      <c r="D105" s="10" t="str">
        <f t="shared" si="1"/>
        <v/>
      </c>
    </row>
    <row r="106">
      <c r="D106" s="10" t="str">
        <f t="shared" si="1"/>
        <v/>
      </c>
    </row>
    <row r="107">
      <c r="D107" s="10" t="str">
        <f t="shared" si="1"/>
        <v/>
      </c>
    </row>
    <row r="108">
      <c r="D108" s="10" t="str">
        <f t="shared" si="1"/>
        <v/>
      </c>
    </row>
    <row r="109">
      <c r="D109" s="10" t="str">
        <f t="shared" si="1"/>
        <v/>
      </c>
    </row>
    <row r="110">
      <c r="D110" s="10" t="str">
        <f t="shared" si="1"/>
        <v/>
      </c>
    </row>
    <row r="111">
      <c r="D111" s="10" t="str">
        <f t="shared" si="1"/>
        <v/>
      </c>
    </row>
    <row r="112">
      <c r="D112" s="10" t="str">
        <f t="shared" si="1"/>
        <v/>
      </c>
    </row>
    <row r="113">
      <c r="D113" s="10" t="str">
        <f t="shared" si="1"/>
        <v/>
      </c>
    </row>
    <row r="114">
      <c r="D114" s="10" t="str">
        <f t="shared" si="1"/>
        <v/>
      </c>
    </row>
    <row r="115">
      <c r="D115" s="10" t="str">
        <f t="shared" si="1"/>
        <v/>
      </c>
    </row>
    <row r="116">
      <c r="D116" s="10" t="str">
        <f t="shared" si="1"/>
        <v/>
      </c>
    </row>
    <row r="117">
      <c r="D117" s="10" t="str">
        <f t="shared" si="1"/>
        <v/>
      </c>
    </row>
    <row r="118">
      <c r="D118" s="10" t="str">
        <f t="shared" si="1"/>
        <v/>
      </c>
    </row>
    <row r="119">
      <c r="D119" s="10" t="str">
        <f t="shared" si="1"/>
        <v/>
      </c>
    </row>
    <row r="120">
      <c r="D120" s="10" t="str">
        <f t="shared" si="1"/>
        <v/>
      </c>
    </row>
    <row r="121">
      <c r="D121" s="10" t="str">
        <f t="shared" si="1"/>
        <v/>
      </c>
    </row>
    <row r="122">
      <c r="D122" s="10" t="str">
        <f t="shared" si="1"/>
        <v/>
      </c>
    </row>
    <row r="123">
      <c r="D123" s="10" t="str">
        <f t="shared" si="1"/>
        <v/>
      </c>
    </row>
    <row r="124">
      <c r="D124" s="10" t="str">
        <f t="shared" si="1"/>
        <v/>
      </c>
    </row>
    <row r="125">
      <c r="D125" s="10" t="str">
        <f t="shared" si="1"/>
        <v/>
      </c>
    </row>
    <row r="126">
      <c r="D126" s="10" t="str">
        <f t="shared" si="1"/>
        <v/>
      </c>
    </row>
    <row r="127">
      <c r="D127" s="10" t="str">
        <f t="shared" si="1"/>
        <v/>
      </c>
    </row>
    <row r="128">
      <c r="D128" s="10" t="str">
        <f t="shared" si="1"/>
        <v/>
      </c>
    </row>
    <row r="129">
      <c r="D129" s="10" t="str">
        <f t="shared" si="1"/>
        <v/>
      </c>
    </row>
    <row r="130">
      <c r="D130" s="10" t="str">
        <f t="shared" si="1"/>
        <v/>
      </c>
    </row>
    <row r="131">
      <c r="D131" s="10" t="str">
        <f t="shared" si="1"/>
        <v/>
      </c>
    </row>
    <row r="132">
      <c r="D132" s="10" t="str">
        <f t="shared" si="1"/>
        <v/>
      </c>
    </row>
    <row r="133">
      <c r="D133" s="10" t="str">
        <f t="shared" si="1"/>
        <v/>
      </c>
    </row>
    <row r="134">
      <c r="D134" s="10" t="str">
        <f t="shared" si="1"/>
        <v/>
      </c>
    </row>
    <row r="135">
      <c r="D135" s="10" t="str">
        <f t="shared" si="1"/>
        <v/>
      </c>
    </row>
    <row r="136">
      <c r="D136" s="10" t="str">
        <f t="shared" si="1"/>
        <v/>
      </c>
    </row>
    <row r="137">
      <c r="D137" s="10" t="str">
        <f t="shared" si="1"/>
        <v/>
      </c>
    </row>
    <row r="138">
      <c r="D138" s="10" t="str">
        <f t="shared" si="1"/>
        <v/>
      </c>
    </row>
    <row r="139">
      <c r="D139" s="10" t="str">
        <f t="shared" si="1"/>
        <v/>
      </c>
    </row>
    <row r="140">
      <c r="D140" s="10" t="str">
        <f t="shared" si="1"/>
        <v/>
      </c>
    </row>
    <row r="141">
      <c r="D141" s="10" t="str">
        <f t="shared" si="1"/>
        <v/>
      </c>
    </row>
    <row r="142">
      <c r="D142" s="10" t="str">
        <f t="shared" si="1"/>
        <v/>
      </c>
    </row>
    <row r="143">
      <c r="D143" s="10" t="str">
        <f t="shared" si="1"/>
        <v/>
      </c>
    </row>
    <row r="144">
      <c r="D144" s="10" t="str">
        <f t="shared" si="1"/>
        <v/>
      </c>
    </row>
    <row r="145">
      <c r="D145" s="10" t="str">
        <f t="shared" si="1"/>
        <v/>
      </c>
    </row>
    <row r="146">
      <c r="D146" s="10" t="str">
        <f t="shared" si="1"/>
        <v/>
      </c>
    </row>
    <row r="147">
      <c r="D147" s="10" t="str">
        <f t="shared" si="1"/>
        <v/>
      </c>
    </row>
    <row r="148">
      <c r="D148" s="10" t="str">
        <f t="shared" si="1"/>
        <v/>
      </c>
    </row>
    <row r="149">
      <c r="D149" s="10" t="str">
        <f t="shared" si="1"/>
        <v/>
      </c>
    </row>
    <row r="150">
      <c r="D150" s="10" t="str">
        <f t="shared" si="1"/>
        <v/>
      </c>
    </row>
    <row r="151">
      <c r="D151" s="10" t="str">
        <f t="shared" si="1"/>
        <v/>
      </c>
    </row>
    <row r="152">
      <c r="D152" s="10" t="str">
        <f t="shared" si="1"/>
        <v/>
      </c>
    </row>
    <row r="153">
      <c r="D153" s="10" t="str">
        <f t="shared" si="1"/>
        <v/>
      </c>
    </row>
    <row r="154">
      <c r="D154" s="10" t="str">
        <f t="shared" si="1"/>
        <v/>
      </c>
    </row>
    <row r="155">
      <c r="D155" s="10" t="str">
        <f t="shared" si="1"/>
        <v/>
      </c>
    </row>
    <row r="156">
      <c r="D156" s="10" t="str">
        <f t="shared" si="1"/>
        <v/>
      </c>
    </row>
    <row r="157">
      <c r="D157" s="10" t="str">
        <f t="shared" si="1"/>
        <v/>
      </c>
    </row>
    <row r="158">
      <c r="D158" s="10" t="str">
        <f t="shared" si="1"/>
        <v/>
      </c>
    </row>
    <row r="159">
      <c r="D159" s="10" t="str">
        <f t="shared" si="1"/>
        <v/>
      </c>
    </row>
    <row r="160">
      <c r="D160" s="10" t="str">
        <f t="shared" si="1"/>
        <v/>
      </c>
    </row>
    <row r="161">
      <c r="D161" s="10" t="str">
        <f t="shared" si="1"/>
        <v/>
      </c>
    </row>
    <row r="162">
      <c r="D162" s="10" t="str">
        <f t="shared" si="1"/>
        <v/>
      </c>
    </row>
    <row r="163">
      <c r="D163" s="10" t="str">
        <f t="shared" si="1"/>
        <v/>
      </c>
    </row>
    <row r="164">
      <c r="D164" s="10" t="str">
        <f t="shared" si="1"/>
        <v/>
      </c>
    </row>
    <row r="165">
      <c r="D165" s="10" t="str">
        <f t="shared" si="1"/>
        <v/>
      </c>
    </row>
    <row r="166">
      <c r="D166" s="10" t="str">
        <f t="shared" si="1"/>
        <v/>
      </c>
    </row>
    <row r="167">
      <c r="D167" s="10" t="str">
        <f t="shared" si="1"/>
        <v/>
      </c>
    </row>
    <row r="168">
      <c r="D168" s="10" t="str">
        <f t="shared" si="1"/>
        <v/>
      </c>
    </row>
    <row r="169">
      <c r="D169" s="10" t="str">
        <f t="shared" si="1"/>
        <v/>
      </c>
    </row>
    <row r="170">
      <c r="D170" s="10" t="str">
        <f t="shared" si="1"/>
        <v/>
      </c>
    </row>
    <row r="171">
      <c r="D171" s="10" t="str">
        <f t="shared" si="1"/>
        <v/>
      </c>
    </row>
    <row r="172">
      <c r="D172" s="10" t="str">
        <f t="shared" si="1"/>
        <v/>
      </c>
    </row>
    <row r="173">
      <c r="D173" s="10" t="str">
        <f t="shared" si="1"/>
        <v/>
      </c>
    </row>
    <row r="174">
      <c r="D174" s="10" t="str">
        <f t="shared" si="1"/>
        <v/>
      </c>
    </row>
    <row r="175">
      <c r="D175" s="10" t="str">
        <f t="shared" si="1"/>
        <v/>
      </c>
    </row>
    <row r="176">
      <c r="D176" s="10" t="str">
        <f t="shared" si="1"/>
        <v/>
      </c>
    </row>
    <row r="177">
      <c r="D177" s="10" t="str">
        <f t="shared" si="1"/>
        <v/>
      </c>
    </row>
    <row r="178">
      <c r="D178" s="10" t="str">
        <f t="shared" si="1"/>
        <v/>
      </c>
    </row>
    <row r="179">
      <c r="D179" s="10" t="str">
        <f t="shared" si="1"/>
        <v/>
      </c>
    </row>
    <row r="180">
      <c r="D180" s="10" t="str">
        <f t="shared" si="1"/>
        <v/>
      </c>
    </row>
    <row r="181">
      <c r="D181" s="10" t="str">
        <f t="shared" si="1"/>
        <v/>
      </c>
    </row>
    <row r="182">
      <c r="D182" s="10" t="str">
        <f t="shared" si="1"/>
        <v/>
      </c>
    </row>
    <row r="183">
      <c r="D183" s="10" t="str">
        <f t="shared" si="1"/>
        <v/>
      </c>
    </row>
    <row r="184">
      <c r="D184" s="10" t="str">
        <f t="shared" si="1"/>
        <v/>
      </c>
    </row>
    <row r="185">
      <c r="D185" s="10" t="str">
        <f t="shared" si="1"/>
        <v/>
      </c>
    </row>
    <row r="186">
      <c r="D186" s="10" t="str">
        <f t="shared" si="1"/>
        <v/>
      </c>
    </row>
    <row r="187">
      <c r="D187" s="10" t="str">
        <f t="shared" si="1"/>
        <v/>
      </c>
    </row>
    <row r="188">
      <c r="D188" s="10" t="str">
        <f t="shared" si="1"/>
        <v/>
      </c>
    </row>
    <row r="189">
      <c r="D189" s="10" t="str">
        <f t="shared" si="1"/>
        <v/>
      </c>
    </row>
    <row r="190">
      <c r="D190" s="10" t="str">
        <f t="shared" si="1"/>
        <v/>
      </c>
    </row>
    <row r="191">
      <c r="D191" s="10" t="str">
        <f t="shared" si="1"/>
        <v/>
      </c>
    </row>
    <row r="192">
      <c r="D192" s="10" t="str">
        <f t="shared" si="1"/>
        <v/>
      </c>
    </row>
    <row r="193">
      <c r="D193" s="10" t="str">
        <f t="shared" si="1"/>
        <v/>
      </c>
    </row>
    <row r="194">
      <c r="D194" s="10" t="str">
        <f t="shared" si="1"/>
        <v/>
      </c>
    </row>
    <row r="195">
      <c r="D195" s="10" t="str">
        <f t="shared" si="1"/>
        <v/>
      </c>
    </row>
    <row r="196">
      <c r="D196" s="10" t="str">
        <f t="shared" si="1"/>
        <v/>
      </c>
    </row>
    <row r="197">
      <c r="D197" s="10" t="str">
        <f t="shared" si="1"/>
        <v/>
      </c>
    </row>
    <row r="198">
      <c r="D198" s="10" t="str">
        <f t="shared" si="1"/>
        <v/>
      </c>
    </row>
    <row r="199">
      <c r="D199" s="10" t="str">
        <f t="shared" si="1"/>
        <v/>
      </c>
    </row>
    <row r="200">
      <c r="D200" s="10" t="str">
        <f t="shared" si="1"/>
        <v/>
      </c>
    </row>
    <row r="201">
      <c r="D201" s="10" t="str">
        <f t="shared" si="1"/>
        <v/>
      </c>
    </row>
    <row r="202">
      <c r="D202" s="10" t="str">
        <f t="shared" si="1"/>
        <v/>
      </c>
    </row>
    <row r="203">
      <c r="D203" s="10" t="str">
        <f t="shared" si="1"/>
        <v/>
      </c>
    </row>
    <row r="204">
      <c r="D204" s="10" t="str">
        <f t="shared" si="1"/>
        <v/>
      </c>
    </row>
    <row r="205">
      <c r="D205" s="10" t="str">
        <f t="shared" si="1"/>
        <v/>
      </c>
    </row>
    <row r="206">
      <c r="D206" s="10" t="str">
        <f t="shared" si="1"/>
        <v/>
      </c>
    </row>
    <row r="207">
      <c r="D207" s="10" t="str">
        <f t="shared" si="1"/>
        <v/>
      </c>
    </row>
    <row r="208">
      <c r="D208" s="10" t="str">
        <f t="shared" si="1"/>
        <v/>
      </c>
    </row>
    <row r="209">
      <c r="D209" s="10" t="str">
        <f t="shared" si="1"/>
        <v/>
      </c>
    </row>
    <row r="210">
      <c r="D210" s="10" t="str">
        <f t="shared" si="1"/>
        <v/>
      </c>
    </row>
    <row r="211">
      <c r="D211" s="10" t="str">
        <f t="shared" si="1"/>
        <v/>
      </c>
    </row>
    <row r="212">
      <c r="D212" s="10" t="str">
        <f t="shared" si="1"/>
        <v/>
      </c>
    </row>
    <row r="213">
      <c r="D213" s="10" t="str">
        <f t="shared" si="1"/>
        <v/>
      </c>
    </row>
    <row r="214">
      <c r="D214" s="10" t="str">
        <f t="shared" si="1"/>
        <v/>
      </c>
    </row>
    <row r="215">
      <c r="D215" s="10" t="str">
        <f t="shared" si="1"/>
        <v/>
      </c>
    </row>
    <row r="216">
      <c r="D216" s="10" t="str">
        <f t="shared" si="1"/>
        <v/>
      </c>
    </row>
    <row r="217">
      <c r="D217" s="10" t="str">
        <f t="shared" si="1"/>
        <v/>
      </c>
    </row>
    <row r="218">
      <c r="D218" s="10" t="str">
        <f t="shared" si="1"/>
        <v/>
      </c>
    </row>
    <row r="219">
      <c r="D219" s="10" t="str">
        <f t="shared" si="1"/>
        <v/>
      </c>
    </row>
    <row r="220">
      <c r="D220" s="10" t="str">
        <f t="shared" si="1"/>
        <v/>
      </c>
    </row>
    <row r="221">
      <c r="D221" s="10" t="str">
        <f t="shared" si="1"/>
        <v/>
      </c>
    </row>
    <row r="222">
      <c r="D222" s="10" t="str">
        <f t="shared" si="1"/>
        <v/>
      </c>
    </row>
    <row r="223">
      <c r="D223" s="10" t="str">
        <f t="shared" si="1"/>
        <v/>
      </c>
    </row>
    <row r="224">
      <c r="D224" s="10" t="str">
        <f t="shared" si="1"/>
        <v/>
      </c>
    </row>
    <row r="225">
      <c r="D225" s="10" t="str">
        <f t="shared" si="1"/>
        <v/>
      </c>
    </row>
    <row r="226">
      <c r="D226" s="10" t="str">
        <f t="shared" si="1"/>
        <v/>
      </c>
    </row>
    <row r="227">
      <c r="D227" s="10" t="str">
        <f t="shared" si="1"/>
        <v/>
      </c>
    </row>
    <row r="228">
      <c r="D228" s="10" t="str">
        <f t="shared" si="1"/>
        <v/>
      </c>
    </row>
    <row r="229">
      <c r="D229" s="10" t="str">
        <f t="shared" si="1"/>
        <v/>
      </c>
    </row>
    <row r="230">
      <c r="D230" s="10" t="str">
        <f t="shared" si="1"/>
        <v/>
      </c>
    </row>
    <row r="231">
      <c r="D231" s="10" t="str">
        <f t="shared" si="1"/>
        <v/>
      </c>
    </row>
    <row r="232">
      <c r="D232" s="10" t="str">
        <f t="shared" si="1"/>
        <v/>
      </c>
    </row>
    <row r="233">
      <c r="D233" s="10" t="str">
        <f t="shared" si="1"/>
        <v/>
      </c>
    </row>
    <row r="234">
      <c r="D234" s="10" t="str">
        <f t="shared" si="1"/>
        <v/>
      </c>
    </row>
    <row r="235">
      <c r="D235" s="10" t="str">
        <f t="shared" si="1"/>
        <v/>
      </c>
    </row>
    <row r="236">
      <c r="D236" s="10" t="str">
        <f t="shared" si="1"/>
        <v/>
      </c>
    </row>
    <row r="237">
      <c r="D237" s="10" t="str">
        <f t="shared" si="1"/>
        <v/>
      </c>
    </row>
    <row r="238">
      <c r="D238" s="10" t="str">
        <f t="shared" si="1"/>
        <v/>
      </c>
    </row>
    <row r="239">
      <c r="D239" s="10" t="str">
        <f t="shared" si="1"/>
        <v/>
      </c>
    </row>
    <row r="240">
      <c r="D240" s="10" t="str">
        <f t="shared" si="1"/>
        <v/>
      </c>
    </row>
    <row r="241">
      <c r="D241" s="10" t="str">
        <f t="shared" si="1"/>
        <v/>
      </c>
    </row>
    <row r="242">
      <c r="D242" s="10" t="str">
        <f t="shared" si="1"/>
        <v/>
      </c>
    </row>
    <row r="243">
      <c r="D243" s="10" t="str">
        <f t="shared" si="1"/>
        <v/>
      </c>
    </row>
    <row r="244">
      <c r="D244" s="10" t="str">
        <f t="shared" si="1"/>
        <v/>
      </c>
    </row>
    <row r="245">
      <c r="D245" s="10" t="str">
        <f t="shared" si="1"/>
        <v/>
      </c>
    </row>
    <row r="246">
      <c r="D246" s="10" t="str">
        <f t="shared" si="1"/>
        <v/>
      </c>
    </row>
    <row r="247">
      <c r="D247" s="10" t="str">
        <f t="shared" si="1"/>
        <v/>
      </c>
    </row>
    <row r="248">
      <c r="D248" s="10" t="str">
        <f t="shared" si="1"/>
        <v/>
      </c>
    </row>
    <row r="249">
      <c r="D249" s="10" t="str">
        <f t="shared" si="1"/>
        <v/>
      </c>
    </row>
    <row r="250">
      <c r="D250" s="10" t="str">
        <f t="shared" si="1"/>
        <v/>
      </c>
    </row>
    <row r="251">
      <c r="D251" s="10" t="str">
        <f t="shared" si="1"/>
        <v/>
      </c>
    </row>
    <row r="252">
      <c r="D252" s="10" t="str">
        <f t="shared" si="1"/>
        <v/>
      </c>
    </row>
    <row r="253">
      <c r="D253" s="10" t="str">
        <f t="shared" si="1"/>
        <v/>
      </c>
    </row>
    <row r="254">
      <c r="D254" s="10" t="str">
        <f t="shared" si="1"/>
        <v/>
      </c>
    </row>
    <row r="255">
      <c r="D255" s="10" t="str">
        <f t="shared" si="1"/>
        <v/>
      </c>
    </row>
    <row r="256">
      <c r="D256" s="10" t="str">
        <f t="shared" si="1"/>
        <v/>
      </c>
    </row>
    <row r="257">
      <c r="D257" s="10" t="str">
        <f t="shared" si="1"/>
        <v/>
      </c>
    </row>
    <row r="258">
      <c r="D258" s="10" t="str">
        <f t="shared" si="1"/>
        <v/>
      </c>
    </row>
    <row r="259">
      <c r="D259" s="10" t="str">
        <f t="shared" si="1"/>
        <v/>
      </c>
    </row>
    <row r="260">
      <c r="D260" s="10" t="str">
        <f t="shared" si="1"/>
        <v/>
      </c>
    </row>
    <row r="261">
      <c r="D261" s="10" t="str">
        <f t="shared" si="1"/>
        <v/>
      </c>
    </row>
    <row r="262">
      <c r="D262" s="10" t="str">
        <f t="shared" si="1"/>
        <v/>
      </c>
    </row>
    <row r="263">
      <c r="D263" s="10" t="str">
        <f t="shared" si="1"/>
        <v/>
      </c>
    </row>
    <row r="264">
      <c r="D264" s="10" t="str">
        <f t="shared" si="1"/>
        <v/>
      </c>
    </row>
    <row r="265">
      <c r="D265" s="10" t="str">
        <f t="shared" si="1"/>
        <v/>
      </c>
    </row>
    <row r="266">
      <c r="D266" s="10" t="str">
        <f t="shared" si="1"/>
        <v/>
      </c>
    </row>
    <row r="267">
      <c r="D267" s="10" t="str">
        <f t="shared" si="1"/>
        <v/>
      </c>
    </row>
    <row r="268">
      <c r="D268" s="10" t="str">
        <f t="shared" si="1"/>
        <v/>
      </c>
    </row>
    <row r="269">
      <c r="D269" s="10" t="str">
        <f t="shared" si="1"/>
        <v/>
      </c>
    </row>
    <row r="270">
      <c r="D270" s="10" t="str">
        <f t="shared" si="1"/>
        <v/>
      </c>
    </row>
    <row r="271">
      <c r="D271" s="10" t="str">
        <f t="shared" si="1"/>
        <v/>
      </c>
    </row>
    <row r="272">
      <c r="D272" s="10" t="str">
        <f t="shared" si="1"/>
        <v/>
      </c>
    </row>
    <row r="273">
      <c r="D273" s="10" t="str">
        <f t="shared" si="1"/>
        <v/>
      </c>
    </row>
    <row r="274">
      <c r="D274" s="10" t="str">
        <f t="shared" si="1"/>
        <v/>
      </c>
    </row>
    <row r="275">
      <c r="D275" s="10" t="str">
        <f t="shared" si="1"/>
        <v/>
      </c>
    </row>
    <row r="276">
      <c r="D276" s="10" t="str">
        <f t="shared" si="1"/>
        <v/>
      </c>
    </row>
    <row r="277">
      <c r="D277" s="10" t="str">
        <f t="shared" si="1"/>
        <v/>
      </c>
    </row>
    <row r="278">
      <c r="D278" s="10" t="str">
        <f t="shared" si="1"/>
        <v/>
      </c>
    </row>
    <row r="279">
      <c r="D279" s="10" t="str">
        <f t="shared" si="1"/>
        <v/>
      </c>
    </row>
    <row r="280">
      <c r="D280" s="10" t="str">
        <f t="shared" si="1"/>
        <v/>
      </c>
    </row>
    <row r="281">
      <c r="D281" s="10" t="str">
        <f t="shared" si="1"/>
        <v/>
      </c>
    </row>
    <row r="282">
      <c r="D282" s="10" t="str">
        <f t="shared" si="1"/>
        <v/>
      </c>
    </row>
    <row r="283">
      <c r="D283" s="10" t="str">
        <f t="shared" si="1"/>
        <v/>
      </c>
    </row>
    <row r="284">
      <c r="D284" s="10" t="str">
        <f t="shared" si="1"/>
        <v/>
      </c>
    </row>
    <row r="285">
      <c r="D285" s="10" t="str">
        <f t="shared" si="1"/>
        <v/>
      </c>
    </row>
    <row r="286">
      <c r="D286" s="10" t="str">
        <f t="shared" si="1"/>
        <v/>
      </c>
    </row>
    <row r="287">
      <c r="D287" s="10" t="str">
        <f t="shared" si="1"/>
        <v/>
      </c>
    </row>
    <row r="288">
      <c r="D288" s="10" t="str">
        <f t="shared" si="1"/>
        <v/>
      </c>
    </row>
    <row r="289">
      <c r="D289" s="10" t="str">
        <f t="shared" si="1"/>
        <v/>
      </c>
    </row>
    <row r="290">
      <c r="D290" s="10" t="str">
        <f t="shared" si="1"/>
        <v/>
      </c>
    </row>
    <row r="291">
      <c r="D291" s="10" t="str">
        <f t="shared" si="1"/>
        <v/>
      </c>
    </row>
    <row r="292">
      <c r="D292" s="10" t="str">
        <f t="shared" si="1"/>
        <v/>
      </c>
    </row>
    <row r="293">
      <c r="D293" s="10" t="str">
        <f t="shared" si="1"/>
        <v/>
      </c>
    </row>
    <row r="294">
      <c r="D294" s="10" t="str">
        <f t="shared" si="1"/>
        <v/>
      </c>
    </row>
    <row r="295">
      <c r="D295" s="10" t="str">
        <f t="shared" si="1"/>
        <v/>
      </c>
    </row>
    <row r="296">
      <c r="D296" s="10" t="str">
        <f t="shared" si="1"/>
        <v/>
      </c>
    </row>
    <row r="297">
      <c r="D297" s="10" t="str">
        <f t="shared" si="1"/>
        <v/>
      </c>
    </row>
    <row r="298">
      <c r="D298" s="10" t="str">
        <f t="shared" si="1"/>
        <v/>
      </c>
    </row>
    <row r="299">
      <c r="D299" s="10" t="str">
        <f t="shared" si="1"/>
        <v/>
      </c>
    </row>
    <row r="300">
      <c r="D300" s="10" t="str">
        <f t="shared" si="1"/>
        <v/>
      </c>
    </row>
    <row r="301">
      <c r="D301" s="10" t="str">
        <f t="shared" si="1"/>
        <v/>
      </c>
    </row>
    <row r="302">
      <c r="D302" s="10" t="str">
        <f t="shared" si="1"/>
        <v/>
      </c>
    </row>
    <row r="303">
      <c r="D303" s="10" t="str">
        <f t="shared" si="1"/>
        <v/>
      </c>
    </row>
    <row r="304">
      <c r="D304" s="10" t="str">
        <f t="shared" si="1"/>
        <v/>
      </c>
    </row>
    <row r="305">
      <c r="D305" s="10" t="str">
        <f t="shared" si="1"/>
        <v/>
      </c>
    </row>
    <row r="306">
      <c r="D306" s="10" t="str">
        <f t="shared" si="1"/>
        <v/>
      </c>
    </row>
    <row r="307">
      <c r="D307" s="10" t="str">
        <f t="shared" si="1"/>
        <v/>
      </c>
    </row>
    <row r="308">
      <c r="D308" s="10" t="str">
        <f t="shared" si="1"/>
        <v/>
      </c>
    </row>
    <row r="309">
      <c r="D309" s="10" t="str">
        <f t="shared" si="1"/>
        <v/>
      </c>
    </row>
    <row r="310">
      <c r="D310" s="10" t="str">
        <f t="shared" si="1"/>
        <v/>
      </c>
    </row>
    <row r="311">
      <c r="D311" s="10" t="str">
        <f t="shared" si="1"/>
        <v/>
      </c>
    </row>
    <row r="312">
      <c r="D312" s="10" t="str">
        <f t="shared" si="1"/>
        <v/>
      </c>
    </row>
    <row r="313">
      <c r="D313" s="10" t="str">
        <f t="shared" si="1"/>
        <v/>
      </c>
    </row>
    <row r="314">
      <c r="D314" s="10" t="str">
        <f t="shared" si="1"/>
        <v/>
      </c>
    </row>
    <row r="315">
      <c r="D315" s="10" t="str">
        <f t="shared" si="1"/>
        <v/>
      </c>
    </row>
    <row r="316">
      <c r="D316" s="10" t="str">
        <f t="shared" si="1"/>
        <v/>
      </c>
    </row>
    <row r="317">
      <c r="D317" s="10" t="str">
        <f t="shared" si="1"/>
        <v/>
      </c>
    </row>
    <row r="318">
      <c r="D318" s="10" t="str">
        <f t="shared" si="1"/>
        <v/>
      </c>
    </row>
    <row r="319">
      <c r="D319" s="10" t="str">
        <f t="shared" si="1"/>
        <v/>
      </c>
    </row>
    <row r="320">
      <c r="D320" s="10" t="str">
        <f t="shared" si="1"/>
        <v/>
      </c>
    </row>
    <row r="321">
      <c r="D321" s="10" t="str">
        <f t="shared" si="1"/>
        <v/>
      </c>
    </row>
    <row r="322">
      <c r="D322" s="10" t="str">
        <f t="shared" si="1"/>
        <v/>
      </c>
    </row>
    <row r="323">
      <c r="D323" s="10" t="str">
        <f t="shared" si="1"/>
        <v/>
      </c>
    </row>
    <row r="324">
      <c r="D324" s="10" t="str">
        <f t="shared" si="1"/>
        <v/>
      </c>
    </row>
    <row r="325">
      <c r="D325" s="10" t="str">
        <f t="shared" si="1"/>
        <v/>
      </c>
    </row>
    <row r="326">
      <c r="D326" s="10" t="str">
        <f t="shared" si="1"/>
        <v/>
      </c>
    </row>
    <row r="327">
      <c r="D327" s="10" t="str">
        <f t="shared" si="1"/>
        <v/>
      </c>
    </row>
    <row r="328">
      <c r="D328" s="10" t="str">
        <f t="shared" si="1"/>
        <v/>
      </c>
    </row>
    <row r="329">
      <c r="D329" s="10" t="str">
        <f t="shared" si="1"/>
        <v/>
      </c>
    </row>
    <row r="330">
      <c r="D330" s="10" t="str">
        <f t="shared" si="1"/>
        <v/>
      </c>
    </row>
    <row r="331">
      <c r="D331" s="10" t="str">
        <f t="shared" si="1"/>
        <v/>
      </c>
    </row>
    <row r="332">
      <c r="D332" s="10" t="str">
        <f t="shared" si="1"/>
        <v/>
      </c>
    </row>
    <row r="333">
      <c r="D333" s="10" t="str">
        <f t="shared" si="1"/>
        <v/>
      </c>
    </row>
    <row r="334">
      <c r="D334" s="10" t="str">
        <f t="shared" si="1"/>
        <v/>
      </c>
    </row>
    <row r="335">
      <c r="D335" s="10" t="str">
        <f t="shared" si="1"/>
        <v/>
      </c>
    </row>
    <row r="336">
      <c r="D336" s="10" t="str">
        <f t="shared" si="1"/>
        <v/>
      </c>
    </row>
    <row r="337">
      <c r="D337" s="10" t="str">
        <f t="shared" si="1"/>
        <v/>
      </c>
    </row>
    <row r="338">
      <c r="D338" s="10" t="str">
        <f t="shared" si="1"/>
        <v/>
      </c>
    </row>
    <row r="339">
      <c r="D339" s="10" t="str">
        <f t="shared" si="1"/>
        <v/>
      </c>
    </row>
    <row r="340">
      <c r="D340" s="10" t="str">
        <f t="shared" si="1"/>
        <v/>
      </c>
    </row>
    <row r="341">
      <c r="D341" s="10" t="str">
        <f t="shared" si="1"/>
        <v/>
      </c>
    </row>
    <row r="342">
      <c r="D342" s="10" t="str">
        <f t="shared" si="1"/>
        <v/>
      </c>
    </row>
    <row r="343">
      <c r="D343" s="10" t="str">
        <f t="shared" si="1"/>
        <v/>
      </c>
    </row>
    <row r="344">
      <c r="D344" s="10" t="str">
        <f t="shared" si="1"/>
        <v/>
      </c>
    </row>
    <row r="345">
      <c r="D345" s="10" t="str">
        <f t="shared" si="1"/>
        <v/>
      </c>
    </row>
    <row r="346">
      <c r="D346" s="10" t="str">
        <f t="shared" si="1"/>
        <v/>
      </c>
    </row>
    <row r="347">
      <c r="D347" s="10" t="str">
        <f t="shared" si="1"/>
        <v/>
      </c>
    </row>
    <row r="348">
      <c r="D348" s="10" t="str">
        <f t="shared" si="1"/>
        <v/>
      </c>
    </row>
    <row r="349">
      <c r="D349" s="10" t="str">
        <f t="shared" si="1"/>
        <v/>
      </c>
    </row>
    <row r="350">
      <c r="D350" s="10" t="str">
        <f t="shared" si="1"/>
        <v/>
      </c>
    </row>
    <row r="351">
      <c r="D351" s="10" t="str">
        <f t="shared" si="1"/>
        <v/>
      </c>
    </row>
    <row r="352">
      <c r="D352" s="10" t="str">
        <f t="shared" si="1"/>
        <v/>
      </c>
    </row>
    <row r="353">
      <c r="D353" s="10" t="str">
        <f t="shared" si="1"/>
        <v/>
      </c>
    </row>
    <row r="354">
      <c r="D354" s="10" t="str">
        <f t="shared" si="1"/>
        <v/>
      </c>
    </row>
    <row r="355">
      <c r="D355" s="10" t="str">
        <f t="shared" si="1"/>
        <v/>
      </c>
    </row>
    <row r="356">
      <c r="D356" s="10" t="str">
        <f t="shared" si="1"/>
        <v/>
      </c>
    </row>
    <row r="357">
      <c r="D357" s="10" t="str">
        <f t="shared" si="1"/>
        <v/>
      </c>
    </row>
    <row r="358">
      <c r="D358" s="10" t="str">
        <f t="shared" si="1"/>
        <v/>
      </c>
    </row>
    <row r="359">
      <c r="D359" s="10" t="str">
        <f t="shared" si="1"/>
        <v/>
      </c>
    </row>
    <row r="360">
      <c r="D360" s="10" t="str">
        <f t="shared" si="1"/>
        <v/>
      </c>
    </row>
    <row r="361">
      <c r="D361" s="10" t="str">
        <f t="shared" si="1"/>
        <v/>
      </c>
    </row>
    <row r="362">
      <c r="D362" s="10" t="str">
        <f t="shared" si="1"/>
        <v/>
      </c>
    </row>
    <row r="363">
      <c r="D363" s="10" t="str">
        <f t="shared" si="1"/>
        <v/>
      </c>
    </row>
    <row r="364">
      <c r="D364" s="10" t="str">
        <f t="shared" si="1"/>
        <v/>
      </c>
    </row>
    <row r="365">
      <c r="D365" s="10" t="str">
        <f t="shared" si="1"/>
        <v/>
      </c>
    </row>
    <row r="366">
      <c r="D366" s="10" t="str">
        <f t="shared" si="1"/>
        <v/>
      </c>
    </row>
    <row r="367">
      <c r="D367" s="10" t="str">
        <f t="shared" si="1"/>
        <v/>
      </c>
    </row>
    <row r="368">
      <c r="D368" s="10" t="str">
        <f t="shared" si="1"/>
        <v/>
      </c>
    </row>
    <row r="369">
      <c r="D369" s="10" t="str">
        <f t="shared" si="1"/>
        <v/>
      </c>
    </row>
    <row r="370">
      <c r="D370" s="10" t="str">
        <f t="shared" si="1"/>
        <v/>
      </c>
    </row>
    <row r="371">
      <c r="D371" s="10" t="str">
        <f t="shared" si="1"/>
        <v/>
      </c>
    </row>
    <row r="372">
      <c r="D372" s="10" t="str">
        <f t="shared" si="1"/>
        <v/>
      </c>
    </row>
    <row r="373">
      <c r="D373" s="10" t="str">
        <f t="shared" si="1"/>
        <v/>
      </c>
    </row>
    <row r="374">
      <c r="D374" s="10" t="str">
        <f t="shared" si="1"/>
        <v/>
      </c>
    </row>
    <row r="375">
      <c r="D375" s="10" t="str">
        <f t="shared" si="1"/>
        <v/>
      </c>
    </row>
    <row r="376">
      <c r="D376" s="10" t="str">
        <f t="shared" si="1"/>
        <v/>
      </c>
    </row>
    <row r="377">
      <c r="D377" s="10" t="str">
        <f t="shared" si="1"/>
        <v/>
      </c>
    </row>
    <row r="378">
      <c r="D378" s="10" t="str">
        <f t="shared" si="1"/>
        <v/>
      </c>
    </row>
    <row r="379">
      <c r="D379" s="10" t="str">
        <f t="shared" si="1"/>
        <v/>
      </c>
    </row>
    <row r="380">
      <c r="D380" s="10" t="str">
        <f t="shared" si="1"/>
        <v/>
      </c>
    </row>
    <row r="381">
      <c r="D381" s="10" t="str">
        <f t="shared" si="1"/>
        <v/>
      </c>
    </row>
    <row r="382">
      <c r="D382" s="10" t="str">
        <f t="shared" si="1"/>
        <v/>
      </c>
    </row>
    <row r="383">
      <c r="D383" s="10" t="str">
        <f t="shared" si="1"/>
        <v/>
      </c>
    </row>
    <row r="384">
      <c r="D384" s="10" t="str">
        <f t="shared" si="1"/>
        <v/>
      </c>
    </row>
    <row r="385">
      <c r="D385" s="10" t="str">
        <f t="shared" si="1"/>
        <v/>
      </c>
    </row>
    <row r="386">
      <c r="D386" s="10" t="str">
        <f t="shared" si="1"/>
        <v/>
      </c>
    </row>
    <row r="387">
      <c r="D387" s="10" t="str">
        <f t="shared" si="1"/>
        <v/>
      </c>
    </row>
    <row r="388">
      <c r="D388" s="10" t="str">
        <f t="shared" si="1"/>
        <v/>
      </c>
    </row>
    <row r="389">
      <c r="D389" s="10" t="str">
        <f t="shared" si="1"/>
        <v/>
      </c>
    </row>
    <row r="390">
      <c r="D390" s="10" t="str">
        <f t="shared" si="1"/>
        <v/>
      </c>
    </row>
    <row r="391">
      <c r="D391" s="10" t="str">
        <f t="shared" si="1"/>
        <v/>
      </c>
    </row>
    <row r="392">
      <c r="D392" s="10" t="str">
        <f t="shared" si="1"/>
        <v/>
      </c>
    </row>
    <row r="393">
      <c r="D393" s="10" t="str">
        <f t="shared" si="1"/>
        <v/>
      </c>
    </row>
    <row r="394">
      <c r="D394" s="10" t="str">
        <f t="shared" si="1"/>
        <v/>
      </c>
    </row>
    <row r="395">
      <c r="D395" s="10" t="str">
        <f t="shared" si="1"/>
        <v/>
      </c>
    </row>
    <row r="396">
      <c r="D396" s="10" t="str">
        <f t="shared" si="1"/>
        <v/>
      </c>
    </row>
    <row r="397">
      <c r="D397" s="10" t="str">
        <f t="shared" si="1"/>
        <v/>
      </c>
    </row>
    <row r="398">
      <c r="D398" s="10" t="str">
        <f t="shared" si="1"/>
        <v/>
      </c>
    </row>
    <row r="399">
      <c r="D399" s="10" t="str">
        <f t="shared" si="1"/>
        <v/>
      </c>
    </row>
    <row r="400">
      <c r="D400" s="10" t="str">
        <f t="shared" si="1"/>
        <v/>
      </c>
    </row>
    <row r="401">
      <c r="D401" s="10" t="str">
        <f t="shared" si="1"/>
        <v/>
      </c>
    </row>
    <row r="402">
      <c r="D402" s="10" t="str">
        <f t="shared" si="1"/>
        <v/>
      </c>
    </row>
    <row r="403">
      <c r="D403" s="10" t="str">
        <f t="shared" si="1"/>
        <v/>
      </c>
    </row>
    <row r="404">
      <c r="D404" s="10" t="str">
        <f t="shared" si="1"/>
        <v/>
      </c>
    </row>
    <row r="405">
      <c r="D405" s="10" t="str">
        <f t="shared" si="1"/>
        <v/>
      </c>
    </row>
    <row r="406">
      <c r="D406" s="10" t="str">
        <f t="shared" si="1"/>
        <v/>
      </c>
    </row>
    <row r="407">
      <c r="D407" s="10" t="str">
        <f t="shared" si="1"/>
        <v/>
      </c>
    </row>
    <row r="408">
      <c r="D408" s="10" t="str">
        <f t="shared" si="1"/>
        <v/>
      </c>
    </row>
    <row r="409">
      <c r="D409" s="10" t="str">
        <f t="shared" si="1"/>
        <v/>
      </c>
    </row>
    <row r="410">
      <c r="D410" s="10" t="str">
        <f t="shared" si="1"/>
        <v/>
      </c>
    </row>
    <row r="411">
      <c r="D411" s="10" t="str">
        <f t="shared" si="1"/>
        <v/>
      </c>
    </row>
    <row r="412">
      <c r="D412" s="10" t="str">
        <f t="shared" si="1"/>
        <v/>
      </c>
    </row>
    <row r="413">
      <c r="D413" s="10" t="str">
        <f t="shared" si="1"/>
        <v/>
      </c>
    </row>
    <row r="414">
      <c r="D414" s="10" t="str">
        <f t="shared" si="1"/>
        <v/>
      </c>
    </row>
    <row r="415">
      <c r="D415" s="10" t="str">
        <f t="shared" si="1"/>
        <v/>
      </c>
    </row>
    <row r="416">
      <c r="D416" s="10" t="str">
        <f t="shared" si="1"/>
        <v/>
      </c>
    </row>
    <row r="417">
      <c r="D417" s="10" t="str">
        <f t="shared" si="1"/>
        <v/>
      </c>
    </row>
    <row r="418">
      <c r="D418" s="10" t="str">
        <f t="shared" si="1"/>
        <v/>
      </c>
    </row>
    <row r="419">
      <c r="D419" s="10" t="str">
        <f t="shared" si="1"/>
        <v/>
      </c>
    </row>
    <row r="420">
      <c r="D420" s="10" t="str">
        <f t="shared" si="1"/>
        <v/>
      </c>
    </row>
    <row r="421">
      <c r="D421" s="10" t="str">
        <f t="shared" si="1"/>
        <v/>
      </c>
    </row>
    <row r="422">
      <c r="D422" s="10" t="str">
        <f t="shared" si="1"/>
        <v/>
      </c>
    </row>
    <row r="423">
      <c r="D423" s="10" t="str">
        <f t="shared" si="1"/>
        <v/>
      </c>
    </row>
    <row r="424">
      <c r="D424" s="10" t="str">
        <f t="shared" si="1"/>
        <v/>
      </c>
    </row>
    <row r="425">
      <c r="D425" s="10" t="str">
        <f t="shared" si="1"/>
        <v/>
      </c>
    </row>
    <row r="426">
      <c r="D426" s="10" t="str">
        <f t="shared" si="1"/>
        <v/>
      </c>
    </row>
    <row r="427">
      <c r="D427" s="10" t="str">
        <f t="shared" si="1"/>
        <v/>
      </c>
    </row>
    <row r="428">
      <c r="D428" s="10" t="str">
        <f t="shared" si="1"/>
        <v/>
      </c>
    </row>
    <row r="429">
      <c r="D429" s="10" t="str">
        <f t="shared" si="1"/>
        <v/>
      </c>
    </row>
    <row r="430">
      <c r="D430" s="10" t="str">
        <f t="shared" si="1"/>
        <v/>
      </c>
    </row>
    <row r="431">
      <c r="D431" s="10" t="str">
        <f t="shared" si="1"/>
        <v/>
      </c>
    </row>
    <row r="432">
      <c r="D432" s="10" t="str">
        <f t="shared" si="1"/>
        <v/>
      </c>
    </row>
    <row r="433">
      <c r="D433" s="10" t="str">
        <f t="shared" si="1"/>
        <v/>
      </c>
    </row>
    <row r="434">
      <c r="D434" s="10" t="str">
        <f t="shared" si="1"/>
        <v/>
      </c>
    </row>
    <row r="435">
      <c r="D435" s="10" t="str">
        <f t="shared" si="1"/>
        <v/>
      </c>
    </row>
    <row r="436">
      <c r="D436" s="10" t="str">
        <f t="shared" si="1"/>
        <v/>
      </c>
    </row>
    <row r="437">
      <c r="D437" s="10" t="str">
        <f t="shared" si="1"/>
        <v/>
      </c>
    </row>
    <row r="438">
      <c r="D438" s="10" t="str">
        <f t="shared" si="1"/>
        <v/>
      </c>
    </row>
    <row r="439">
      <c r="D439" s="10" t="str">
        <f t="shared" si="1"/>
        <v/>
      </c>
    </row>
    <row r="440">
      <c r="D440" s="10" t="str">
        <f t="shared" si="1"/>
        <v/>
      </c>
    </row>
    <row r="441">
      <c r="D441" s="10" t="str">
        <f t="shared" si="1"/>
        <v/>
      </c>
    </row>
    <row r="442">
      <c r="D442" s="10" t="str">
        <f t="shared" si="1"/>
        <v/>
      </c>
    </row>
    <row r="443">
      <c r="D443" s="10" t="str">
        <f t="shared" si="1"/>
        <v/>
      </c>
    </row>
    <row r="444">
      <c r="D444" s="10" t="str">
        <f t="shared" si="1"/>
        <v/>
      </c>
    </row>
    <row r="445">
      <c r="D445" s="10" t="str">
        <f t="shared" si="1"/>
        <v/>
      </c>
    </row>
    <row r="446">
      <c r="D446" s="10" t="str">
        <f t="shared" si="1"/>
        <v/>
      </c>
    </row>
    <row r="447">
      <c r="D447" s="10" t="str">
        <f t="shared" si="1"/>
        <v/>
      </c>
    </row>
    <row r="448">
      <c r="D448" s="10" t="str">
        <f t="shared" si="1"/>
        <v/>
      </c>
    </row>
    <row r="449">
      <c r="D449" s="10" t="str">
        <f t="shared" si="1"/>
        <v/>
      </c>
    </row>
    <row r="450">
      <c r="D450" s="10" t="str">
        <f t="shared" si="1"/>
        <v/>
      </c>
    </row>
    <row r="451">
      <c r="D451" s="10" t="str">
        <f t="shared" si="1"/>
        <v/>
      </c>
    </row>
    <row r="452">
      <c r="D452" s="10" t="str">
        <f t="shared" si="1"/>
        <v/>
      </c>
    </row>
    <row r="453">
      <c r="D453" s="10" t="str">
        <f t="shared" si="1"/>
        <v/>
      </c>
    </row>
    <row r="454">
      <c r="D454" s="10" t="str">
        <f t="shared" si="1"/>
        <v/>
      </c>
    </row>
    <row r="455">
      <c r="D455" s="10" t="str">
        <f t="shared" si="1"/>
        <v/>
      </c>
    </row>
    <row r="456">
      <c r="D456" s="10" t="str">
        <f t="shared" si="1"/>
        <v/>
      </c>
    </row>
    <row r="457">
      <c r="D457" s="10" t="str">
        <f t="shared" si="1"/>
        <v/>
      </c>
    </row>
    <row r="458">
      <c r="D458" s="10" t="str">
        <f t="shared" si="1"/>
        <v/>
      </c>
    </row>
    <row r="459">
      <c r="D459" s="10" t="str">
        <f t="shared" si="1"/>
        <v/>
      </c>
    </row>
    <row r="460">
      <c r="D460" s="10" t="str">
        <f t="shared" si="1"/>
        <v/>
      </c>
    </row>
    <row r="461">
      <c r="D461" s="10" t="str">
        <f t="shared" si="1"/>
        <v/>
      </c>
    </row>
    <row r="462">
      <c r="D462" s="10" t="str">
        <f t="shared" si="1"/>
        <v/>
      </c>
    </row>
    <row r="463">
      <c r="D463" s="10" t="str">
        <f t="shared" si="1"/>
        <v/>
      </c>
    </row>
    <row r="464">
      <c r="D464" s="10" t="str">
        <f t="shared" si="1"/>
        <v/>
      </c>
    </row>
    <row r="465">
      <c r="D465" s="10" t="str">
        <f t="shared" si="1"/>
        <v/>
      </c>
    </row>
    <row r="466">
      <c r="D466" s="10" t="str">
        <f t="shared" si="1"/>
        <v/>
      </c>
    </row>
    <row r="467">
      <c r="D467" s="10" t="str">
        <f t="shared" si="1"/>
        <v/>
      </c>
    </row>
    <row r="468">
      <c r="D468" s="10" t="str">
        <f t="shared" si="1"/>
        <v/>
      </c>
    </row>
    <row r="469">
      <c r="D469" s="10" t="str">
        <f t="shared" si="1"/>
        <v/>
      </c>
    </row>
    <row r="470">
      <c r="D470" s="10" t="str">
        <f t="shared" si="1"/>
        <v/>
      </c>
    </row>
    <row r="471">
      <c r="D471" s="10" t="str">
        <f t="shared" si="1"/>
        <v/>
      </c>
    </row>
    <row r="472">
      <c r="D472" s="10" t="str">
        <f t="shared" si="1"/>
        <v/>
      </c>
    </row>
    <row r="473">
      <c r="D473" s="10" t="str">
        <f t="shared" si="1"/>
        <v/>
      </c>
    </row>
    <row r="474">
      <c r="D474" s="10" t="str">
        <f t="shared" si="1"/>
        <v/>
      </c>
    </row>
    <row r="475">
      <c r="D475" s="10" t="str">
        <f t="shared" si="1"/>
        <v/>
      </c>
    </row>
    <row r="476">
      <c r="D476" s="10" t="str">
        <f t="shared" si="1"/>
        <v/>
      </c>
    </row>
    <row r="477">
      <c r="D477" s="10" t="str">
        <f t="shared" si="1"/>
        <v/>
      </c>
    </row>
    <row r="478">
      <c r="D478" s="10" t="str">
        <f t="shared" si="1"/>
        <v/>
      </c>
    </row>
    <row r="479">
      <c r="D479" s="10" t="str">
        <f t="shared" si="1"/>
        <v/>
      </c>
    </row>
    <row r="480">
      <c r="D480" s="10" t="str">
        <f t="shared" si="1"/>
        <v/>
      </c>
    </row>
    <row r="481">
      <c r="D481" s="10" t="str">
        <f t="shared" si="1"/>
        <v/>
      </c>
    </row>
    <row r="482">
      <c r="D482" s="10" t="str">
        <f t="shared" si="1"/>
        <v/>
      </c>
    </row>
    <row r="483">
      <c r="D483" s="10" t="str">
        <f t="shared" si="1"/>
        <v/>
      </c>
    </row>
    <row r="484">
      <c r="D484" s="10" t="str">
        <f t="shared" si="1"/>
        <v/>
      </c>
    </row>
    <row r="485">
      <c r="D485" s="10" t="str">
        <f t="shared" si="1"/>
        <v/>
      </c>
    </row>
    <row r="486">
      <c r="D486" s="10" t="str">
        <f t="shared" si="1"/>
        <v/>
      </c>
    </row>
    <row r="487">
      <c r="D487" s="10" t="str">
        <f t="shared" si="1"/>
        <v/>
      </c>
    </row>
    <row r="488">
      <c r="D488" s="10" t="str">
        <f t="shared" si="1"/>
        <v/>
      </c>
    </row>
    <row r="489">
      <c r="D489" s="10" t="str">
        <f t="shared" si="1"/>
        <v/>
      </c>
    </row>
    <row r="490">
      <c r="D490" s="10" t="str">
        <f t="shared" si="1"/>
        <v/>
      </c>
    </row>
    <row r="491">
      <c r="D491" s="10" t="str">
        <f t="shared" si="1"/>
        <v/>
      </c>
    </row>
    <row r="492">
      <c r="D492" s="10" t="str">
        <f t="shared" si="1"/>
        <v/>
      </c>
    </row>
    <row r="493">
      <c r="D493" s="10" t="str">
        <f t="shared" si="1"/>
        <v/>
      </c>
    </row>
    <row r="494">
      <c r="D494" s="10" t="str">
        <f t="shared" si="1"/>
        <v/>
      </c>
    </row>
    <row r="495">
      <c r="D495" s="10" t="str">
        <f t="shared" si="1"/>
        <v/>
      </c>
    </row>
    <row r="496">
      <c r="D496" s="10" t="str">
        <f t="shared" si="1"/>
        <v/>
      </c>
    </row>
    <row r="497">
      <c r="D497" s="10" t="str">
        <f t="shared" si="1"/>
        <v/>
      </c>
    </row>
    <row r="498">
      <c r="D498" s="10" t="str">
        <f t="shared" si="1"/>
        <v/>
      </c>
    </row>
    <row r="499">
      <c r="D499" s="10" t="str">
        <f t="shared" si="1"/>
        <v/>
      </c>
    </row>
    <row r="500">
      <c r="D500" s="10" t="str">
        <f t="shared" si="1"/>
        <v/>
      </c>
    </row>
    <row r="501">
      <c r="D501" s="10" t="str">
        <f t="shared" si="1"/>
        <v/>
      </c>
    </row>
    <row r="502">
      <c r="D502" s="10" t="str">
        <f t="shared" si="1"/>
        <v/>
      </c>
    </row>
    <row r="503">
      <c r="D503" s="10" t="str">
        <f t="shared" si="1"/>
        <v/>
      </c>
    </row>
    <row r="504">
      <c r="D504" s="10" t="str">
        <f t="shared" si="1"/>
        <v/>
      </c>
    </row>
    <row r="505">
      <c r="D505" s="10" t="str">
        <f t="shared" si="1"/>
        <v/>
      </c>
    </row>
    <row r="506">
      <c r="D506" s="10" t="str">
        <f t="shared" si="1"/>
        <v/>
      </c>
    </row>
    <row r="507">
      <c r="D507" s="10" t="str">
        <f t="shared" si="1"/>
        <v/>
      </c>
    </row>
    <row r="508">
      <c r="D508" s="10" t="str">
        <f t="shared" si="1"/>
        <v/>
      </c>
    </row>
    <row r="509">
      <c r="D509" s="10" t="str">
        <f t="shared" si="1"/>
        <v/>
      </c>
    </row>
    <row r="510">
      <c r="D510" s="10" t="str">
        <f t="shared" si="1"/>
        <v/>
      </c>
    </row>
    <row r="511">
      <c r="D511" s="10" t="str">
        <f t="shared" si="1"/>
        <v/>
      </c>
    </row>
    <row r="512">
      <c r="D512" s="10" t="str">
        <f t="shared" si="1"/>
        <v/>
      </c>
    </row>
    <row r="513">
      <c r="D513" s="10" t="str">
        <f t="shared" si="1"/>
        <v/>
      </c>
    </row>
    <row r="514">
      <c r="D514" s="10" t="str">
        <f t="shared" si="1"/>
        <v/>
      </c>
    </row>
    <row r="515">
      <c r="D515" s="10" t="str">
        <f t="shared" si="1"/>
        <v/>
      </c>
    </row>
    <row r="516">
      <c r="D516" s="10" t="str">
        <f t="shared" si="1"/>
        <v/>
      </c>
    </row>
    <row r="517">
      <c r="D517" s="10" t="str">
        <f t="shared" si="1"/>
        <v/>
      </c>
    </row>
    <row r="518">
      <c r="D518" s="10" t="str">
        <f t="shared" si="1"/>
        <v/>
      </c>
    </row>
    <row r="519">
      <c r="D519" s="10" t="str">
        <f t="shared" si="1"/>
        <v/>
      </c>
    </row>
    <row r="520">
      <c r="D520" s="10" t="str">
        <f t="shared" si="1"/>
        <v/>
      </c>
    </row>
    <row r="521">
      <c r="D521" s="10" t="str">
        <f t="shared" si="1"/>
        <v/>
      </c>
    </row>
    <row r="522">
      <c r="D522" s="10" t="str">
        <f t="shared" si="1"/>
        <v/>
      </c>
    </row>
    <row r="523">
      <c r="D523" s="10" t="str">
        <f t="shared" si="1"/>
        <v/>
      </c>
    </row>
    <row r="524">
      <c r="D524" s="10" t="str">
        <f t="shared" si="1"/>
        <v/>
      </c>
    </row>
    <row r="525">
      <c r="D525" s="10" t="str">
        <f t="shared" si="1"/>
        <v/>
      </c>
    </row>
    <row r="526">
      <c r="D526" s="10" t="str">
        <f t="shared" si="1"/>
        <v/>
      </c>
    </row>
    <row r="527">
      <c r="D527" s="10" t="str">
        <f t="shared" si="1"/>
        <v/>
      </c>
    </row>
    <row r="528">
      <c r="D528" s="10" t="str">
        <f t="shared" si="1"/>
        <v/>
      </c>
    </row>
    <row r="529">
      <c r="D529" s="10" t="str">
        <f t="shared" si="1"/>
        <v/>
      </c>
    </row>
    <row r="530">
      <c r="D530" s="10" t="str">
        <f t="shared" si="1"/>
        <v/>
      </c>
    </row>
    <row r="531">
      <c r="D531" s="10" t="str">
        <f t="shared" si="1"/>
        <v/>
      </c>
    </row>
    <row r="532">
      <c r="D532" s="10" t="str">
        <f t="shared" si="1"/>
        <v/>
      </c>
    </row>
    <row r="533">
      <c r="D533" s="10" t="str">
        <f t="shared" si="1"/>
        <v/>
      </c>
    </row>
    <row r="534">
      <c r="D534" s="10" t="str">
        <f t="shared" si="1"/>
        <v/>
      </c>
    </row>
    <row r="535">
      <c r="D535" s="10" t="str">
        <f t="shared" si="1"/>
        <v/>
      </c>
    </row>
    <row r="536">
      <c r="D536" s="10" t="str">
        <f t="shared" si="1"/>
        <v/>
      </c>
    </row>
    <row r="537">
      <c r="D537" s="10" t="str">
        <f t="shared" si="1"/>
        <v/>
      </c>
    </row>
    <row r="538">
      <c r="D538" s="10" t="str">
        <f t="shared" si="1"/>
        <v/>
      </c>
    </row>
    <row r="539">
      <c r="D539" s="10" t="str">
        <f t="shared" si="1"/>
        <v/>
      </c>
    </row>
    <row r="540">
      <c r="D540" s="10" t="str">
        <f t="shared" si="1"/>
        <v/>
      </c>
    </row>
    <row r="541">
      <c r="D541" s="10" t="str">
        <f t="shared" si="1"/>
        <v/>
      </c>
    </row>
    <row r="542">
      <c r="D542" s="10" t="str">
        <f t="shared" si="1"/>
        <v/>
      </c>
    </row>
    <row r="543">
      <c r="D543" s="10" t="str">
        <f t="shared" si="1"/>
        <v/>
      </c>
    </row>
    <row r="544">
      <c r="D544" s="10" t="str">
        <f t="shared" si="1"/>
        <v/>
      </c>
    </row>
    <row r="545">
      <c r="D545" s="10" t="str">
        <f t="shared" si="1"/>
        <v/>
      </c>
    </row>
    <row r="546">
      <c r="D546" s="10" t="str">
        <f t="shared" si="1"/>
        <v/>
      </c>
    </row>
    <row r="547">
      <c r="D547" s="10" t="str">
        <f t="shared" si="1"/>
        <v/>
      </c>
    </row>
    <row r="548">
      <c r="D548" s="10" t="str">
        <f t="shared" si="1"/>
        <v/>
      </c>
    </row>
    <row r="549">
      <c r="D549" s="10" t="str">
        <f t="shared" si="1"/>
        <v/>
      </c>
    </row>
    <row r="550">
      <c r="D550" s="10" t="str">
        <f t="shared" si="1"/>
        <v/>
      </c>
    </row>
    <row r="551">
      <c r="D551" s="10" t="str">
        <f t="shared" si="1"/>
        <v/>
      </c>
    </row>
    <row r="552">
      <c r="D552" s="10" t="str">
        <f t="shared" si="1"/>
        <v/>
      </c>
    </row>
    <row r="553">
      <c r="D553" s="10" t="str">
        <f t="shared" si="1"/>
        <v/>
      </c>
    </row>
    <row r="554">
      <c r="D554" s="10" t="str">
        <f t="shared" si="1"/>
        <v/>
      </c>
    </row>
    <row r="555">
      <c r="D555" s="10" t="str">
        <f t="shared" si="1"/>
        <v/>
      </c>
    </row>
    <row r="556">
      <c r="D556" s="10" t="str">
        <f t="shared" si="1"/>
        <v/>
      </c>
    </row>
    <row r="557">
      <c r="D557" s="10" t="str">
        <f t="shared" si="1"/>
        <v/>
      </c>
    </row>
    <row r="558">
      <c r="D558" s="10" t="str">
        <f t="shared" si="1"/>
        <v/>
      </c>
    </row>
    <row r="559">
      <c r="D559" s="10" t="str">
        <f t="shared" si="1"/>
        <v/>
      </c>
    </row>
    <row r="560">
      <c r="D560" s="10" t="str">
        <f t="shared" si="1"/>
        <v/>
      </c>
    </row>
    <row r="561">
      <c r="D561" s="10" t="str">
        <f t="shared" si="1"/>
        <v/>
      </c>
    </row>
    <row r="562">
      <c r="D562" s="10" t="str">
        <f t="shared" si="1"/>
        <v/>
      </c>
    </row>
    <row r="563">
      <c r="D563" s="10" t="str">
        <f t="shared" si="1"/>
        <v/>
      </c>
    </row>
    <row r="564">
      <c r="D564" s="10" t="str">
        <f t="shared" si="1"/>
        <v/>
      </c>
    </row>
    <row r="565">
      <c r="D565" s="10" t="str">
        <f t="shared" si="1"/>
        <v/>
      </c>
    </row>
    <row r="566">
      <c r="D566" s="10" t="str">
        <f t="shared" si="1"/>
        <v/>
      </c>
    </row>
    <row r="567">
      <c r="D567" s="10" t="str">
        <f t="shared" si="1"/>
        <v/>
      </c>
    </row>
    <row r="568">
      <c r="D568" s="10" t="str">
        <f t="shared" si="1"/>
        <v/>
      </c>
    </row>
    <row r="569">
      <c r="D569" s="10" t="str">
        <f t="shared" si="1"/>
        <v/>
      </c>
    </row>
    <row r="570">
      <c r="D570" s="10" t="str">
        <f t="shared" si="1"/>
        <v/>
      </c>
    </row>
    <row r="571">
      <c r="D571" s="10" t="str">
        <f t="shared" si="1"/>
        <v/>
      </c>
    </row>
    <row r="572">
      <c r="D572" s="10" t="str">
        <f t="shared" si="1"/>
        <v/>
      </c>
    </row>
    <row r="573">
      <c r="D573" s="10" t="str">
        <f t="shared" si="1"/>
        <v/>
      </c>
    </row>
    <row r="574">
      <c r="D574" s="10" t="str">
        <f t="shared" si="1"/>
        <v/>
      </c>
    </row>
    <row r="575">
      <c r="D575" s="10" t="str">
        <f t="shared" si="1"/>
        <v/>
      </c>
    </row>
    <row r="576">
      <c r="D576" s="10" t="str">
        <f t="shared" si="1"/>
        <v/>
      </c>
    </row>
    <row r="577">
      <c r="D577" s="10" t="str">
        <f t="shared" si="1"/>
        <v/>
      </c>
    </row>
    <row r="578">
      <c r="D578" s="10" t="str">
        <f t="shared" si="1"/>
        <v/>
      </c>
    </row>
    <row r="579">
      <c r="D579" s="10" t="str">
        <f t="shared" si="1"/>
        <v/>
      </c>
    </row>
    <row r="580">
      <c r="D580" s="10" t="str">
        <f t="shared" si="1"/>
        <v/>
      </c>
    </row>
    <row r="581">
      <c r="D581" s="10" t="str">
        <f t="shared" si="1"/>
        <v/>
      </c>
    </row>
    <row r="582">
      <c r="D582" s="10" t="str">
        <f t="shared" si="1"/>
        <v/>
      </c>
    </row>
    <row r="583">
      <c r="D583" s="10" t="str">
        <f t="shared" si="1"/>
        <v/>
      </c>
    </row>
    <row r="584">
      <c r="D584" s="10" t="str">
        <f t="shared" si="1"/>
        <v/>
      </c>
    </row>
    <row r="585">
      <c r="D585" s="10" t="str">
        <f t="shared" si="1"/>
        <v/>
      </c>
    </row>
    <row r="586">
      <c r="D586" s="10" t="str">
        <f t="shared" si="1"/>
        <v/>
      </c>
    </row>
    <row r="587">
      <c r="D587" s="10" t="str">
        <f t="shared" si="1"/>
        <v/>
      </c>
    </row>
    <row r="588">
      <c r="D588" s="10" t="str">
        <f t="shared" si="1"/>
        <v/>
      </c>
    </row>
    <row r="589">
      <c r="D589" s="10" t="str">
        <f t="shared" si="1"/>
        <v/>
      </c>
    </row>
    <row r="590">
      <c r="D590" s="10" t="str">
        <f t="shared" si="1"/>
        <v/>
      </c>
    </row>
    <row r="591">
      <c r="D591" s="10" t="str">
        <f t="shared" si="1"/>
        <v/>
      </c>
    </row>
    <row r="592">
      <c r="D592" s="10" t="str">
        <f t="shared" si="1"/>
        <v/>
      </c>
    </row>
    <row r="593">
      <c r="D593" s="10" t="str">
        <f t="shared" si="1"/>
        <v/>
      </c>
    </row>
    <row r="594">
      <c r="D594" s="10" t="str">
        <f t="shared" si="1"/>
        <v/>
      </c>
    </row>
    <row r="595">
      <c r="D595" s="10" t="str">
        <f t="shared" si="1"/>
        <v/>
      </c>
    </row>
    <row r="596">
      <c r="D596" s="10" t="str">
        <f t="shared" si="1"/>
        <v/>
      </c>
    </row>
    <row r="597">
      <c r="D597" s="10" t="str">
        <f t="shared" si="1"/>
        <v/>
      </c>
    </row>
    <row r="598">
      <c r="D598" s="10" t="str">
        <f t="shared" si="1"/>
        <v/>
      </c>
    </row>
    <row r="599">
      <c r="D599" s="10" t="str">
        <f t="shared" si="1"/>
        <v/>
      </c>
    </row>
    <row r="600">
      <c r="D600" s="10" t="str">
        <f t="shared" si="1"/>
        <v/>
      </c>
    </row>
    <row r="601">
      <c r="D601" s="10" t="str">
        <f t="shared" si="1"/>
        <v/>
      </c>
    </row>
    <row r="602">
      <c r="D602" s="10" t="str">
        <f t="shared" si="1"/>
        <v/>
      </c>
    </row>
    <row r="603">
      <c r="D603" s="10" t="str">
        <f t="shared" si="1"/>
        <v/>
      </c>
    </row>
    <row r="604">
      <c r="D604" s="10" t="str">
        <f t="shared" si="1"/>
        <v/>
      </c>
    </row>
    <row r="605">
      <c r="D605" s="10" t="str">
        <f t="shared" si="1"/>
        <v/>
      </c>
    </row>
    <row r="606">
      <c r="D606" s="10" t="str">
        <f t="shared" si="1"/>
        <v/>
      </c>
    </row>
    <row r="607">
      <c r="D607" s="10" t="str">
        <f t="shared" si="1"/>
        <v/>
      </c>
    </row>
    <row r="608">
      <c r="D608" s="10" t="str">
        <f t="shared" si="1"/>
        <v/>
      </c>
    </row>
    <row r="609">
      <c r="D609" s="10" t="str">
        <f t="shared" si="1"/>
        <v/>
      </c>
    </row>
    <row r="610">
      <c r="D610" s="10" t="str">
        <f t="shared" si="1"/>
        <v/>
      </c>
    </row>
    <row r="611">
      <c r="D611" s="10" t="str">
        <f t="shared" si="1"/>
        <v/>
      </c>
    </row>
    <row r="612">
      <c r="D612" s="10" t="str">
        <f t="shared" si="1"/>
        <v/>
      </c>
    </row>
    <row r="613">
      <c r="D613" s="10" t="str">
        <f t="shared" si="1"/>
        <v/>
      </c>
    </row>
    <row r="614">
      <c r="D614" s="10" t="str">
        <f t="shared" si="1"/>
        <v/>
      </c>
    </row>
    <row r="615">
      <c r="D615" s="10" t="str">
        <f t="shared" si="1"/>
        <v/>
      </c>
    </row>
    <row r="616">
      <c r="D616" s="10" t="str">
        <f t="shared" si="1"/>
        <v/>
      </c>
    </row>
    <row r="617">
      <c r="D617" s="10" t="str">
        <f t="shared" si="1"/>
        <v/>
      </c>
    </row>
    <row r="618">
      <c r="D618" s="10" t="str">
        <f t="shared" si="1"/>
        <v/>
      </c>
    </row>
    <row r="619">
      <c r="D619" s="10" t="str">
        <f t="shared" si="1"/>
        <v/>
      </c>
    </row>
    <row r="620">
      <c r="D620" s="10" t="str">
        <f t="shared" si="1"/>
        <v/>
      </c>
    </row>
    <row r="621">
      <c r="D621" s="10" t="str">
        <f t="shared" si="1"/>
        <v/>
      </c>
    </row>
    <row r="622">
      <c r="D622" s="10" t="str">
        <f t="shared" si="1"/>
        <v/>
      </c>
    </row>
    <row r="623">
      <c r="D623" s="10" t="str">
        <f t="shared" si="1"/>
        <v/>
      </c>
    </row>
    <row r="624">
      <c r="D624" s="10" t="str">
        <f t="shared" si="1"/>
        <v/>
      </c>
    </row>
    <row r="625">
      <c r="D625" s="10" t="str">
        <f t="shared" si="1"/>
        <v/>
      </c>
    </row>
    <row r="626">
      <c r="D626" s="10" t="str">
        <f t="shared" si="1"/>
        <v/>
      </c>
    </row>
    <row r="627">
      <c r="D627" s="10" t="str">
        <f t="shared" si="1"/>
        <v/>
      </c>
    </row>
    <row r="628">
      <c r="D628" s="10" t="str">
        <f t="shared" si="1"/>
        <v/>
      </c>
    </row>
    <row r="629">
      <c r="D629" s="10" t="str">
        <f t="shared" si="1"/>
        <v/>
      </c>
    </row>
    <row r="630">
      <c r="D630" s="10" t="str">
        <f t="shared" si="1"/>
        <v/>
      </c>
    </row>
    <row r="631">
      <c r="D631" s="10" t="str">
        <f t="shared" si="1"/>
        <v/>
      </c>
    </row>
    <row r="632">
      <c r="D632" s="10" t="str">
        <f t="shared" si="1"/>
        <v/>
      </c>
    </row>
    <row r="633">
      <c r="D633" s="10" t="str">
        <f t="shared" si="1"/>
        <v/>
      </c>
    </row>
    <row r="634">
      <c r="D634" s="10" t="str">
        <f t="shared" si="1"/>
        <v/>
      </c>
    </row>
    <row r="635">
      <c r="D635" s="10" t="str">
        <f t="shared" si="1"/>
        <v/>
      </c>
    </row>
    <row r="636">
      <c r="D636" s="10" t="str">
        <f t="shared" si="1"/>
        <v/>
      </c>
    </row>
    <row r="637">
      <c r="D637" s="10" t="str">
        <f t="shared" si="1"/>
        <v/>
      </c>
    </row>
    <row r="638">
      <c r="D638" s="10" t="str">
        <f t="shared" si="1"/>
        <v/>
      </c>
    </row>
    <row r="639">
      <c r="D639" s="10" t="str">
        <f t="shared" si="1"/>
        <v/>
      </c>
    </row>
    <row r="640">
      <c r="D640" s="10" t="str">
        <f t="shared" si="1"/>
        <v/>
      </c>
    </row>
    <row r="641">
      <c r="D641" s="10" t="str">
        <f t="shared" si="1"/>
        <v/>
      </c>
    </row>
    <row r="642">
      <c r="D642" s="10" t="str">
        <f t="shared" si="1"/>
        <v/>
      </c>
    </row>
    <row r="643">
      <c r="D643" s="10" t="str">
        <f t="shared" si="1"/>
        <v/>
      </c>
    </row>
    <row r="644">
      <c r="D644" s="10" t="str">
        <f t="shared" si="1"/>
        <v/>
      </c>
    </row>
    <row r="645">
      <c r="D645" s="10" t="str">
        <f t="shared" si="1"/>
        <v/>
      </c>
    </row>
    <row r="646">
      <c r="D646" s="10" t="str">
        <f t="shared" si="1"/>
        <v/>
      </c>
    </row>
    <row r="647">
      <c r="D647" s="10" t="str">
        <f t="shared" si="1"/>
        <v/>
      </c>
    </row>
    <row r="648">
      <c r="D648" s="10" t="str">
        <f t="shared" si="1"/>
        <v/>
      </c>
    </row>
    <row r="649">
      <c r="D649" s="10" t="str">
        <f t="shared" si="1"/>
        <v/>
      </c>
    </row>
    <row r="650">
      <c r="D650" s="10" t="str">
        <f t="shared" si="1"/>
        <v/>
      </c>
    </row>
    <row r="651">
      <c r="D651" s="10" t="str">
        <f t="shared" si="1"/>
        <v/>
      </c>
    </row>
    <row r="652">
      <c r="D652" s="10" t="str">
        <f t="shared" si="1"/>
        <v/>
      </c>
    </row>
    <row r="653">
      <c r="D653" s="10" t="str">
        <f t="shared" si="1"/>
        <v/>
      </c>
    </row>
    <row r="654">
      <c r="D654" s="10" t="str">
        <f t="shared" si="1"/>
        <v/>
      </c>
    </row>
    <row r="655">
      <c r="D655" s="10" t="str">
        <f t="shared" si="1"/>
        <v/>
      </c>
    </row>
    <row r="656">
      <c r="D656" s="10" t="str">
        <f t="shared" si="1"/>
        <v/>
      </c>
    </row>
    <row r="657">
      <c r="D657" s="10" t="str">
        <f t="shared" si="1"/>
        <v/>
      </c>
    </row>
    <row r="658">
      <c r="D658" s="10" t="str">
        <f t="shared" si="1"/>
        <v/>
      </c>
    </row>
    <row r="659">
      <c r="D659" s="10" t="str">
        <f t="shared" si="1"/>
        <v/>
      </c>
    </row>
    <row r="660">
      <c r="D660" s="10" t="str">
        <f t="shared" si="1"/>
        <v/>
      </c>
    </row>
    <row r="661">
      <c r="D661" s="10" t="str">
        <f t="shared" si="1"/>
        <v/>
      </c>
    </row>
    <row r="662">
      <c r="D662" s="10" t="str">
        <f t="shared" si="1"/>
        <v/>
      </c>
    </row>
    <row r="663">
      <c r="D663" s="10" t="str">
        <f t="shared" si="1"/>
        <v/>
      </c>
    </row>
    <row r="664">
      <c r="D664" s="10" t="str">
        <f t="shared" si="1"/>
        <v/>
      </c>
    </row>
    <row r="665">
      <c r="D665" s="10" t="str">
        <f t="shared" si="1"/>
        <v/>
      </c>
    </row>
    <row r="666">
      <c r="D666" s="10" t="str">
        <f t="shared" si="1"/>
        <v/>
      </c>
    </row>
    <row r="667">
      <c r="D667" s="10" t="str">
        <f t="shared" si="1"/>
        <v/>
      </c>
    </row>
    <row r="668">
      <c r="D668" s="10" t="str">
        <f t="shared" si="1"/>
        <v/>
      </c>
    </row>
    <row r="669">
      <c r="D669" s="10" t="str">
        <f t="shared" si="1"/>
        <v/>
      </c>
    </row>
    <row r="670">
      <c r="D670" s="10" t="str">
        <f t="shared" si="1"/>
        <v/>
      </c>
    </row>
    <row r="671">
      <c r="D671" s="10" t="str">
        <f t="shared" si="1"/>
        <v/>
      </c>
    </row>
    <row r="672">
      <c r="D672" s="10" t="str">
        <f t="shared" si="1"/>
        <v/>
      </c>
    </row>
    <row r="673">
      <c r="D673" s="10" t="str">
        <f t="shared" si="1"/>
        <v/>
      </c>
    </row>
    <row r="674">
      <c r="D674" s="10" t="str">
        <f t="shared" si="1"/>
        <v/>
      </c>
    </row>
    <row r="675">
      <c r="D675" s="10" t="str">
        <f t="shared" si="1"/>
        <v/>
      </c>
    </row>
    <row r="676">
      <c r="D676" s="10" t="str">
        <f t="shared" si="1"/>
        <v/>
      </c>
    </row>
    <row r="677">
      <c r="D677" s="10" t="str">
        <f t="shared" si="1"/>
        <v/>
      </c>
    </row>
    <row r="678">
      <c r="D678" s="10" t="str">
        <f t="shared" si="1"/>
        <v/>
      </c>
    </row>
    <row r="679">
      <c r="D679" s="10" t="str">
        <f t="shared" si="1"/>
        <v/>
      </c>
    </row>
    <row r="680">
      <c r="D680" s="10" t="str">
        <f t="shared" si="1"/>
        <v/>
      </c>
    </row>
    <row r="681">
      <c r="D681" s="10" t="str">
        <f t="shared" si="1"/>
        <v/>
      </c>
    </row>
    <row r="682">
      <c r="D682" s="10" t="str">
        <f t="shared" si="1"/>
        <v/>
      </c>
    </row>
    <row r="683">
      <c r="D683" s="10" t="str">
        <f t="shared" si="1"/>
        <v/>
      </c>
    </row>
    <row r="684">
      <c r="D684" s="10" t="str">
        <f t="shared" si="1"/>
        <v/>
      </c>
    </row>
    <row r="685">
      <c r="D685" s="10" t="str">
        <f t="shared" si="1"/>
        <v/>
      </c>
    </row>
    <row r="686">
      <c r="D686" s="10" t="str">
        <f t="shared" si="1"/>
        <v/>
      </c>
    </row>
    <row r="687">
      <c r="D687" s="10" t="str">
        <f t="shared" si="1"/>
        <v/>
      </c>
    </row>
    <row r="688">
      <c r="D688" s="10" t="str">
        <f t="shared" si="1"/>
        <v/>
      </c>
    </row>
    <row r="689">
      <c r="D689" s="10" t="str">
        <f t="shared" si="1"/>
        <v/>
      </c>
    </row>
    <row r="690">
      <c r="D690" s="10" t="str">
        <f t="shared" si="1"/>
        <v/>
      </c>
    </row>
    <row r="691">
      <c r="D691" s="10" t="str">
        <f t="shared" si="1"/>
        <v/>
      </c>
    </row>
    <row r="692">
      <c r="D692" s="10" t="str">
        <f t="shared" si="1"/>
        <v/>
      </c>
    </row>
    <row r="693">
      <c r="D693" s="10" t="str">
        <f t="shared" si="1"/>
        <v/>
      </c>
    </row>
    <row r="694">
      <c r="D694" s="10" t="str">
        <f t="shared" si="1"/>
        <v/>
      </c>
    </row>
    <row r="695">
      <c r="D695" s="10" t="str">
        <f t="shared" si="1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25"/>
    <col customWidth="1" min="10" max="10" width="22.88"/>
  </cols>
  <sheetData>
    <row r="1">
      <c r="A1" s="1" t="s">
        <v>50</v>
      </c>
      <c r="B1" s="1" t="s">
        <v>51</v>
      </c>
      <c r="C1" s="1" t="s">
        <v>52</v>
      </c>
      <c r="D1" s="1" t="s">
        <v>28</v>
      </c>
      <c r="E1" s="1" t="s">
        <v>29</v>
      </c>
      <c r="F1" s="1" t="s">
        <v>30</v>
      </c>
      <c r="G1" s="1" t="s">
        <v>53</v>
      </c>
      <c r="H1" s="1" t="s">
        <v>54</v>
      </c>
      <c r="I1" s="1" t="s">
        <v>55</v>
      </c>
      <c r="J1" s="1" t="s">
        <v>56</v>
      </c>
    </row>
    <row r="2">
      <c r="A2" s="1" t="s">
        <v>42</v>
      </c>
      <c r="B2" s="1">
        <v>1.0</v>
      </c>
      <c r="C2" s="1" t="s">
        <v>43</v>
      </c>
      <c r="D2" s="1" t="s">
        <v>57</v>
      </c>
      <c r="H2" s="1">
        <v>22000.0</v>
      </c>
      <c r="I2" s="1">
        <v>270.0</v>
      </c>
    </row>
    <row r="3">
      <c r="A3" s="1" t="s">
        <v>42</v>
      </c>
      <c r="B3" s="1">
        <v>2.0</v>
      </c>
      <c r="C3" s="1" t="s">
        <v>43</v>
      </c>
      <c r="D3" s="1" t="s">
        <v>58</v>
      </c>
    </row>
    <row r="4">
      <c r="A4" s="1" t="s">
        <v>42</v>
      </c>
      <c r="B4" s="1">
        <v>3.0</v>
      </c>
      <c r="C4" s="1" t="s">
        <v>43</v>
      </c>
      <c r="D4" s="1" t="s">
        <v>59</v>
      </c>
      <c r="H4" s="1">
        <v>16000.0</v>
      </c>
      <c r="I4" s="1">
        <v>250.0</v>
      </c>
    </row>
    <row r="5">
      <c r="A5" s="1" t="s">
        <v>42</v>
      </c>
      <c r="B5" s="1">
        <v>4.0</v>
      </c>
      <c r="C5" s="1" t="s">
        <v>43</v>
      </c>
      <c r="D5" s="1" t="s">
        <v>60</v>
      </c>
    </row>
    <row r="6">
      <c r="A6" s="1" t="s">
        <v>42</v>
      </c>
      <c r="B6" s="1">
        <v>5.0</v>
      </c>
      <c r="C6" s="1" t="s">
        <v>43</v>
      </c>
      <c r="D6" s="1" t="s">
        <v>61</v>
      </c>
      <c r="H6" s="10">
        <f>+10000</f>
        <v>10000</v>
      </c>
    </row>
    <row r="7">
      <c r="A7" s="10"/>
      <c r="D7" s="10"/>
    </row>
    <row r="8">
      <c r="A8" s="10"/>
      <c r="D8" s="10"/>
    </row>
    <row r="9">
      <c r="A9" s="10"/>
      <c r="D9" s="10"/>
    </row>
    <row r="10">
      <c r="A10" s="10"/>
      <c r="D10" s="10"/>
    </row>
    <row r="11">
      <c r="A11" s="10"/>
      <c r="D11" s="10"/>
    </row>
    <row r="12">
      <c r="A12" s="10"/>
      <c r="D12" s="10"/>
    </row>
    <row r="13">
      <c r="A13" s="10"/>
      <c r="D13" s="10"/>
    </row>
    <row r="14">
      <c r="A14" s="10"/>
      <c r="D14" s="10"/>
    </row>
    <row r="15">
      <c r="A15" s="10"/>
      <c r="D15" s="10"/>
    </row>
    <row r="16">
      <c r="A16" s="10"/>
      <c r="D16" s="10"/>
    </row>
    <row r="17">
      <c r="A17" s="10"/>
      <c r="D17" s="10"/>
    </row>
    <row r="18">
      <c r="A18" s="10"/>
      <c r="D18" s="10"/>
    </row>
    <row r="19">
      <c r="A19" s="10"/>
      <c r="D19" s="10"/>
    </row>
    <row r="20">
      <c r="A20" s="10"/>
      <c r="D20" s="10"/>
    </row>
    <row r="21">
      <c r="A21" s="10"/>
      <c r="D21" s="10"/>
    </row>
    <row r="22">
      <c r="A22" s="10"/>
      <c r="D22" s="10"/>
    </row>
    <row r="23">
      <c r="A23" s="10"/>
      <c r="D23" s="10"/>
    </row>
    <row r="24">
      <c r="A24" s="10"/>
      <c r="D24" s="10"/>
    </row>
    <row r="25">
      <c r="A25" s="10"/>
      <c r="D25" s="10"/>
    </row>
    <row r="26">
      <c r="A26" s="10"/>
      <c r="D26" s="10"/>
    </row>
    <row r="27">
      <c r="A27" s="10"/>
      <c r="D27" s="10"/>
    </row>
    <row r="28">
      <c r="A28" s="10"/>
      <c r="D28" s="10"/>
    </row>
    <row r="29">
      <c r="A29" s="10"/>
      <c r="D29" s="10"/>
    </row>
    <row r="30">
      <c r="A30" s="10"/>
      <c r="D30" s="10"/>
    </row>
    <row r="31">
      <c r="A31" s="10"/>
      <c r="D31" s="10"/>
    </row>
    <row r="32">
      <c r="A32" s="10"/>
      <c r="D32" s="10"/>
    </row>
    <row r="33">
      <c r="A33" s="10"/>
      <c r="D33" s="10"/>
    </row>
    <row r="34">
      <c r="A34" s="10"/>
      <c r="D34" s="10"/>
    </row>
    <row r="35">
      <c r="A35" s="10"/>
      <c r="D35" s="10"/>
    </row>
    <row r="36">
      <c r="A36" s="10"/>
      <c r="D36" s="10"/>
    </row>
    <row r="37">
      <c r="A37" s="10"/>
      <c r="D37" s="10"/>
    </row>
    <row r="38">
      <c r="A38" s="10"/>
      <c r="D38" s="10"/>
    </row>
    <row r="39">
      <c r="A39" s="10"/>
      <c r="D39" s="10"/>
    </row>
    <row r="40">
      <c r="A40" s="10"/>
      <c r="D40" s="10"/>
    </row>
    <row r="41">
      <c r="A41" s="10"/>
      <c r="D41" s="10"/>
    </row>
    <row r="42">
      <c r="A42" s="10"/>
      <c r="D42" s="10"/>
    </row>
    <row r="43">
      <c r="A43" s="10"/>
      <c r="D43" s="10"/>
    </row>
    <row r="44">
      <c r="A44" s="10"/>
      <c r="D44" s="10"/>
    </row>
    <row r="45">
      <c r="A45" s="10"/>
      <c r="D45" s="10"/>
    </row>
    <row r="46">
      <c r="A46" s="10"/>
      <c r="D46" s="10"/>
    </row>
    <row r="47">
      <c r="A47" s="10"/>
      <c r="D47" s="10"/>
    </row>
    <row r="48">
      <c r="A48" s="10"/>
      <c r="D48" s="10"/>
    </row>
    <row r="49">
      <c r="A49" s="10"/>
      <c r="D49" s="10"/>
    </row>
    <row r="50">
      <c r="A50" s="10"/>
      <c r="D50" s="10"/>
    </row>
    <row r="51">
      <c r="A51" s="10"/>
      <c r="D51" s="10"/>
    </row>
    <row r="52">
      <c r="A52" s="10"/>
      <c r="D52" s="10"/>
    </row>
    <row r="53">
      <c r="A53" s="10"/>
      <c r="D53" s="10"/>
    </row>
    <row r="54">
      <c r="A54" s="10"/>
      <c r="D54" s="10"/>
    </row>
    <row r="55">
      <c r="A55" s="10"/>
      <c r="D55" s="10"/>
    </row>
    <row r="56">
      <c r="A56" s="10"/>
      <c r="D56" s="10"/>
    </row>
    <row r="57">
      <c r="A57" s="10"/>
      <c r="D57" s="10"/>
    </row>
    <row r="58">
      <c r="A58" s="10"/>
      <c r="D58" s="10"/>
    </row>
    <row r="59">
      <c r="A59" s="10"/>
      <c r="D59" s="10"/>
    </row>
    <row r="60">
      <c r="A60" s="10"/>
      <c r="D60" s="10"/>
    </row>
    <row r="61">
      <c r="A61" s="10"/>
      <c r="D61" s="10"/>
    </row>
    <row r="62">
      <c r="A62" s="10"/>
      <c r="D62" s="10"/>
    </row>
    <row r="63">
      <c r="A63" s="10"/>
      <c r="D63" s="10"/>
    </row>
    <row r="64">
      <c r="A64" s="10"/>
      <c r="D64" s="10"/>
    </row>
    <row r="65">
      <c r="A65" s="10"/>
      <c r="D65" s="10"/>
    </row>
    <row r="66">
      <c r="A66" s="10"/>
      <c r="D66" s="10"/>
    </row>
    <row r="67">
      <c r="A67" s="10"/>
      <c r="D67" s="10"/>
    </row>
    <row r="68">
      <c r="A68" s="10"/>
      <c r="D68" s="10"/>
    </row>
    <row r="69">
      <c r="A69" s="10"/>
      <c r="D69" s="10"/>
    </row>
    <row r="70">
      <c r="A70" s="10"/>
      <c r="D70" s="10"/>
    </row>
    <row r="71">
      <c r="A71" s="10"/>
      <c r="D71" s="10"/>
    </row>
    <row r="72">
      <c r="A72" s="10"/>
      <c r="D72" s="10"/>
    </row>
    <row r="73">
      <c r="A73" s="10"/>
      <c r="D73" s="10"/>
    </row>
    <row r="74">
      <c r="A74" s="10"/>
      <c r="D74" s="10"/>
    </row>
    <row r="75">
      <c r="A75" s="10"/>
      <c r="D75" s="10"/>
    </row>
    <row r="76">
      <c r="A76" s="10"/>
      <c r="D76" s="10"/>
    </row>
    <row r="77">
      <c r="A77" s="10"/>
      <c r="D77" s="10"/>
    </row>
    <row r="78">
      <c r="A78" s="10"/>
      <c r="D78" s="10"/>
    </row>
    <row r="79">
      <c r="A79" s="10"/>
      <c r="D79" s="10"/>
    </row>
    <row r="80">
      <c r="A80" s="10"/>
      <c r="D80" s="10"/>
    </row>
    <row r="81">
      <c r="A81" s="10"/>
      <c r="D81" s="10"/>
    </row>
    <row r="82">
      <c r="A82" s="10"/>
      <c r="D82" s="10"/>
    </row>
    <row r="83">
      <c r="A83" s="10"/>
      <c r="D83" s="10"/>
    </row>
    <row r="84">
      <c r="A84" s="10"/>
      <c r="D84" s="10"/>
    </row>
    <row r="85">
      <c r="A85" s="10"/>
      <c r="D85" s="10"/>
    </row>
    <row r="86">
      <c r="A86" s="10"/>
      <c r="D86" s="10"/>
    </row>
    <row r="87">
      <c r="A87" s="10"/>
      <c r="D87" s="10"/>
    </row>
    <row r="88">
      <c r="A88" s="10"/>
      <c r="D88" s="10"/>
    </row>
    <row r="89">
      <c r="A89" s="10"/>
      <c r="D89" s="10"/>
    </row>
    <row r="90">
      <c r="A90" s="10"/>
      <c r="D90" s="10"/>
    </row>
    <row r="91">
      <c r="A91" s="10"/>
      <c r="D91" s="10"/>
    </row>
    <row r="92">
      <c r="A92" s="10"/>
      <c r="D92" s="10"/>
    </row>
    <row r="93">
      <c r="A93" s="10"/>
      <c r="D93" s="10"/>
    </row>
    <row r="94">
      <c r="A94" s="10"/>
      <c r="D94" s="10"/>
    </row>
    <row r="95">
      <c r="A95" s="10"/>
      <c r="D95" s="10"/>
    </row>
    <row r="96">
      <c r="A96" s="10"/>
      <c r="D96" s="10"/>
    </row>
    <row r="97">
      <c r="A97" s="10"/>
      <c r="D97" s="10"/>
    </row>
    <row r="98">
      <c r="A98" s="10"/>
      <c r="D98" s="10"/>
    </row>
    <row r="99">
      <c r="A99" s="10"/>
      <c r="D99" s="10"/>
    </row>
    <row r="100">
      <c r="A100" s="10"/>
      <c r="D100" s="10"/>
    </row>
    <row r="101">
      <c r="A101" s="10"/>
      <c r="D101" s="10"/>
    </row>
    <row r="102">
      <c r="A102" s="10"/>
      <c r="D102" s="10"/>
    </row>
    <row r="103">
      <c r="A103" s="10"/>
      <c r="D103" s="10"/>
    </row>
    <row r="104">
      <c r="A104" s="10"/>
      <c r="D104" s="10"/>
    </row>
    <row r="105">
      <c r="A105" s="10"/>
      <c r="D105" s="10"/>
    </row>
    <row r="106">
      <c r="A106" s="10"/>
      <c r="D106" s="10"/>
    </row>
    <row r="107">
      <c r="A107" s="10"/>
      <c r="D107" s="10"/>
    </row>
    <row r="108">
      <c r="A108" s="10"/>
      <c r="D108" s="10"/>
    </row>
    <row r="109">
      <c r="A109" s="10"/>
      <c r="D109" s="10"/>
    </row>
    <row r="110">
      <c r="A110" s="10"/>
      <c r="D110" s="10"/>
    </row>
    <row r="111">
      <c r="A111" s="10"/>
      <c r="D111" s="10"/>
    </row>
    <row r="112">
      <c r="A112" s="10"/>
      <c r="D112" s="10"/>
    </row>
    <row r="113">
      <c r="A113" s="10"/>
      <c r="D113" s="10"/>
    </row>
    <row r="114">
      <c r="A114" s="10"/>
      <c r="D114" s="10"/>
    </row>
    <row r="115">
      <c r="A115" s="10"/>
      <c r="D115" s="10"/>
    </row>
    <row r="116">
      <c r="A116" s="10"/>
      <c r="D116" s="10"/>
    </row>
    <row r="117">
      <c r="A117" s="10"/>
      <c r="D117" s="10"/>
    </row>
    <row r="118">
      <c r="A118" s="10"/>
      <c r="D118" s="10"/>
    </row>
    <row r="119">
      <c r="A119" s="10"/>
      <c r="D119" s="10"/>
    </row>
    <row r="120">
      <c r="A120" s="10"/>
      <c r="D120" s="10"/>
    </row>
    <row r="121">
      <c r="A121" s="10"/>
      <c r="D121" s="10"/>
    </row>
    <row r="122">
      <c r="A122" s="10"/>
      <c r="D122" s="10"/>
    </row>
    <row r="123">
      <c r="A123" s="10"/>
      <c r="D123" s="10"/>
    </row>
    <row r="124">
      <c r="A124" s="10"/>
      <c r="D124" s="10"/>
    </row>
    <row r="125">
      <c r="A125" s="10"/>
      <c r="D125" s="10"/>
    </row>
    <row r="126">
      <c r="A126" s="10"/>
      <c r="D126" s="10"/>
    </row>
    <row r="127">
      <c r="A127" s="10"/>
      <c r="D127" s="10"/>
    </row>
    <row r="128">
      <c r="A128" s="10"/>
      <c r="D128" s="10"/>
    </row>
    <row r="129">
      <c r="A129" s="10"/>
      <c r="D129" s="10"/>
    </row>
    <row r="130">
      <c r="A130" s="10"/>
      <c r="D130" s="10"/>
    </row>
    <row r="131">
      <c r="A131" s="10"/>
      <c r="D131" s="10"/>
    </row>
    <row r="132">
      <c r="A132" s="10"/>
      <c r="D132" s="10"/>
    </row>
    <row r="133">
      <c r="A133" s="10"/>
      <c r="D133" s="10"/>
    </row>
    <row r="134">
      <c r="A134" s="10"/>
      <c r="D134" s="10"/>
    </row>
    <row r="135">
      <c r="A135" s="10"/>
      <c r="D135" s="10"/>
    </row>
    <row r="136">
      <c r="A136" s="10"/>
      <c r="D136" s="10"/>
    </row>
    <row r="137">
      <c r="A137" s="10"/>
      <c r="D137" s="10"/>
    </row>
    <row r="138">
      <c r="A138" s="10"/>
      <c r="D138" s="10"/>
    </row>
    <row r="139">
      <c r="A139" s="10"/>
      <c r="D139" s="10"/>
    </row>
    <row r="140">
      <c r="A140" s="10"/>
      <c r="D140" s="10"/>
    </row>
    <row r="141">
      <c r="A141" s="10"/>
      <c r="D141" s="10"/>
    </row>
    <row r="142">
      <c r="A142" s="10"/>
      <c r="D142" s="10"/>
    </row>
    <row r="143">
      <c r="A143" s="10"/>
      <c r="D143" s="10"/>
    </row>
    <row r="144">
      <c r="A144" s="10"/>
      <c r="D144" s="10"/>
    </row>
    <row r="145">
      <c r="A145" s="10"/>
      <c r="D145" s="10"/>
    </row>
    <row r="146">
      <c r="A146" s="10"/>
      <c r="D146" s="10"/>
    </row>
    <row r="147">
      <c r="A147" s="10"/>
      <c r="D147" s="10"/>
    </row>
    <row r="148">
      <c r="A148" s="10"/>
      <c r="D148" s="10"/>
    </row>
    <row r="149">
      <c r="A149" s="10"/>
      <c r="D149" s="10"/>
    </row>
    <row r="150">
      <c r="A150" s="10"/>
      <c r="D150" s="10"/>
    </row>
    <row r="151">
      <c r="A151" s="10"/>
      <c r="D151" s="10"/>
    </row>
    <row r="152">
      <c r="A152" s="10"/>
      <c r="D152" s="10"/>
    </row>
    <row r="153">
      <c r="A153" s="10"/>
      <c r="D153" s="10"/>
    </row>
    <row r="154">
      <c r="A154" s="10"/>
      <c r="D154" s="10"/>
    </row>
    <row r="155">
      <c r="A155" s="10"/>
      <c r="D155" s="10"/>
    </row>
    <row r="156">
      <c r="A156" s="10"/>
      <c r="D156" s="10"/>
    </row>
    <row r="157">
      <c r="A157" s="10"/>
      <c r="D157" s="10"/>
    </row>
    <row r="158">
      <c r="A158" s="10"/>
      <c r="D158" s="10"/>
    </row>
    <row r="159">
      <c r="A159" s="10"/>
      <c r="D159" s="10"/>
    </row>
    <row r="160">
      <c r="A160" s="10"/>
      <c r="D160" s="10"/>
    </row>
    <row r="161">
      <c r="A161" s="10"/>
      <c r="D161" s="10"/>
    </row>
    <row r="162">
      <c r="A162" s="10"/>
      <c r="D162" s="10"/>
    </row>
    <row r="163">
      <c r="A163" s="10"/>
      <c r="D163" s="10"/>
    </row>
    <row r="164">
      <c r="A164" s="10"/>
      <c r="D164" s="10"/>
    </row>
    <row r="165">
      <c r="A165" s="10"/>
      <c r="D165" s="10"/>
    </row>
    <row r="166">
      <c r="A166" s="10"/>
      <c r="D166" s="10"/>
    </row>
    <row r="167">
      <c r="A167" s="10"/>
      <c r="D167" s="10"/>
    </row>
    <row r="168">
      <c r="A168" s="10"/>
      <c r="D168" s="10"/>
    </row>
    <row r="169">
      <c r="A169" s="10"/>
      <c r="D169" s="10"/>
    </row>
    <row r="170">
      <c r="A170" s="10"/>
      <c r="D170" s="10"/>
    </row>
    <row r="171">
      <c r="A171" s="10"/>
      <c r="D171" s="10"/>
    </row>
    <row r="172">
      <c r="A172" s="10"/>
      <c r="D172" s="10"/>
    </row>
    <row r="173">
      <c r="A173" s="10"/>
      <c r="D173" s="10"/>
    </row>
    <row r="174">
      <c r="A174" s="10"/>
      <c r="D174" s="10"/>
    </row>
    <row r="175">
      <c r="A175" s="10"/>
      <c r="D175" s="10"/>
    </row>
    <row r="176">
      <c r="A176" s="10"/>
      <c r="D176" s="10"/>
    </row>
    <row r="177">
      <c r="A177" s="10"/>
      <c r="D177" s="10"/>
    </row>
    <row r="178">
      <c r="A178" s="10"/>
      <c r="D178" s="10"/>
    </row>
    <row r="179">
      <c r="A179" s="10"/>
      <c r="D179" s="10"/>
    </row>
    <row r="180">
      <c r="A180" s="10"/>
      <c r="D180" s="10"/>
    </row>
    <row r="181">
      <c r="A181" s="10"/>
      <c r="D181" s="10"/>
    </row>
    <row r="182">
      <c r="A182" s="10"/>
      <c r="D182" s="10"/>
    </row>
    <row r="183">
      <c r="A183" s="10"/>
      <c r="D183" s="10"/>
    </row>
    <row r="184">
      <c r="A184" s="10"/>
      <c r="D184" s="10"/>
    </row>
    <row r="185">
      <c r="A185" s="10"/>
      <c r="D185" s="10"/>
    </row>
    <row r="186">
      <c r="A186" s="10"/>
      <c r="D186" s="10"/>
    </row>
    <row r="187">
      <c r="A187" s="10"/>
      <c r="D187" s="10"/>
    </row>
    <row r="188">
      <c r="A188" s="10"/>
      <c r="D188" s="10"/>
    </row>
    <row r="189">
      <c r="A189" s="10"/>
      <c r="D189" s="10"/>
    </row>
    <row r="190">
      <c r="A190" s="10"/>
      <c r="D190" s="10"/>
    </row>
    <row r="191">
      <c r="A191" s="10"/>
      <c r="D191" s="10"/>
    </row>
    <row r="192">
      <c r="A192" s="10"/>
      <c r="D192" s="10"/>
    </row>
    <row r="193">
      <c r="A193" s="10"/>
      <c r="D193" s="10"/>
    </row>
    <row r="194">
      <c r="A194" s="10"/>
      <c r="D194" s="10"/>
    </row>
    <row r="195">
      <c r="A195" s="10"/>
      <c r="D195" s="10"/>
    </row>
    <row r="196">
      <c r="A196" s="10"/>
      <c r="D196" s="10"/>
    </row>
    <row r="197">
      <c r="A197" s="10"/>
      <c r="D197" s="10"/>
    </row>
    <row r="198">
      <c r="A198" s="10"/>
      <c r="D198" s="10"/>
    </row>
    <row r="199">
      <c r="A199" s="10"/>
      <c r="D199" s="10"/>
    </row>
    <row r="200">
      <c r="A200" s="10"/>
      <c r="D200" s="10"/>
    </row>
    <row r="201">
      <c r="A201" s="10"/>
      <c r="D201" s="10"/>
    </row>
    <row r="202">
      <c r="A202" s="10"/>
      <c r="D202" s="10"/>
    </row>
    <row r="203">
      <c r="A203" s="10"/>
      <c r="D203" s="10"/>
    </row>
    <row r="204">
      <c r="A204" s="10"/>
      <c r="D204" s="10"/>
    </row>
    <row r="205">
      <c r="A205" s="10"/>
      <c r="D205" s="10"/>
    </row>
    <row r="206">
      <c r="A206" s="10"/>
      <c r="D206" s="10"/>
    </row>
    <row r="207">
      <c r="A207" s="10"/>
      <c r="D207" s="10"/>
    </row>
    <row r="208">
      <c r="A208" s="10"/>
      <c r="D208" s="10"/>
    </row>
    <row r="209">
      <c r="A209" s="10"/>
      <c r="D209" s="10"/>
    </row>
    <row r="210">
      <c r="A210" s="10"/>
      <c r="D210" s="10"/>
    </row>
    <row r="211">
      <c r="A211" s="10"/>
      <c r="D211" s="10"/>
    </row>
    <row r="212">
      <c r="A212" s="10"/>
      <c r="D212" s="10"/>
    </row>
    <row r="213">
      <c r="A213" s="10"/>
      <c r="D213" s="10"/>
    </row>
    <row r="214">
      <c r="A214" s="10"/>
      <c r="D214" s="10"/>
    </row>
    <row r="215">
      <c r="A215" s="10"/>
      <c r="D215" s="10"/>
    </row>
    <row r="216">
      <c r="A216" s="10"/>
      <c r="D216" s="10"/>
    </row>
    <row r="217">
      <c r="A217" s="10"/>
      <c r="D217" s="10"/>
    </row>
    <row r="218">
      <c r="A218" s="10"/>
      <c r="D218" s="10"/>
    </row>
    <row r="219">
      <c r="A219" s="10"/>
      <c r="D219" s="10"/>
    </row>
    <row r="220">
      <c r="A220" s="10"/>
      <c r="D220" s="10"/>
    </row>
    <row r="221">
      <c r="A221" s="10"/>
      <c r="D221" s="10"/>
    </row>
    <row r="222">
      <c r="A222" s="10"/>
      <c r="D222" s="10"/>
    </row>
    <row r="223">
      <c r="A223" s="10"/>
      <c r="D223" s="10"/>
    </row>
    <row r="224">
      <c r="A224" s="10"/>
      <c r="D224" s="10"/>
    </row>
    <row r="225">
      <c r="A225" s="10"/>
      <c r="D225" s="10"/>
    </row>
    <row r="226">
      <c r="A226" s="10"/>
      <c r="D226" s="10"/>
    </row>
    <row r="227">
      <c r="A227" s="10"/>
      <c r="D227" s="10"/>
    </row>
    <row r="228">
      <c r="A228" s="10"/>
      <c r="D228" s="10"/>
    </row>
    <row r="229">
      <c r="A229" s="10"/>
      <c r="D229" s="10"/>
    </row>
    <row r="230">
      <c r="A230" s="10"/>
      <c r="D230" s="10"/>
    </row>
    <row r="231">
      <c r="A231" s="10"/>
      <c r="D231" s="10"/>
    </row>
    <row r="232">
      <c r="A232" s="10"/>
      <c r="D232" s="10"/>
    </row>
    <row r="233">
      <c r="A233" s="10"/>
      <c r="D233" s="10"/>
    </row>
    <row r="234">
      <c r="A234" s="10"/>
      <c r="D234" s="10"/>
    </row>
    <row r="235">
      <c r="A235" s="10"/>
      <c r="D235" s="10"/>
    </row>
    <row r="236">
      <c r="A236" s="10"/>
      <c r="D236" s="10"/>
    </row>
    <row r="237">
      <c r="A237" s="10"/>
      <c r="D237" s="10"/>
    </row>
    <row r="238">
      <c r="A238" s="10"/>
      <c r="D238" s="10"/>
    </row>
    <row r="239">
      <c r="A239" s="10"/>
      <c r="D239" s="10"/>
    </row>
    <row r="240">
      <c r="A240" s="10"/>
      <c r="D240" s="10"/>
    </row>
    <row r="241">
      <c r="A241" s="10"/>
      <c r="D241" s="10"/>
    </row>
    <row r="242">
      <c r="A242" s="10"/>
      <c r="D242" s="10"/>
    </row>
    <row r="243">
      <c r="A243" s="10"/>
      <c r="D243" s="10"/>
    </row>
    <row r="244">
      <c r="A244" s="10"/>
      <c r="D244" s="10"/>
    </row>
    <row r="245">
      <c r="A245" s="10"/>
      <c r="D245" s="10"/>
    </row>
    <row r="246">
      <c r="A246" s="10"/>
      <c r="D246" s="10"/>
    </row>
    <row r="247">
      <c r="A247" s="10"/>
      <c r="D247" s="10"/>
    </row>
    <row r="248">
      <c r="A248" s="10"/>
      <c r="D248" s="10"/>
    </row>
    <row r="249">
      <c r="A249" s="10"/>
      <c r="D249" s="10"/>
    </row>
    <row r="250">
      <c r="A250" s="10"/>
      <c r="D250" s="10"/>
    </row>
    <row r="251">
      <c r="A251" s="10"/>
      <c r="D251" s="10"/>
    </row>
    <row r="252">
      <c r="A252" s="10"/>
      <c r="D252" s="10"/>
    </row>
    <row r="253">
      <c r="A253" s="10"/>
      <c r="D253" s="10"/>
    </row>
    <row r="254">
      <c r="A254" s="10"/>
      <c r="D254" s="10"/>
    </row>
    <row r="255">
      <c r="A255" s="10"/>
      <c r="D255" s="10"/>
    </row>
    <row r="256">
      <c r="A256" s="10"/>
      <c r="D256" s="10"/>
    </row>
    <row r="257">
      <c r="A257" s="10"/>
      <c r="D257" s="10"/>
    </row>
    <row r="258">
      <c r="A258" s="10"/>
      <c r="D258" s="10"/>
    </row>
    <row r="259">
      <c r="A259" s="10"/>
      <c r="D259" s="10"/>
    </row>
    <row r="260">
      <c r="A260" s="10"/>
      <c r="D260" s="10"/>
    </row>
    <row r="261">
      <c r="A261" s="10"/>
      <c r="D261" s="10"/>
    </row>
    <row r="262">
      <c r="A262" s="10"/>
      <c r="D262" s="10"/>
    </row>
    <row r="263">
      <c r="A263" s="10"/>
      <c r="D263" s="10"/>
    </row>
    <row r="264">
      <c r="A264" s="10"/>
      <c r="D264" s="10"/>
    </row>
    <row r="265">
      <c r="A265" s="10"/>
      <c r="D265" s="10"/>
    </row>
    <row r="266">
      <c r="A266" s="10"/>
      <c r="D266" s="10"/>
    </row>
    <row r="267">
      <c r="A267" s="10"/>
      <c r="D267" s="10"/>
    </row>
    <row r="268">
      <c r="A268" s="10"/>
      <c r="D268" s="10"/>
    </row>
    <row r="269">
      <c r="A269" s="10"/>
      <c r="D269" s="10"/>
    </row>
    <row r="270">
      <c r="A270" s="10"/>
      <c r="D270" s="10"/>
    </row>
    <row r="271">
      <c r="A271" s="10"/>
      <c r="D271" s="10"/>
    </row>
    <row r="272">
      <c r="A272" s="10"/>
      <c r="D272" s="10"/>
    </row>
    <row r="273">
      <c r="A273" s="10"/>
      <c r="D273" s="10"/>
    </row>
    <row r="274">
      <c r="A274" s="10"/>
      <c r="D274" s="10"/>
    </row>
    <row r="275">
      <c r="A275" s="10"/>
      <c r="D275" s="10"/>
    </row>
    <row r="276">
      <c r="A276" s="10"/>
      <c r="D276" s="10"/>
    </row>
    <row r="277">
      <c r="A277" s="10"/>
      <c r="D277" s="10"/>
    </row>
    <row r="278">
      <c r="A278" s="10"/>
      <c r="D278" s="10"/>
    </row>
    <row r="279">
      <c r="A279" s="10"/>
      <c r="D279" s="10"/>
    </row>
    <row r="280">
      <c r="A280" s="10"/>
      <c r="D280" s="10"/>
    </row>
    <row r="281">
      <c r="A281" s="10"/>
      <c r="D281" s="10"/>
    </row>
    <row r="282">
      <c r="A282" s="10"/>
      <c r="D282" s="10"/>
    </row>
    <row r="283">
      <c r="A283" s="10"/>
      <c r="D283" s="10"/>
    </row>
    <row r="284">
      <c r="A284" s="10"/>
      <c r="D284" s="10"/>
    </row>
    <row r="285">
      <c r="A285" s="10"/>
      <c r="D285" s="10"/>
    </row>
    <row r="286">
      <c r="A286" s="10"/>
      <c r="D286" s="10"/>
    </row>
    <row r="287">
      <c r="A287" s="10"/>
      <c r="D287" s="10"/>
    </row>
    <row r="288">
      <c r="A288" s="10"/>
      <c r="D288" s="10"/>
    </row>
    <row r="289">
      <c r="A289" s="10"/>
      <c r="D289" s="10"/>
    </row>
    <row r="290">
      <c r="A290" s="10"/>
      <c r="D290" s="10"/>
    </row>
    <row r="291">
      <c r="A291" s="10"/>
      <c r="D291" s="10"/>
    </row>
    <row r="292">
      <c r="A292" s="10"/>
      <c r="D292" s="10"/>
    </row>
    <row r="293">
      <c r="A293" s="10"/>
      <c r="D293" s="10"/>
    </row>
    <row r="294">
      <c r="A294" s="10"/>
      <c r="D294" s="10"/>
    </row>
    <row r="295">
      <c r="A295" s="10"/>
      <c r="D295" s="10"/>
    </row>
    <row r="296">
      <c r="A296" s="10"/>
      <c r="D296" s="10"/>
    </row>
    <row r="297">
      <c r="A297" s="10"/>
      <c r="D297" s="10"/>
    </row>
    <row r="298">
      <c r="A298" s="10"/>
      <c r="D298" s="10"/>
    </row>
    <row r="299">
      <c r="A299" s="10"/>
      <c r="D299" s="10"/>
    </row>
    <row r="300">
      <c r="A300" s="10"/>
      <c r="D300" s="10"/>
    </row>
    <row r="301">
      <c r="A301" s="10"/>
      <c r="D301" s="10"/>
    </row>
    <row r="302">
      <c r="A302" s="10"/>
      <c r="D302" s="10"/>
    </row>
    <row r="303">
      <c r="A303" s="10"/>
      <c r="D303" s="10"/>
    </row>
    <row r="304">
      <c r="A304" s="10"/>
      <c r="D304" s="10"/>
    </row>
    <row r="305">
      <c r="A305" s="10"/>
      <c r="D305" s="10"/>
    </row>
    <row r="306">
      <c r="A306" s="10"/>
      <c r="D306" s="10"/>
    </row>
    <row r="307">
      <c r="A307" s="10"/>
      <c r="D307" s="10"/>
    </row>
    <row r="308">
      <c r="A308" s="10"/>
      <c r="D308" s="10"/>
    </row>
    <row r="309">
      <c r="A309" s="10"/>
      <c r="D309" s="10"/>
    </row>
    <row r="310">
      <c r="A310" s="10"/>
      <c r="D310" s="10"/>
    </row>
    <row r="311">
      <c r="A311" s="10"/>
      <c r="D311" s="10"/>
    </row>
    <row r="312">
      <c r="A312" s="10"/>
      <c r="D312" s="10"/>
    </row>
    <row r="313">
      <c r="A313" s="10"/>
      <c r="D313" s="10"/>
    </row>
    <row r="314">
      <c r="A314" s="10"/>
      <c r="D314" s="10"/>
    </row>
    <row r="315">
      <c r="A315" s="10"/>
      <c r="D315" s="10"/>
    </row>
    <row r="316">
      <c r="A316" s="10"/>
      <c r="D316" s="10"/>
    </row>
    <row r="317">
      <c r="A317" s="10"/>
      <c r="D317" s="10"/>
    </row>
    <row r="318">
      <c r="A318" s="10"/>
      <c r="D318" s="10"/>
    </row>
    <row r="319">
      <c r="A319" s="10"/>
      <c r="D319" s="10"/>
    </row>
    <row r="320">
      <c r="A320" s="10"/>
      <c r="D320" s="10"/>
    </row>
    <row r="321">
      <c r="A321" s="10"/>
      <c r="D321" s="10"/>
    </row>
    <row r="322">
      <c r="A322" s="10"/>
      <c r="D322" s="10"/>
    </row>
    <row r="323">
      <c r="A323" s="10"/>
      <c r="D323" s="10"/>
    </row>
    <row r="324">
      <c r="A324" s="10"/>
      <c r="D324" s="10"/>
    </row>
    <row r="325">
      <c r="A325" s="10"/>
      <c r="D325" s="10"/>
    </row>
    <row r="326">
      <c r="A326" s="10"/>
      <c r="D326" s="10"/>
    </row>
    <row r="327">
      <c r="A327" s="10"/>
      <c r="D327" s="10"/>
    </row>
    <row r="328">
      <c r="A328" s="10"/>
      <c r="D328" s="10"/>
    </row>
    <row r="329">
      <c r="A329" s="10"/>
      <c r="D329" s="10"/>
    </row>
    <row r="330">
      <c r="A330" s="10"/>
      <c r="D330" s="10"/>
    </row>
    <row r="331">
      <c r="A331" s="10"/>
      <c r="D331" s="10"/>
    </row>
    <row r="332">
      <c r="A332" s="10"/>
      <c r="D332" s="10"/>
    </row>
    <row r="333">
      <c r="A333" s="10"/>
      <c r="D333" s="10"/>
    </row>
    <row r="334">
      <c r="A334" s="10"/>
      <c r="D334" s="10"/>
    </row>
    <row r="335">
      <c r="A335" s="10"/>
      <c r="D335" s="10"/>
    </row>
    <row r="336">
      <c r="A336" s="10"/>
      <c r="D336" s="10"/>
    </row>
    <row r="337">
      <c r="A337" s="10"/>
      <c r="D337" s="10"/>
    </row>
    <row r="338">
      <c r="A338" s="10"/>
      <c r="D338" s="10"/>
    </row>
    <row r="339">
      <c r="A339" s="10"/>
      <c r="D339" s="10"/>
    </row>
    <row r="340">
      <c r="A340" s="10"/>
      <c r="D340" s="10"/>
    </row>
    <row r="341">
      <c r="A341" s="10"/>
      <c r="D341" s="10"/>
    </row>
    <row r="342">
      <c r="A342" s="10"/>
      <c r="D342" s="10"/>
    </row>
    <row r="343">
      <c r="A343" s="10"/>
      <c r="D343" s="10"/>
    </row>
    <row r="344">
      <c r="A344" s="10"/>
      <c r="D344" s="10"/>
    </row>
    <row r="345">
      <c r="A345" s="10"/>
      <c r="D345" s="10"/>
    </row>
    <row r="346">
      <c r="A346" s="10"/>
      <c r="D346" s="10"/>
    </row>
    <row r="347">
      <c r="A347" s="10"/>
      <c r="D347" s="10"/>
    </row>
    <row r="348">
      <c r="A348" s="10"/>
      <c r="D348" s="10"/>
    </row>
    <row r="349">
      <c r="A349" s="10"/>
      <c r="D349" s="10"/>
    </row>
    <row r="350">
      <c r="A350" s="10"/>
      <c r="D350" s="10"/>
    </row>
    <row r="351">
      <c r="A351" s="10"/>
      <c r="D351" s="10"/>
    </row>
    <row r="352">
      <c r="A352" s="10"/>
      <c r="D352" s="10"/>
    </row>
    <row r="353">
      <c r="A353" s="10"/>
      <c r="D353" s="10"/>
    </row>
    <row r="354">
      <c r="A354" s="10"/>
      <c r="D354" s="10"/>
    </row>
    <row r="355">
      <c r="A355" s="10"/>
      <c r="D355" s="10"/>
    </row>
    <row r="356">
      <c r="A356" s="10"/>
      <c r="D356" s="10"/>
    </row>
    <row r="357">
      <c r="A357" s="10"/>
      <c r="D357" s="10"/>
    </row>
    <row r="358">
      <c r="A358" s="10"/>
      <c r="D358" s="10"/>
    </row>
    <row r="359">
      <c r="A359" s="10"/>
      <c r="D359" s="10"/>
    </row>
    <row r="360">
      <c r="A360" s="10"/>
      <c r="D360" s="10"/>
    </row>
    <row r="361">
      <c r="A361" s="10"/>
      <c r="D361" s="10"/>
    </row>
    <row r="362">
      <c r="A362" s="10"/>
      <c r="D362" s="10"/>
    </row>
    <row r="363">
      <c r="A363" s="10"/>
      <c r="D363" s="10"/>
    </row>
    <row r="364">
      <c r="A364" s="10"/>
      <c r="D364" s="10"/>
    </row>
    <row r="365">
      <c r="A365" s="10"/>
      <c r="D365" s="10"/>
    </row>
    <row r="366">
      <c r="A366" s="10"/>
      <c r="D366" s="10"/>
    </row>
    <row r="367">
      <c r="A367" s="10"/>
      <c r="D367" s="10"/>
    </row>
    <row r="368">
      <c r="A368" s="10"/>
      <c r="D368" s="10"/>
    </row>
    <row r="369">
      <c r="A369" s="10"/>
      <c r="D369" s="10"/>
    </row>
    <row r="370">
      <c r="A370" s="10"/>
      <c r="D370" s="10"/>
    </row>
    <row r="371">
      <c r="A371" s="10"/>
      <c r="D371" s="10"/>
    </row>
    <row r="372">
      <c r="A372" s="10"/>
      <c r="D372" s="10"/>
    </row>
    <row r="373">
      <c r="A373" s="10"/>
      <c r="D373" s="10"/>
    </row>
    <row r="374">
      <c r="A374" s="10"/>
      <c r="D374" s="10"/>
    </row>
    <row r="375">
      <c r="A375" s="10"/>
      <c r="D375" s="10"/>
    </row>
    <row r="376">
      <c r="A376" s="10"/>
      <c r="D376" s="10"/>
    </row>
    <row r="377">
      <c r="A377" s="10"/>
      <c r="D377" s="10"/>
    </row>
    <row r="378">
      <c r="A378" s="10"/>
      <c r="D378" s="10"/>
    </row>
    <row r="379">
      <c r="A379" s="10"/>
      <c r="D379" s="10"/>
    </row>
    <row r="380">
      <c r="A380" s="10"/>
      <c r="D380" s="10"/>
    </row>
    <row r="381">
      <c r="A381" s="10"/>
      <c r="D381" s="10"/>
    </row>
    <row r="382">
      <c r="A382" s="10"/>
      <c r="D382" s="10"/>
    </row>
    <row r="383">
      <c r="A383" s="10"/>
      <c r="D383" s="10"/>
    </row>
    <row r="384">
      <c r="A384" s="10"/>
      <c r="D384" s="10"/>
    </row>
    <row r="385">
      <c r="A385" s="10"/>
      <c r="D385" s="10"/>
    </row>
    <row r="386">
      <c r="A386" s="10"/>
      <c r="D386" s="10"/>
    </row>
    <row r="387">
      <c r="A387" s="10"/>
      <c r="D387" s="10"/>
    </row>
    <row r="388">
      <c r="A388" s="10"/>
      <c r="D388" s="10"/>
    </row>
    <row r="389">
      <c r="A389" s="10"/>
      <c r="D389" s="10"/>
    </row>
    <row r="390">
      <c r="A390" s="10"/>
      <c r="D390" s="10"/>
    </row>
    <row r="391">
      <c r="A391" s="10"/>
      <c r="D391" s="10"/>
    </row>
    <row r="392">
      <c r="A392" s="10"/>
      <c r="D392" s="10"/>
    </row>
    <row r="393">
      <c r="A393" s="10"/>
      <c r="D393" s="10"/>
    </row>
    <row r="394">
      <c r="A394" s="10"/>
      <c r="D394" s="10"/>
    </row>
    <row r="395">
      <c r="A395" s="10"/>
      <c r="D395" s="10"/>
    </row>
    <row r="396">
      <c r="A396" s="10"/>
      <c r="D396" s="10"/>
    </row>
    <row r="397">
      <c r="A397" s="10"/>
      <c r="D397" s="10"/>
    </row>
    <row r="398">
      <c r="A398" s="10"/>
      <c r="D398" s="10"/>
    </row>
    <row r="399">
      <c r="A399" s="10"/>
      <c r="D399" s="10"/>
    </row>
    <row r="400">
      <c r="A400" s="10"/>
      <c r="D400" s="10"/>
    </row>
    <row r="401">
      <c r="A401" s="10"/>
      <c r="D401" s="10"/>
    </row>
    <row r="402">
      <c r="A402" s="10"/>
      <c r="D402" s="10"/>
    </row>
    <row r="403">
      <c r="A403" s="10"/>
      <c r="D403" s="10"/>
    </row>
    <row r="404">
      <c r="A404" s="10"/>
      <c r="D404" s="10"/>
    </row>
    <row r="405">
      <c r="A405" s="10"/>
      <c r="D405" s="10"/>
    </row>
    <row r="406">
      <c r="A406" s="10"/>
      <c r="D406" s="10"/>
    </row>
    <row r="407">
      <c r="A407" s="10"/>
      <c r="D407" s="10"/>
    </row>
    <row r="408">
      <c r="A408" s="10"/>
      <c r="D408" s="10"/>
    </row>
    <row r="409">
      <c r="A409" s="10"/>
      <c r="D409" s="10"/>
    </row>
    <row r="410">
      <c r="A410" s="10"/>
      <c r="D410" s="10"/>
    </row>
    <row r="411">
      <c r="A411" s="10"/>
      <c r="D411" s="10"/>
    </row>
    <row r="412">
      <c r="A412" s="10"/>
      <c r="D412" s="10"/>
    </row>
    <row r="413">
      <c r="A413" s="10"/>
      <c r="D413" s="10"/>
    </row>
    <row r="414">
      <c r="A414" s="10"/>
      <c r="D414" s="10"/>
    </row>
    <row r="415">
      <c r="A415" s="10"/>
      <c r="D415" s="10"/>
    </row>
    <row r="416">
      <c r="A416" s="10"/>
      <c r="D416" s="10"/>
    </row>
    <row r="417">
      <c r="A417" s="10"/>
      <c r="D417" s="10"/>
    </row>
    <row r="418">
      <c r="A418" s="10"/>
      <c r="D418" s="10"/>
    </row>
    <row r="419">
      <c r="A419" s="10"/>
      <c r="D419" s="10"/>
    </row>
    <row r="420">
      <c r="A420" s="10"/>
      <c r="D420" s="10"/>
    </row>
    <row r="421">
      <c r="A421" s="10"/>
      <c r="D421" s="10"/>
    </row>
    <row r="422">
      <c r="A422" s="10"/>
      <c r="D422" s="10"/>
    </row>
    <row r="423">
      <c r="A423" s="10"/>
      <c r="D423" s="10"/>
    </row>
    <row r="424">
      <c r="A424" s="10"/>
      <c r="D424" s="10"/>
    </row>
    <row r="425">
      <c r="A425" s="10"/>
      <c r="D425" s="10"/>
    </row>
    <row r="426">
      <c r="A426" s="10"/>
      <c r="D426" s="10"/>
    </row>
    <row r="427">
      <c r="A427" s="10"/>
      <c r="D427" s="10"/>
    </row>
    <row r="428">
      <c r="A428" s="10"/>
      <c r="D428" s="10"/>
    </row>
    <row r="429">
      <c r="A429" s="10"/>
      <c r="D429" s="10"/>
    </row>
    <row r="430">
      <c r="A430" s="10"/>
      <c r="D430" s="10"/>
    </row>
    <row r="431">
      <c r="A431" s="10"/>
      <c r="D431" s="10"/>
    </row>
    <row r="432">
      <c r="A432" s="10"/>
      <c r="D432" s="10"/>
    </row>
    <row r="433">
      <c r="A433" s="10"/>
      <c r="D433" s="10"/>
    </row>
    <row r="434">
      <c r="A434" s="10"/>
      <c r="D434" s="10"/>
    </row>
    <row r="435">
      <c r="A435" s="10"/>
      <c r="D435" s="10"/>
    </row>
    <row r="436">
      <c r="A436" s="10"/>
      <c r="D436" s="10"/>
    </row>
    <row r="437">
      <c r="A437" s="10"/>
      <c r="D437" s="10"/>
    </row>
    <row r="438">
      <c r="A438" s="10"/>
      <c r="D438" s="10"/>
    </row>
    <row r="439">
      <c r="A439" s="10"/>
      <c r="D439" s="10"/>
    </row>
    <row r="440">
      <c r="A440" s="10"/>
      <c r="D440" s="10"/>
    </row>
    <row r="441">
      <c r="A441" s="10"/>
      <c r="D441" s="10"/>
    </row>
    <row r="442">
      <c r="A442" s="10"/>
      <c r="D442" s="10"/>
    </row>
    <row r="443">
      <c r="A443" s="10"/>
      <c r="D443" s="10"/>
    </row>
    <row r="444">
      <c r="A444" s="10"/>
      <c r="D444" s="10"/>
    </row>
    <row r="445">
      <c r="A445" s="10"/>
      <c r="D445" s="10"/>
    </row>
    <row r="446">
      <c r="A446" s="10"/>
      <c r="D446" s="10"/>
    </row>
    <row r="447">
      <c r="A447" s="10"/>
      <c r="D447" s="10"/>
    </row>
    <row r="448">
      <c r="A448" s="10"/>
      <c r="D448" s="10"/>
    </row>
    <row r="449">
      <c r="A449" s="10"/>
      <c r="D449" s="10"/>
    </row>
    <row r="450">
      <c r="A450" s="10"/>
      <c r="D450" s="10"/>
    </row>
    <row r="451">
      <c r="A451" s="10"/>
      <c r="D451" s="10"/>
    </row>
    <row r="452">
      <c r="A452" s="10"/>
      <c r="D452" s="10"/>
    </row>
    <row r="453">
      <c r="A453" s="10"/>
      <c r="D453" s="10"/>
    </row>
    <row r="454">
      <c r="A454" s="10"/>
      <c r="D454" s="10"/>
    </row>
    <row r="455">
      <c r="A455" s="10"/>
      <c r="D455" s="10"/>
    </row>
    <row r="456">
      <c r="A456" s="10"/>
      <c r="D456" s="10"/>
    </row>
    <row r="457">
      <c r="A457" s="10"/>
      <c r="D457" s="10"/>
    </row>
    <row r="458">
      <c r="A458" s="10"/>
      <c r="D458" s="10"/>
    </row>
    <row r="459">
      <c r="A459" s="10"/>
      <c r="D459" s="10"/>
    </row>
    <row r="460">
      <c r="A460" s="10"/>
      <c r="D460" s="10"/>
    </row>
    <row r="461">
      <c r="A461" s="10"/>
      <c r="D461" s="10"/>
    </row>
    <row r="462">
      <c r="A462" s="10"/>
      <c r="D462" s="10"/>
    </row>
    <row r="463">
      <c r="A463" s="10"/>
      <c r="D463" s="10"/>
    </row>
    <row r="464">
      <c r="A464" s="10"/>
      <c r="D464" s="10"/>
    </row>
    <row r="465">
      <c r="A465" s="10"/>
      <c r="D465" s="10"/>
    </row>
    <row r="466">
      <c r="A466" s="10"/>
      <c r="D466" s="10"/>
    </row>
    <row r="467">
      <c r="A467" s="10"/>
      <c r="D467" s="10"/>
    </row>
    <row r="468">
      <c r="A468" s="10"/>
      <c r="D468" s="10"/>
    </row>
    <row r="469">
      <c r="A469" s="10"/>
      <c r="D469" s="10"/>
    </row>
    <row r="470">
      <c r="A470" s="10"/>
      <c r="D470" s="10"/>
    </row>
    <row r="471">
      <c r="A471" s="10"/>
      <c r="D471" s="10"/>
    </row>
    <row r="472">
      <c r="A472" s="10"/>
      <c r="D472" s="10"/>
    </row>
    <row r="473">
      <c r="A473" s="10"/>
      <c r="D473" s="10"/>
    </row>
    <row r="474">
      <c r="A474" s="10"/>
      <c r="D474" s="10"/>
    </row>
    <row r="475">
      <c r="A475" s="10"/>
      <c r="D475" s="10"/>
    </row>
    <row r="476">
      <c r="A476" s="10"/>
      <c r="D476" s="10"/>
    </row>
    <row r="477">
      <c r="A477" s="10"/>
      <c r="D477" s="10"/>
    </row>
    <row r="478">
      <c r="A478" s="10"/>
      <c r="D478" s="10"/>
    </row>
    <row r="479">
      <c r="A479" s="10"/>
      <c r="D479" s="10"/>
    </row>
    <row r="480">
      <c r="A480" s="10"/>
      <c r="D480" s="10"/>
    </row>
    <row r="481">
      <c r="A481" s="10"/>
      <c r="D481" s="10"/>
    </row>
    <row r="482">
      <c r="A482" s="10"/>
      <c r="D482" s="10"/>
    </row>
    <row r="483">
      <c r="A483" s="10"/>
      <c r="D483" s="10"/>
    </row>
    <row r="484">
      <c r="A484" s="10"/>
      <c r="D484" s="10"/>
    </row>
    <row r="485">
      <c r="A485" s="10"/>
      <c r="D485" s="10"/>
    </row>
    <row r="486">
      <c r="A486" s="10"/>
      <c r="D486" s="10"/>
    </row>
    <row r="487">
      <c r="A487" s="10"/>
      <c r="D487" s="10"/>
    </row>
    <row r="488">
      <c r="A488" s="10"/>
      <c r="D488" s="10"/>
    </row>
    <row r="489">
      <c r="A489" s="10"/>
      <c r="D489" s="10"/>
    </row>
    <row r="490">
      <c r="A490" s="10"/>
      <c r="D490" s="10"/>
    </row>
    <row r="491">
      <c r="A491" s="10"/>
      <c r="D491" s="10"/>
    </row>
    <row r="492">
      <c r="A492" s="10"/>
      <c r="D492" s="10"/>
    </row>
    <row r="493">
      <c r="A493" s="10"/>
      <c r="D493" s="10"/>
    </row>
    <row r="494">
      <c r="A494" s="10"/>
      <c r="D494" s="10"/>
    </row>
    <row r="495">
      <c r="A495" s="10"/>
      <c r="D495" s="10"/>
    </row>
    <row r="496">
      <c r="A496" s="10"/>
      <c r="D496" s="10"/>
    </row>
    <row r="497">
      <c r="A497" s="10"/>
      <c r="D497" s="10"/>
    </row>
    <row r="498">
      <c r="A498" s="10"/>
      <c r="D498" s="10"/>
    </row>
    <row r="499">
      <c r="A499" s="10"/>
      <c r="D499" s="10"/>
    </row>
    <row r="500">
      <c r="A500" s="10"/>
      <c r="D500" s="10"/>
    </row>
    <row r="501">
      <c r="A501" s="10"/>
      <c r="D501" s="10"/>
    </row>
    <row r="502">
      <c r="A502" s="10"/>
      <c r="D502" s="10"/>
    </row>
    <row r="503">
      <c r="A503" s="10"/>
      <c r="D503" s="10"/>
    </row>
    <row r="504">
      <c r="A504" s="10"/>
      <c r="D504" s="10"/>
    </row>
    <row r="505">
      <c r="A505" s="10"/>
      <c r="D505" s="10"/>
    </row>
    <row r="506">
      <c r="A506" s="10"/>
      <c r="D506" s="10"/>
    </row>
    <row r="507">
      <c r="A507" s="10"/>
      <c r="D507" s="10"/>
    </row>
    <row r="508">
      <c r="A508" s="10"/>
      <c r="D508" s="10"/>
    </row>
    <row r="509">
      <c r="A509" s="10"/>
      <c r="D509" s="10"/>
    </row>
    <row r="510">
      <c r="A510" s="10"/>
      <c r="D510" s="10"/>
    </row>
    <row r="511">
      <c r="A511" s="10"/>
      <c r="D511" s="10"/>
    </row>
    <row r="512">
      <c r="A512" s="10"/>
      <c r="D512" s="10"/>
    </row>
    <row r="513">
      <c r="A513" s="10"/>
      <c r="D513" s="10"/>
    </row>
    <row r="514">
      <c r="A514" s="10"/>
      <c r="D514" s="10"/>
    </row>
    <row r="515">
      <c r="A515" s="10"/>
      <c r="D515" s="10"/>
    </row>
    <row r="516">
      <c r="A516" s="10"/>
      <c r="D516" s="10"/>
    </row>
    <row r="517">
      <c r="A517" s="10"/>
      <c r="D517" s="10"/>
    </row>
    <row r="518">
      <c r="A518" s="10"/>
      <c r="D518" s="10"/>
    </row>
    <row r="519">
      <c r="A519" s="10"/>
      <c r="D519" s="10"/>
    </row>
    <row r="520">
      <c r="A520" s="10"/>
      <c r="D520" s="10"/>
    </row>
    <row r="521">
      <c r="A521" s="10"/>
      <c r="D521" s="10"/>
    </row>
    <row r="522">
      <c r="A522" s="10"/>
      <c r="D522" s="10"/>
    </row>
    <row r="523">
      <c r="A523" s="10"/>
      <c r="D523" s="10"/>
    </row>
    <row r="524">
      <c r="A524" s="10"/>
      <c r="D524" s="10"/>
    </row>
    <row r="525">
      <c r="A525" s="10"/>
      <c r="D525" s="10"/>
    </row>
    <row r="526">
      <c r="A526" s="10"/>
      <c r="D526" s="10"/>
    </row>
    <row r="527">
      <c r="A527" s="10"/>
      <c r="D527" s="10"/>
    </row>
    <row r="528">
      <c r="A528" s="10"/>
      <c r="D528" s="10"/>
    </row>
    <row r="529">
      <c r="A529" s="10"/>
      <c r="D529" s="10"/>
    </row>
    <row r="530">
      <c r="A530" s="10"/>
      <c r="D530" s="10"/>
    </row>
    <row r="531">
      <c r="A531" s="10"/>
      <c r="D531" s="10"/>
    </row>
    <row r="532">
      <c r="A532" s="10"/>
      <c r="D532" s="10"/>
    </row>
    <row r="533">
      <c r="A533" s="10"/>
      <c r="D533" s="10"/>
    </row>
    <row r="534">
      <c r="A534" s="10"/>
      <c r="D534" s="10"/>
    </row>
    <row r="535">
      <c r="A535" s="10"/>
      <c r="D535" s="10"/>
    </row>
    <row r="536">
      <c r="A536" s="10"/>
      <c r="D536" s="10"/>
    </row>
    <row r="537">
      <c r="A537" s="10"/>
      <c r="D537" s="10"/>
    </row>
    <row r="538">
      <c r="A538" s="10"/>
      <c r="D538" s="10"/>
    </row>
    <row r="539">
      <c r="A539" s="10"/>
      <c r="D539" s="10"/>
    </row>
    <row r="540">
      <c r="A540" s="10"/>
      <c r="D540" s="10"/>
    </row>
    <row r="541">
      <c r="A541" s="10"/>
      <c r="D541" s="10"/>
    </row>
    <row r="542">
      <c r="A542" s="10"/>
      <c r="D542" s="10"/>
    </row>
    <row r="543">
      <c r="A543" s="10"/>
      <c r="D543" s="10"/>
    </row>
    <row r="544">
      <c r="A544" s="10"/>
      <c r="D544" s="10"/>
    </row>
    <row r="545">
      <c r="A545" s="10"/>
      <c r="D545" s="10"/>
    </row>
    <row r="546">
      <c r="A546" s="10"/>
      <c r="D546" s="10"/>
    </row>
    <row r="547">
      <c r="A547" s="10"/>
      <c r="D547" s="10"/>
    </row>
    <row r="548">
      <c r="A548" s="10"/>
      <c r="D548" s="10"/>
    </row>
    <row r="549">
      <c r="A549" s="10"/>
      <c r="D549" s="10"/>
    </row>
    <row r="550">
      <c r="A550" s="10"/>
      <c r="D550" s="10"/>
    </row>
    <row r="551">
      <c r="A551" s="10"/>
      <c r="D551" s="10"/>
    </row>
    <row r="552">
      <c r="A552" s="10"/>
      <c r="D552" s="10"/>
    </row>
    <row r="553">
      <c r="A553" s="10"/>
      <c r="D553" s="10"/>
    </row>
    <row r="554">
      <c r="A554" s="10"/>
      <c r="D554" s="10"/>
    </row>
    <row r="555">
      <c r="A555" s="10"/>
      <c r="D555" s="10"/>
    </row>
    <row r="556">
      <c r="A556" s="10"/>
      <c r="D556" s="10"/>
    </row>
    <row r="557">
      <c r="A557" s="10"/>
      <c r="D557" s="10"/>
    </row>
    <row r="558">
      <c r="A558" s="10"/>
      <c r="D558" s="10"/>
    </row>
    <row r="559">
      <c r="A559" s="10"/>
      <c r="D559" s="10"/>
    </row>
    <row r="560">
      <c r="A560" s="10"/>
      <c r="D560" s="10"/>
    </row>
    <row r="561">
      <c r="A561" s="10"/>
      <c r="D561" s="10"/>
    </row>
    <row r="562">
      <c r="A562" s="10"/>
      <c r="D562" s="10"/>
    </row>
    <row r="563">
      <c r="A563" s="10"/>
      <c r="D563" s="10"/>
    </row>
    <row r="564">
      <c r="A564" s="10"/>
      <c r="D564" s="10"/>
    </row>
    <row r="565">
      <c r="A565" s="10"/>
      <c r="D565" s="10"/>
    </row>
    <row r="566">
      <c r="A566" s="10"/>
      <c r="D566" s="10"/>
    </row>
    <row r="567">
      <c r="A567" s="10"/>
      <c r="D567" s="10"/>
    </row>
    <row r="568">
      <c r="A568" s="10"/>
      <c r="D568" s="10"/>
    </row>
    <row r="569">
      <c r="A569" s="10"/>
      <c r="D569" s="10"/>
    </row>
    <row r="570">
      <c r="A570" s="10"/>
      <c r="D570" s="10"/>
    </row>
    <row r="571">
      <c r="A571" s="10"/>
      <c r="D571" s="10"/>
    </row>
    <row r="572">
      <c r="A572" s="10"/>
      <c r="D572" s="10"/>
    </row>
    <row r="573">
      <c r="A573" s="10"/>
      <c r="D573" s="10"/>
    </row>
    <row r="574">
      <c r="A574" s="10"/>
      <c r="D574" s="10"/>
    </row>
    <row r="575">
      <c r="A575" s="10"/>
      <c r="D575" s="10"/>
    </row>
    <row r="576">
      <c r="A576" s="10"/>
      <c r="D576" s="10"/>
    </row>
    <row r="577">
      <c r="A577" s="10"/>
      <c r="D577" s="10"/>
    </row>
    <row r="578">
      <c r="A578" s="10"/>
      <c r="D578" s="10"/>
    </row>
    <row r="579">
      <c r="A579" s="10"/>
      <c r="D579" s="10"/>
    </row>
    <row r="580">
      <c r="A580" s="10"/>
      <c r="D580" s="10"/>
    </row>
    <row r="581">
      <c r="A581" s="10"/>
      <c r="D581" s="10"/>
    </row>
    <row r="582">
      <c r="A582" s="10"/>
      <c r="D582" s="10"/>
    </row>
    <row r="583">
      <c r="A583" s="10"/>
      <c r="D583" s="10"/>
    </row>
    <row r="584">
      <c r="A584" s="10"/>
      <c r="D584" s="10"/>
    </row>
    <row r="585">
      <c r="A585" s="10"/>
      <c r="D585" s="10"/>
    </row>
    <row r="586">
      <c r="A586" s="10"/>
      <c r="D586" s="10"/>
    </row>
    <row r="587">
      <c r="A587" s="10"/>
      <c r="D587" s="10"/>
    </row>
    <row r="588">
      <c r="A588" s="10"/>
      <c r="D588" s="10"/>
    </row>
    <row r="589">
      <c r="A589" s="10"/>
      <c r="D589" s="10"/>
    </row>
    <row r="590">
      <c r="A590" s="10"/>
      <c r="D590" s="10"/>
    </row>
    <row r="591">
      <c r="A591" s="10"/>
      <c r="D591" s="10"/>
    </row>
    <row r="592">
      <c r="A592" s="10"/>
      <c r="D592" s="10"/>
    </row>
    <row r="593">
      <c r="A593" s="10"/>
      <c r="D593" s="10"/>
    </row>
    <row r="594">
      <c r="A594" s="10"/>
      <c r="D594" s="10"/>
    </row>
    <row r="595">
      <c r="A595" s="10"/>
      <c r="D595" s="10"/>
    </row>
    <row r="596">
      <c r="A596" s="10"/>
      <c r="D596" s="10"/>
    </row>
    <row r="597">
      <c r="A597" s="10"/>
      <c r="D597" s="10"/>
    </row>
    <row r="598">
      <c r="A598" s="10"/>
      <c r="D598" s="10"/>
    </row>
    <row r="599">
      <c r="A599" s="10"/>
      <c r="D599" s="10"/>
    </row>
    <row r="600">
      <c r="A600" s="10"/>
      <c r="D600" s="10"/>
    </row>
    <row r="601">
      <c r="A601" s="10"/>
      <c r="D601" s="10"/>
    </row>
    <row r="602">
      <c r="A602" s="10"/>
      <c r="D602" s="10"/>
    </row>
    <row r="603">
      <c r="A603" s="10"/>
      <c r="D603" s="10"/>
    </row>
    <row r="604">
      <c r="A604" s="10"/>
      <c r="D604" s="10"/>
    </row>
    <row r="605">
      <c r="A605" s="10"/>
      <c r="D605" s="10"/>
    </row>
    <row r="606">
      <c r="A606" s="10"/>
      <c r="D606" s="10"/>
    </row>
    <row r="607">
      <c r="A607" s="10"/>
      <c r="D607" s="10"/>
    </row>
    <row r="608">
      <c r="A608" s="10"/>
      <c r="D608" s="10"/>
    </row>
    <row r="609">
      <c r="A609" s="10"/>
      <c r="D609" s="10"/>
    </row>
    <row r="610">
      <c r="A610" s="10"/>
      <c r="D610" s="10"/>
    </row>
    <row r="611">
      <c r="A611" s="10"/>
      <c r="D611" s="10"/>
    </row>
    <row r="612">
      <c r="A612" s="10"/>
      <c r="D612" s="10"/>
    </row>
    <row r="613">
      <c r="A613" s="10"/>
      <c r="D613" s="10"/>
    </row>
    <row r="614">
      <c r="A614" s="10"/>
      <c r="D614" s="10"/>
    </row>
    <row r="615">
      <c r="A615" s="10"/>
      <c r="D615" s="10"/>
    </row>
    <row r="616">
      <c r="A616" s="10"/>
      <c r="D616" s="10"/>
    </row>
    <row r="617">
      <c r="A617" s="10"/>
      <c r="D617" s="10"/>
    </row>
    <row r="618">
      <c r="A618" s="10"/>
      <c r="D618" s="10"/>
    </row>
    <row r="619">
      <c r="A619" s="10"/>
      <c r="D619" s="10"/>
    </row>
    <row r="620">
      <c r="A620" s="10"/>
      <c r="D620" s="10"/>
    </row>
    <row r="621">
      <c r="A621" s="10"/>
      <c r="D621" s="10"/>
    </row>
    <row r="622">
      <c r="A622" s="10"/>
      <c r="D622" s="10"/>
    </row>
    <row r="623">
      <c r="A623" s="10"/>
      <c r="D623" s="10"/>
    </row>
    <row r="624">
      <c r="A624" s="10"/>
      <c r="D624" s="10"/>
    </row>
    <row r="625">
      <c r="A625" s="10"/>
      <c r="D625" s="10"/>
    </row>
    <row r="626">
      <c r="A626" s="10"/>
      <c r="D626" s="10"/>
    </row>
    <row r="627">
      <c r="A627" s="10"/>
      <c r="D627" s="10"/>
    </row>
    <row r="628">
      <c r="A628" s="10"/>
      <c r="D628" s="10"/>
    </row>
    <row r="629">
      <c r="A629" s="10"/>
      <c r="D629" s="10"/>
    </row>
    <row r="630">
      <c r="A630" s="10"/>
      <c r="D630" s="10"/>
    </row>
    <row r="631">
      <c r="A631" s="10"/>
      <c r="D631" s="10"/>
    </row>
    <row r="632">
      <c r="A632" s="10"/>
      <c r="D632" s="10"/>
    </row>
    <row r="633">
      <c r="A633" s="10"/>
      <c r="D633" s="10"/>
    </row>
    <row r="634">
      <c r="A634" s="10"/>
      <c r="D634" s="10"/>
    </row>
    <row r="635">
      <c r="A635" s="10"/>
      <c r="D635" s="10"/>
    </row>
    <row r="636">
      <c r="A636" s="10"/>
      <c r="D636" s="10"/>
    </row>
    <row r="637">
      <c r="A637" s="10"/>
      <c r="D637" s="10"/>
    </row>
    <row r="638">
      <c r="A638" s="10"/>
      <c r="D638" s="10"/>
    </row>
    <row r="639">
      <c r="A639" s="10"/>
      <c r="D639" s="10"/>
    </row>
    <row r="640">
      <c r="A640" s="10"/>
      <c r="D640" s="10"/>
    </row>
    <row r="641">
      <c r="A641" s="10"/>
      <c r="D641" s="10"/>
    </row>
    <row r="642">
      <c r="A642" s="10"/>
      <c r="D642" s="10"/>
    </row>
    <row r="643">
      <c r="A643" s="10"/>
      <c r="D643" s="10"/>
    </row>
    <row r="644">
      <c r="A644" s="10"/>
      <c r="D644" s="10"/>
    </row>
    <row r="645">
      <c r="A645" s="10"/>
      <c r="D645" s="10"/>
    </row>
    <row r="646">
      <c r="A646" s="10"/>
      <c r="D646" s="10"/>
    </row>
    <row r="647">
      <c r="A647" s="10"/>
      <c r="D647" s="10"/>
    </row>
    <row r="648">
      <c r="A648" s="10"/>
      <c r="D648" s="10"/>
    </row>
    <row r="649">
      <c r="A649" s="10"/>
      <c r="D649" s="10"/>
    </row>
    <row r="650">
      <c r="A650" s="10"/>
      <c r="D650" s="10"/>
    </row>
    <row r="651">
      <c r="A651" s="10"/>
      <c r="D651" s="10"/>
    </row>
    <row r="652">
      <c r="A652" s="10"/>
      <c r="D652" s="10"/>
    </row>
    <row r="653">
      <c r="A653" s="10"/>
      <c r="D653" s="10"/>
    </row>
    <row r="654">
      <c r="A654" s="10"/>
      <c r="D654" s="10"/>
    </row>
    <row r="655">
      <c r="A655" s="10"/>
      <c r="D655" s="10"/>
    </row>
    <row r="656">
      <c r="A656" s="10"/>
      <c r="D656" s="10"/>
    </row>
    <row r="657">
      <c r="A657" s="10"/>
      <c r="D657" s="10"/>
    </row>
    <row r="658">
      <c r="A658" s="10"/>
      <c r="D658" s="10"/>
    </row>
    <row r="659">
      <c r="A659" s="10"/>
      <c r="D659" s="10"/>
    </row>
    <row r="660">
      <c r="A660" s="10"/>
      <c r="D660" s="10"/>
    </row>
    <row r="661">
      <c r="A661" s="10"/>
      <c r="D661" s="10"/>
    </row>
    <row r="662">
      <c r="A662" s="10"/>
      <c r="D662" s="10"/>
    </row>
    <row r="663">
      <c r="A663" s="10"/>
      <c r="D663" s="10"/>
    </row>
    <row r="664">
      <c r="A664" s="10"/>
      <c r="D664" s="10"/>
    </row>
    <row r="665">
      <c r="A665" s="10"/>
      <c r="D665" s="10"/>
    </row>
    <row r="666">
      <c r="A666" s="10"/>
      <c r="D666" s="10"/>
    </row>
    <row r="667">
      <c r="A667" s="10"/>
      <c r="D667" s="10"/>
    </row>
    <row r="668">
      <c r="A668" s="10"/>
      <c r="D668" s="10"/>
    </row>
    <row r="669">
      <c r="A669" s="10"/>
      <c r="D669" s="10"/>
    </row>
    <row r="670">
      <c r="A670" s="10"/>
      <c r="D670" s="10"/>
    </row>
    <row r="671">
      <c r="A671" s="10"/>
      <c r="D671" s="10"/>
    </row>
    <row r="672">
      <c r="A672" s="10"/>
      <c r="D672" s="10"/>
    </row>
    <row r="673">
      <c r="A673" s="10"/>
      <c r="D673" s="10"/>
    </row>
    <row r="674">
      <c r="A674" s="10"/>
      <c r="D674" s="10"/>
    </row>
    <row r="675">
      <c r="A675" s="10"/>
      <c r="D675" s="10"/>
    </row>
    <row r="676">
      <c r="A676" s="10"/>
      <c r="D676" s="10"/>
    </row>
    <row r="677">
      <c r="A677" s="10"/>
      <c r="D677" s="10"/>
    </row>
    <row r="678">
      <c r="A678" s="10"/>
      <c r="D678" s="10"/>
    </row>
    <row r="679">
      <c r="A679" s="10"/>
      <c r="D679" s="10"/>
    </row>
    <row r="680">
      <c r="A680" s="10"/>
      <c r="D680" s="10"/>
    </row>
    <row r="681">
      <c r="A681" s="10"/>
      <c r="D681" s="10"/>
    </row>
    <row r="682">
      <c r="A682" s="10"/>
      <c r="D682" s="10"/>
    </row>
    <row r="683">
      <c r="A683" s="10"/>
      <c r="D683" s="10"/>
    </row>
    <row r="684">
      <c r="A684" s="10"/>
      <c r="D684" s="10"/>
    </row>
    <row r="685">
      <c r="A685" s="10"/>
      <c r="D685" s="10"/>
    </row>
    <row r="686">
      <c r="A686" s="10"/>
      <c r="D686" s="10"/>
    </row>
    <row r="687">
      <c r="A687" s="10"/>
      <c r="D687" s="10"/>
    </row>
    <row r="688">
      <c r="A688" s="10"/>
      <c r="D688" s="10"/>
    </row>
    <row r="689">
      <c r="A689" s="10"/>
      <c r="D689" s="10"/>
    </row>
    <row r="690">
      <c r="A690" s="10"/>
      <c r="D690" s="10"/>
    </row>
    <row r="691">
      <c r="A691" s="10"/>
      <c r="D691" s="10"/>
    </row>
    <row r="692">
      <c r="A692" s="10"/>
      <c r="D692" s="10"/>
    </row>
    <row r="693">
      <c r="A693" s="10"/>
      <c r="D693" s="10"/>
    </row>
    <row r="694">
      <c r="A694" s="10"/>
      <c r="D694" s="10"/>
    </row>
    <row r="695">
      <c r="A695" s="10"/>
      <c r="D695" s="10"/>
    </row>
    <row r="696">
      <c r="A696" s="10"/>
      <c r="D696" s="10"/>
    </row>
    <row r="697">
      <c r="A697" s="10"/>
      <c r="D697" s="10"/>
    </row>
    <row r="698">
      <c r="A698" s="10"/>
      <c r="D698" s="10"/>
    </row>
    <row r="699">
      <c r="A699" s="10"/>
      <c r="D699" s="10"/>
    </row>
    <row r="700">
      <c r="A700" s="10"/>
      <c r="D700" s="10"/>
    </row>
    <row r="701">
      <c r="A701" s="10"/>
      <c r="D701" s="10"/>
    </row>
    <row r="702">
      <c r="A702" s="10"/>
      <c r="D702" s="10"/>
    </row>
    <row r="703">
      <c r="A703" s="10"/>
      <c r="D703" s="10"/>
    </row>
    <row r="704">
      <c r="A704" s="10"/>
      <c r="D704" s="10"/>
    </row>
    <row r="705">
      <c r="A705" s="10"/>
      <c r="D705" s="10"/>
    </row>
    <row r="706">
      <c r="A706" s="10"/>
      <c r="D706" s="10"/>
    </row>
    <row r="707">
      <c r="A707" s="10"/>
      <c r="D707" s="10"/>
    </row>
    <row r="708">
      <c r="A708" s="10"/>
      <c r="D708" s="10"/>
    </row>
    <row r="709">
      <c r="A709" s="10"/>
      <c r="D709" s="10"/>
    </row>
    <row r="710">
      <c r="A710" s="10"/>
      <c r="D710" s="10"/>
    </row>
    <row r="711">
      <c r="A711" s="10"/>
      <c r="D711" s="10"/>
    </row>
    <row r="712">
      <c r="A712" s="10"/>
      <c r="D712" s="10"/>
    </row>
    <row r="713">
      <c r="A713" s="10"/>
      <c r="D713" s="10"/>
    </row>
    <row r="714">
      <c r="A714" s="10"/>
      <c r="D714" s="10"/>
    </row>
    <row r="715">
      <c r="A715" s="10"/>
      <c r="D715" s="10"/>
    </row>
    <row r="716">
      <c r="A716" s="10"/>
      <c r="D716" s="10"/>
    </row>
    <row r="717">
      <c r="A717" s="10"/>
      <c r="D717" s="10"/>
    </row>
    <row r="718">
      <c r="A718" s="10"/>
      <c r="D718" s="10"/>
    </row>
    <row r="719">
      <c r="A719" s="10"/>
      <c r="D719" s="10"/>
    </row>
    <row r="720">
      <c r="A720" s="10"/>
      <c r="D720" s="10"/>
    </row>
    <row r="721">
      <c r="A721" s="10"/>
      <c r="D721" s="10"/>
    </row>
    <row r="722">
      <c r="A722" s="10"/>
      <c r="D722" s="10"/>
    </row>
    <row r="723">
      <c r="A723" s="10"/>
      <c r="D723" s="10"/>
    </row>
    <row r="724">
      <c r="A724" s="10"/>
      <c r="D724" s="10"/>
    </row>
    <row r="725">
      <c r="A725" s="10"/>
      <c r="D725" s="10"/>
    </row>
    <row r="726">
      <c r="A726" s="10"/>
      <c r="D726" s="10"/>
    </row>
    <row r="727">
      <c r="A727" s="10"/>
      <c r="D727" s="10"/>
    </row>
    <row r="728">
      <c r="A728" s="10"/>
      <c r="D728" s="10"/>
    </row>
    <row r="729">
      <c r="A729" s="10"/>
      <c r="D729" s="10"/>
    </row>
    <row r="730">
      <c r="A730" s="10"/>
      <c r="D730" s="10"/>
    </row>
    <row r="731">
      <c r="A731" s="10"/>
      <c r="D731" s="10"/>
    </row>
    <row r="732">
      <c r="A732" s="10"/>
      <c r="D732" s="10"/>
    </row>
    <row r="733">
      <c r="A733" s="10"/>
      <c r="D733" s="10"/>
    </row>
    <row r="734">
      <c r="A734" s="10"/>
      <c r="D734" s="10"/>
    </row>
    <row r="735">
      <c r="A735" s="10"/>
      <c r="D735" s="10"/>
    </row>
    <row r="736">
      <c r="A736" s="10"/>
      <c r="D736" s="10"/>
    </row>
    <row r="737">
      <c r="A737" s="10"/>
      <c r="D737" s="10"/>
    </row>
    <row r="738">
      <c r="A738" s="10"/>
      <c r="D738" s="10"/>
    </row>
    <row r="739">
      <c r="A739" s="10"/>
      <c r="D739" s="10"/>
    </row>
    <row r="740">
      <c r="A740" s="10"/>
      <c r="D740" s="10"/>
    </row>
    <row r="741">
      <c r="A741" s="10"/>
      <c r="D741" s="10"/>
    </row>
    <row r="742">
      <c r="A742" s="10"/>
      <c r="D742" s="10"/>
    </row>
    <row r="743">
      <c r="A743" s="10"/>
      <c r="D743" s="10"/>
    </row>
    <row r="744">
      <c r="A744" s="10"/>
      <c r="D744" s="10"/>
    </row>
    <row r="745">
      <c r="A745" s="10"/>
      <c r="D745" s="10"/>
    </row>
    <row r="746">
      <c r="A746" s="10"/>
      <c r="D746" s="10"/>
    </row>
    <row r="747">
      <c r="A747" s="10"/>
      <c r="D747" s="10"/>
    </row>
    <row r="748">
      <c r="A748" s="10"/>
      <c r="D748" s="10"/>
    </row>
    <row r="749">
      <c r="A749" s="10"/>
      <c r="D749" s="10"/>
    </row>
    <row r="750">
      <c r="A750" s="10"/>
      <c r="D750" s="10"/>
    </row>
    <row r="751">
      <c r="A751" s="10"/>
      <c r="D751" s="10"/>
    </row>
    <row r="752">
      <c r="A752" s="10"/>
      <c r="D752" s="10"/>
    </row>
    <row r="753">
      <c r="A753" s="10"/>
      <c r="D753" s="10"/>
    </row>
    <row r="754">
      <c r="A754" s="10"/>
      <c r="D754" s="10"/>
    </row>
    <row r="755">
      <c r="A755" s="10"/>
      <c r="D755" s="10"/>
    </row>
    <row r="756">
      <c r="A756" s="10"/>
      <c r="D756" s="10"/>
    </row>
    <row r="757">
      <c r="A757" s="10"/>
      <c r="D757" s="10"/>
    </row>
    <row r="758">
      <c r="A758" s="10"/>
      <c r="D758" s="10"/>
    </row>
    <row r="759">
      <c r="A759" s="10"/>
      <c r="D759" s="10"/>
    </row>
    <row r="760">
      <c r="A760" s="10"/>
      <c r="D760" s="10"/>
    </row>
    <row r="761">
      <c r="A761" s="10"/>
      <c r="D761" s="10"/>
    </row>
    <row r="762">
      <c r="A762" s="10"/>
      <c r="D762" s="10"/>
    </row>
    <row r="763">
      <c r="A763" s="10"/>
      <c r="D763" s="10"/>
    </row>
    <row r="764">
      <c r="A764" s="10"/>
      <c r="D764" s="10"/>
    </row>
    <row r="765">
      <c r="A765" s="10"/>
      <c r="D765" s="10"/>
    </row>
    <row r="766">
      <c r="A766" s="10"/>
      <c r="D766" s="10"/>
    </row>
    <row r="767">
      <c r="A767" s="10"/>
      <c r="D767" s="10"/>
    </row>
    <row r="768">
      <c r="A768" s="10"/>
      <c r="D768" s="10"/>
    </row>
    <row r="769">
      <c r="A769" s="10"/>
      <c r="D769" s="10"/>
    </row>
    <row r="770">
      <c r="A770" s="10"/>
      <c r="D770" s="10"/>
    </row>
    <row r="771">
      <c r="A771" s="10"/>
      <c r="D771" s="10"/>
    </row>
    <row r="772">
      <c r="A772" s="10"/>
      <c r="D772" s="10"/>
    </row>
    <row r="773">
      <c r="A773" s="10"/>
      <c r="D773" s="10"/>
    </row>
    <row r="774">
      <c r="A774" s="10"/>
      <c r="D774" s="10"/>
    </row>
    <row r="775">
      <c r="A775" s="10"/>
      <c r="D775" s="10"/>
    </row>
    <row r="776">
      <c r="A776" s="10"/>
      <c r="D776" s="10"/>
    </row>
    <row r="777">
      <c r="A777" s="10"/>
      <c r="D777" s="10"/>
    </row>
    <row r="778">
      <c r="A778" s="10"/>
      <c r="D778" s="10"/>
    </row>
    <row r="779">
      <c r="A779" s="10"/>
      <c r="D779" s="10"/>
    </row>
    <row r="780">
      <c r="A780" s="10"/>
      <c r="D780" s="10"/>
    </row>
    <row r="781">
      <c r="A781" s="10"/>
      <c r="D781" s="10"/>
    </row>
    <row r="782">
      <c r="A782" s="10"/>
      <c r="D782" s="10"/>
    </row>
    <row r="783">
      <c r="A783" s="10"/>
      <c r="D783" s="10"/>
    </row>
    <row r="784">
      <c r="A784" s="10"/>
      <c r="D784" s="10"/>
    </row>
    <row r="785">
      <c r="A785" s="10"/>
      <c r="D785" s="10"/>
    </row>
    <row r="786">
      <c r="A786" s="10"/>
      <c r="D786" s="10"/>
    </row>
    <row r="787">
      <c r="A787" s="10"/>
      <c r="D787" s="10"/>
    </row>
    <row r="788">
      <c r="A788" s="10"/>
      <c r="D788" s="10"/>
    </row>
    <row r="789">
      <c r="A789" s="10"/>
      <c r="D789" s="10"/>
    </row>
    <row r="790">
      <c r="A790" s="10"/>
      <c r="D790" s="10"/>
    </row>
    <row r="791">
      <c r="A791" s="10"/>
      <c r="D791" s="10"/>
    </row>
    <row r="792">
      <c r="A792" s="10"/>
      <c r="D792" s="10"/>
    </row>
    <row r="793">
      <c r="A793" s="10"/>
      <c r="D793" s="10"/>
    </row>
    <row r="794">
      <c r="A794" s="10"/>
      <c r="D794" s="10"/>
    </row>
    <row r="795">
      <c r="A795" s="10"/>
      <c r="D795" s="10"/>
    </row>
    <row r="796">
      <c r="A796" s="10"/>
      <c r="D796" s="10"/>
    </row>
    <row r="797">
      <c r="A797" s="10"/>
      <c r="D797" s="10"/>
    </row>
    <row r="798">
      <c r="A798" s="10"/>
      <c r="D798" s="10"/>
    </row>
    <row r="799">
      <c r="A799" s="10"/>
      <c r="D799" s="10"/>
    </row>
    <row r="800">
      <c r="A800" s="10"/>
      <c r="D800" s="10"/>
    </row>
    <row r="801">
      <c r="A801" s="10"/>
      <c r="D801" s="10"/>
    </row>
    <row r="802">
      <c r="A802" s="10"/>
      <c r="D802" s="10"/>
    </row>
    <row r="803">
      <c r="A803" s="10"/>
      <c r="D803" s="10"/>
    </row>
    <row r="804">
      <c r="A804" s="10"/>
      <c r="D804" s="10"/>
    </row>
    <row r="805">
      <c r="A805" s="10"/>
      <c r="D805" s="10"/>
    </row>
    <row r="806">
      <c r="A806" s="10"/>
      <c r="D806" s="10"/>
    </row>
    <row r="807">
      <c r="A807" s="10"/>
      <c r="D807" s="10"/>
    </row>
    <row r="808">
      <c r="A808" s="10"/>
      <c r="D808" s="10"/>
    </row>
    <row r="809">
      <c r="A809" s="10"/>
      <c r="D809" s="10"/>
    </row>
    <row r="810">
      <c r="A810" s="10"/>
      <c r="D810" s="10"/>
    </row>
    <row r="811">
      <c r="A811" s="10"/>
      <c r="D811" s="10"/>
    </row>
    <row r="812">
      <c r="A812" s="10"/>
      <c r="D812" s="10"/>
    </row>
    <row r="813">
      <c r="A813" s="10"/>
      <c r="D813" s="10"/>
    </row>
    <row r="814">
      <c r="A814" s="10"/>
      <c r="D814" s="10"/>
    </row>
    <row r="815">
      <c r="A815" s="10"/>
      <c r="D815" s="10"/>
    </row>
    <row r="816">
      <c r="A816" s="10"/>
      <c r="D816" s="10"/>
    </row>
    <row r="817">
      <c r="A817" s="10"/>
      <c r="D817" s="10"/>
    </row>
    <row r="818">
      <c r="A818" s="10"/>
      <c r="D818" s="10"/>
    </row>
    <row r="819">
      <c r="A819" s="10"/>
      <c r="D819" s="10"/>
    </row>
    <row r="820">
      <c r="A820" s="10"/>
      <c r="D820" s="10"/>
    </row>
    <row r="821">
      <c r="A821" s="10"/>
      <c r="D821" s="10"/>
    </row>
    <row r="822">
      <c r="A822" s="10"/>
      <c r="D822" s="10"/>
    </row>
    <row r="823">
      <c r="A823" s="10"/>
      <c r="D823" s="10"/>
    </row>
    <row r="824">
      <c r="A824" s="10"/>
      <c r="D824" s="10"/>
    </row>
    <row r="825">
      <c r="A825" s="10"/>
      <c r="D825" s="10"/>
    </row>
    <row r="826">
      <c r="A826" s="10"/>
      <c r="D826" s="10"/>
    </row>
    <row r="827">
      <c r="A827" s="10"/>
      <c r="D827" s="10"/>
    </row>
    <row r="828">
      <c r="A828" s="10"/>
      <c r="D828" s="10"/>
    </row>
    <row r="829">
      <c r="A829" s="10"/>
      <c r="D829" s="10"/>
    </row>
    <row r="830">
      <c r="A830" s="10"/>
      <c r="D830" s="10"/>
    </row>
    <row r="831">
      <c r="A831" s="10"/>
      <c r="D831" s="10"/>
    </row>
    <row r="832">
      <c r="A832" s="10"/>
      <c r="D832" s="10"/>
    </row>
    <row r="833">
      <c r="A833" s="10"/>
      <c r="D833" s="10"/>
    </row>
    <row r="834">
      <c r="A834" s="10"/>
      <c r="D834" s="10"/>
    </row>
    <row r="835">
      <c r="A835" s="10"/>
      <c r="D835" s="10"/>
    </row>
    <row r="836">
      <c r="A836" s="10"/>
      <c r="D836" s="10"/>
    </row>
    <row r="837">
      <c r="A837" s="10"/>
      <c r="D837" s="10"/>
    </row>
    <row r="838">
      <c r="A838" s="10"/>
      <c r="D838" s="10"/>
    </row>
    <row r="839">
      <c r="A839" s="10"/>
      <c r="D839" s="10"/>
    </row>
    <row r="840">
      <c r="A840" s="10"/>
      <c r="D840" s="10"/>
    </row>
    <row r="841">
      <c r="A841" s="10"/>
      <c r="D841" s="10"/>
    </row>
    <row r="842">
      <c r="A842" s="10"/>
      <c r="D842" s="10"/>
    </row>
    <row r="843">
      <c r="A843" s="10"/>
      <c r="D843" s="10"/>
    </row>
    <row r="844">
      <c r="A844" s="10"/>
      <c r="D844" s="10"/>
    </row>
    <row r="845">
      <c r="A845" s="10"/>
      <c r="D845" s="10"/>
    </row>
    <row r="846">
      <c r="A846" s="10"/>
      <c r="D846" s="10"/>
    </row>
    <row r="847">
      <c r="A847" s="10"/>
      <c r="D847" s="10"/>
    </row>
    <row r="848">
      <c r="A848" s="10"/>
      <c r="D848" s="10"/>
    </row>
    <row r="849">
      <c r="A849" s="10"/>
      <c r="D849" s="10"/>
    </row>
    <row r="850">
      <c r="A850" s="10"/>
      <c r="D850" s="10"/>
    </row>
    <row r="851">
      <c r="A851" s="10"/>
      <c r="D851" s="10"/>
    </row>
    <row r="852">
      <c r="A852" s="10"/>
      <c r="D852" s="10"/>
    </row>
    <row r="853">
      <c r="A853" s="10"/>
      <c r="D853" s="10"/>
    </row>
    <row r="854">
      <c r="A854" s="10"/>
      <c r="D854" s="10"/>
    </row>
    <row r="855">
      <c r="A855" s="10"/>
      <c r="D855" s="10"/>
    </row>
    <row r="856">
      <c r="A856" s="10"/>
      <c r="D856" s="10"/>
    </row>
    <row r="857">
      <c r="A857" s="10"/>
      <c r="D857" s="10"/>
    </row>
    <row r="858">
      <c r="A858" s="10"/>
      <c r="D858" s="10"/>
    </row>
    <row r="859">
      <c r="A859" s="10"/>
      <c r="D859" s="10"/>
    </row>
    <row r="860">
      <c r="A860" s="10"/>
      <c r="D860" s="10"/>
    </row>
    <row r="861">
      <c r="A861" s="10"/>
      <c r="D861" s="10"/>
    </row>
    <row r="862">
      <c r="A862" s="10"/>
      <c r="D862" s="10"/>
    </row>
    <row r="863">
      <c r="A863" s="10"/>
      <c r="D863" s="10"/>
    </row>
    <row r="864">
      <c r="A864" s="10"/>
      <c r="D864" s="10"/>
    </row>
    <row r="865">
      <c r="A865" s="10"/>
      <c r="D865" s="10"/>
    </row>
    <row r="866">
      <c r="A866" s="10"/>
      <c r="D866" s="10"/>
    </row>
    <row r="867">
      <c r="A867" s="10"/>
      <c r="D867" s="10"/>
    </row>
    <row r="868">
      <c r="A868" s="10"/>
      <c r="D868" s="10"/>
    </row>
    <row r="869">
      <c r="A869" s="10"/>
      <c r="D869" s="10"/>
    </row>
    <row r="870">
      <c r="A870" s="10"/>
      <c r="D870" s="10"/>
    </row>
    <row r="871">
      <c r="A871" s="10"/>
      <c r="D871" s="10"/>
    </row>
    <row r="872">
      <c r="A872" s="10"/>
      <c r="D872" s="10"/>
    </row>
    <row r="873">
      <c r="A873" s="10"/>
      <c r="D873" s="10"/>
    </row>
    <row r="874">
      <c r="A874" s="10"/>
      <c r="D874" s="10"/>
    </row>
    <row r="875">
      <c r="A875" s="10"/>
      <c r="D875" s="10"/>
    </row>
    <row r="876">
      <c r="A876" s="10"/>
      <c r="D876" s="10"/>
    </row>
    <row r="877">
      <c r="A877" s="10"/>
      <c r="D877" s="10"/>
    </row>
    <row r="878">
      <c r="A878" s="10"/>
      <c r="D878" s="10"/>
    </row>
    <row r="879">
      <c r="A879" s="10"/>
      <c r="D879" s="10"/>
    </row>
    <row r="880">
      <c r="A880" s="10"/>
      <c r="D880" s="10"/>
    </row>
    <row r="881">
      <c r="A881" s="10"/>
      <c r="D881" s="10"/>
    </row>
    <row r="882">
      <c r="A882" s="10"/>
      <c r="D882" s="10"/>
    </row>
    <row r="883">
      <c r="A883" s="10"/>
      <c r="D883" s="10"/>
    </row>
    <row r="884">
      <c r="A884" s="10"/>
      <c r="D884" s="10"/>
    </row>
    <row r="885">
      <c r="A885" s="10"/>
      <c r="D885" s="10"/>
    </row>
    <row r="886">
      <c r="A886" s="10"/>
      <c r="D886" s="10"/>
    </row>
    <row r="887">
      <c r="A887" s="10"/>
      <c r="D887" s="10"/>
    </row>
    <row r="888">
      <c r="A888" s="10"/>
      <c r="D888" s="10"/>
    </row>
    <row r="889">
      <c r="A889" s="10"/>
      <c r="D889" s="10"/>
    </row>
    <row r="890">
      <c r="A890" s="10"/>
      <c r="D890" s="10"/>
    </row>
    <row r="891">
      <c r="A891" s="10"/>
      <c r="D891" s="10"/>
    </row>
    <row r="892">
      <c r="A892" s="10"/>
      <c r="D892" s="10"/>
    </row>
    <row r="893">
      <c r="A893" s="10"/>
      <c r="D893" s="10"/>
    </row>
    <row r="894">
      <c r="A894" s="10"/>
      <c r="D894" s="10"/>
    </row>
    <row r="895">
      <c r="A895" s="10"/>
      <c r="D895" s="10"/>
    </row>
    <row r="896">
      <c r="A896" s="10"/>
      <c r="D896" s="10"/>
    </row>
    <row r="897">
      <c r="A897" s="10"/>
      <c r="D897" s="10"/>
    </row>
    <row r="898">
      <c r="A898" s="10"/>
      <c r="D898" s="10"/>
    </row>
    <row r="899">
      <c r="A899" s="10"/>
      <c r="D899" s="10"/>
    </row>
    <row r="900">
      <c r="A900" s="10"/>
      <c r="D900" s="10"/>
    </row>
    <row r="901">
      <c r="A901" s="10"/>
      <c r="D901" s="10"/>
    </row>
    <row r="902">
      <c r="A902" s="10"/>
      <c r="D902" s="10"/>
    </row>
    <row r="903">
      <c r="A903" s="10"/>
      <c r="D903" s="10"/>
    </row>
    <row r="904">
      <c r="A904" s="10"/>
      <c r="D904" s="10"/>
    </row>
    <row r="905">
      <c r="A905" s="10"/>
      <c r="D905" s="10"/>
    </row>
    <row r="906">
      <c r="A906" s="10"/>
      <c r="D906" s="10"/>
    </row>
    <row r="907">
      <c r="A907" s="10"/>
      <c r="D907" s="10"/>
    </row>
    <row r="908">
      <c r="A908" s="10"/>
      <c r="D908" s="10"/>
    </row>
    <row r="909">
      <c r="A909" s="10"/>
      <c r="D909" s="10"/>
    </row>
    <row r="910">
      <c r="A910" s="10"/>
      <c r="D910" s="10"/>
    </row>
    <row r="911">
      <c r="A911" s="10"/>
      <c r="D911" s="10"/>
    </row>
    <row r="912">
      <c r="A912" s="10"/>
      <c r="D912" s="10"/>
    </row>
    <row r="913">
      <c r="A913" s="10"/>
      <c r="D913" s="10"/>
    </row>
    <row r="914">
      <c r="A914" s="10"/>
      <c r="D914" s="10"/>
    </row>
    <row r="915">
      <c r="A915" s="10"/>
      <c r="D915" s="10"/>
    </row>
    <row r="916">
      <c r="A916" s="10"/>
      <c r="D916" s="10"/>
    </row>
    <row r="917">
      <c r="A917" s="10"/>
      <c r="D917" s="10"/>
    </row>
    <row r="918">
      <c r="A918" s="10"/>
      <c r="D918" s="10"/>
    </row>
    <row r="919">
      <c r="A919" s="10"/>
      <c r="D919" s="10"/>
    </row>
    <row r="920">
      <c r="A920" s="10"/>
      <c r="D920" s="10"/>
    </row>
    <row r="921">
      <c r="A921" s="10"/>
      <c r="D921" s="10"/>
    </row>
    <row r="922">
      <c r="A922" s="10"/>
      <c r="D922" s="10"/>
    </row>
    <row r="923">
      <c r="A923" s="10"/>
      <c r="D923" s="10"/>
    </row>
    <row r="924">
      <c r="A924" s="10"/>
      <c r="D924" s="10"/>
    </row>
    <row r="925">
      <c r="A925" s="10"/>
      <c r="D925" s="10"/>
    </row>
    <row r="926">
      <c r="A926" s="10"/>
      <c r="D926" s="10"/>
    </row>
    <row r="927">
      <c r="A927" s="10"/>
      <c r="D927" s="10"/>
    </row>
    <row r="928">
      <c r="A928" s="10"/>
      <c r="D928" s="10"/>
    </row>
    <row r="929">
      <c r="A929" s="10"/>
      <c r="D929" s="10"/>
    </row>
    <row r="930">
      <c r="A930" s="10"/>
      <c r="D930" s="10"/>
    </row>
    <row r="931">
      <c r="A931" s="10"/>
      <c r="D931" s="10"/>
    </row>
    <row r="932">
      <c r="A932" s="10"/>
      <c r="D932" s="10"/>
    </row>
    <row r="933">
      <c r="A933" s="10"/>
      <c r="D933" s="10"/>
    </row>
    <row r="934">
      <c r="A934" s="10"/>
      <c r="D934" s="10"/>
    </row>
    <row r="935">
      <c r="A935" s="10"/>
      <c r="D935" s="10"/>
    </row>
    <row r="936">
      <c r="A936" s="10"/>
      <c r="D936" s="10"/>
    </row>
    <row r="937">
      <c r="A937" s="10"/>
      <c r="D937" s="10"/>
    </row>
    <row r="938">
      <c r="A938" s="10"/>
      <c r="D938" s="10"/>
    </row>
    <row r="939">
      <c r="A939" s="10"/>
      <c r="D939" s="10"/>
    </row>
    <row r="940">
      <c r="A940" s="10"/>
      <c r="D940" s="10"/>
    </row>
    <row r="941">
      <c r="A941" s="10"/>
      <c r="D941" s="10"/>
    </row>
    <row r="942">
      <c r="A942" s="10"/>
      <c r="D942" s="10"/>
    </row>
    <row r="943">
      <c r="A943" s="10"/>
      <c r="D943" s="10"/>
    </row>
    <row r="944">
      <c r="A944" s="10"/>
      <c r="D944" s="10"/>
    </row>
    <row r="945">
      <c r="A945" s="10"/>
      <c r="D945" s="10"/>
    </row>
    <row r="946">
      <c r="A946" s="10"/>
      <c r="D946" s="10"/>
    </row>
    <row r="947">
      <c r="A947" s="10"/>
      <c r="D947" s="10"/>
    </row>
    <row r="948">
      <c r="A948" s="10"/>
      <c r="D948" s="10"/>
    </row>
    <row r="949">
      <c r="A949" s="10"/>
      <c r="D949" s="10"/>
    </row>
    <row r="950">
      <c r="A950" s="10"/>
      <c r="D950" s="10"/>
    </row>
    <row r="951">
      <c r="A951" s="10"/>
      <c r="D951" s="10"/>
    </row>
    <row r="952">
      <c r="A952" s="10"/>
      <c r="D952" s="10"/>
    </row>
    <row r="953">
      <c r="A953" s="10"/>
      <c r="D953" s="10"/>
    </row>
    <row r="954">
      <c r="A954" s="10"/>
      <c r="D954" s="10"/>
    </row>
    <row r="955">
      <c r="A955" s="10"/>
      <c r="D955" s="10"/>
    </row>
    <row r="956">
      <c r="A956" s="10"/>
      <c r="D956" s="10"/>
    </row>
    <row r="957">
      <c r="A957" s="10"/>
      <c r="D957" s="10"/>
    </row>
    <row r="958">
      <c r="A958" s="10"/>
      <c r="D958" s="10"/>
    </row>
    <row r="959">
      <c r="A959" s="10"/>
      <c r="D959" s="10"/>
    </row>
    <row r="960">
      <c r="A960" s="10"/>
      <c r="D960" s="10"/>
    </row>
    <row r="961">
      <c r="A961" s="10"/>
      <c r="D961" s="10"/>
    </row>
    <row r="962">
      <c r="A962" s="10"/>
      <c r="D962" s="10"/>
    </row>
    <row r="963">
      <c r="A963" s="10"/>
      <c r="D963" s="10"/>
    </row>
    <row r="964">
      <c r="A964" s="10"/>
      <c r="D964" s="10"/>
    </row>
    <row r="965">
      <c r="A965" s="10"/>
      <c r="D965" s="10"/>
    </row>
    <row r="966">
      <c r="A966" s="10"/>
      <c r="D966" s="10"/>
    </row>
    <row r="967">
      <c r="A967" s="10"/>
      <c r="D967" s="10"/>
    </row>
    <row r="968">
      <c r="A968" s="10"/>
      <c r="D968" s="10"/>
    </row>
    <row r="969">
      <c r="A969" s="10"/>
      <c r="D969" s="10"/>
    </row>
    <row r="970">
      <c r="A970" s="10"/>
      <c r="D970" s="10"/>
    </row>
    <row r="971">
      <c r="A971" s="10"/>
      <c r="D971" s="10"/>
    </row>
    <row r="972">
      <c r="A972" s="10"/>
      <c r="D972" s="10"/>
    </row>
    <row r="973">
      <c r="A973" s="10"/>
      <c r="D973" s="10"/>
    </row>
    <row r="974">
      <c r="A974" s="10"/>
      <c r="D974" s="10"/>
    </row>
    <row r="975">
      <c r="A975" s="10"/>
      <c r="D975" s="10"/>
    </row>
    <row r="976">
      <c r="A976" s="10"/>
      <c r="D976" s="10"/>
    </row>
    <row r="977">
      <c r="A977" s="10"/>
      <c r="D977" s="10"/>
    </row>
    <row r="978">
      <c r="A978" s="10"/>
      <c r="D978" s="10"/>
    </row>
    <row r="979">
      <c r="A979" s="10"/>
      <c r="D979" s="10"/>
    </row>
    <row r="980">
      <c r="A980" s="10"/>
      <c r="D980" s="10"/>
    </row>
    <row r="981">
      <c r="A981" s="10"/>
      <c r="D981" s="10"/>
    </row>
    <row r="982">
      <c r="A982" s="10"/>
      <c r="D982" s="10"/>
    </row>
    <row r="983">
      <c r="A983" s="10"/>
      <c r="D983" s="10"/>
    </row>
    <row r="984">
      <c r="A984" s="10"/>
      <c r="D984" s="10"/>
    </row>
    <row r="985">
      <c r="A985" s="10"/>
      <c r="D985" s="10"/>
    </row>
    <row r="986">
      <c r="A986" s="10"/>
      <c r="D986" s="10"/>
    </row>
    <row r="987">
      <c r="A987" s="10"/>
      <c r="D987" s="10"/>
    </row>
    <row r="988">
      <c r="A988" s="10"/>
      <c r="D988" s="10"/>
    </row>
    <row r="989">
      <c r="A989" s="10"/>
      <c r="D989" s="10"/>
    </row>
    <row r="990">
      <c r="A990" s="10"/>
      <c r="D990" s="10"/>
    </row>
    <row r="991">
      <c r="A991" s="10"/>
      <c r="D991" s="10"/>
    </row>
    <row r="992">
      <c r="A992" s="10"/>
      <c r="D992" s="10"/>
    </row>
    <row r="993">
      <c r="A993" s="10"/>
      <c r="D993" s="10"/>
    </row>
    <row r="994">
      <c r="A994" s="10"/>
      <c r="D994" s="10"/>
    </row>
    <row r="995">
      <c r="A995" s="10"/>
      <c r="D995" s="10"/>
    </row>
    <row r="996">
      <c r="A996" s="10"/>
      <c r="D996" s="10"/>
    </row>
    <row r="997">
      <c r="A997" s="10"/>
      <c r="D997" s="10"/>
    </row>
    <row r="998">
      <c r="A998" s="10"/>
      <c r="D998" s="10"/>
    </row>
    <row r="999">
      <c r="A999" s="10"/>
      <c r="D999" s="10"/>
    </row>
    <row r="1000">
      <c r="A1000" s="10"/>
      <c r="D1000" s="10"/>
    </row>
  </sheetData>
  <dataValidations>
    <dataValidation type="list" allowBlank="1" showErrorMessage="1" sqref="A2:A1000">
      <formula1>trj!$B$2:$B1000</formula1>
    </dataValidation>
    <dataValidation type="list" allowBlank="1" showErrorMessage="1" sqref="D2:D1000">
      <formula1>FIX!$A$2:$A1000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0.88"/>
    <col customWidth="1" min="3" max="3" width="13.0"/>
    <col customWidth="1" min="4" max="4" width="19.0"/>
    <col customWidth="1" min="5" max="5" width="14.25"/>
    <col customWidth="1" min="6" max="6" width="22.88"/>
    <col customWidth="1" min="7" max="7" width="8.75"/>
    <col customWidth="1" min="8" max="8" width="8.88"/>
    <col customWidth="1" min="9" max="9" width="15.75"/>
    <col customWidth="1" min="10" max="10" width="22.88"/>
  </cols>
  <sheetData>
    <row r="1">
      <c r="A1" s="1" t="s">
        <v>50</v>
      </c>
      <c r="B1" s="1" t="s">
        <v>51</v>
      </c>
      <c r="C1" s="1" t="s">
        <v>52</v>
      </c>
      <c r="D1" s="1" t="s">
        <v>28</v>
      </c>
      <c r="E1" s="1" t="s">
        <v>29</v>
      </c>
      <c r="F1" s="1" t="s">
        <v>30</v>
      </c>
      <c r="G1" s="1" t="s">
        <v>53</v>
      </c>
      <c r="H1" s="1" t="s">
        <v>62</v>
      </c>
      <c r="I1" s="1" t="s">
        <v>63</v>
      </c>
      <c r="J1" s="1" t="s">
        <v>56</v>
      </c>
    </row>
    <row r="2">
      <c r="A2" s="1" t="str">
        <f>IFNA(right(VLOOKUP(pts_traje!$A2,trj!$B$2:$D1000,3,FALSE),4),"")</f>
        <v>0073</v>
      </c>
      <c r="B2" s="1">
        <f t="array" ref="B2:C1000">pts_traje!B2:C1000</f>
        <v>1</v>
      </c>
      <c r="C2" s="10" t="s">
        <v>43</v>
      </c>
      <c r="D2" s="1">
        <f>IFNA(VLOOKUP(pts_traje!$D2,FIX!$A$2:$D1000,4,FALSE),"")</f>
        <v>178</v>
      </c>
      <c r="E2" s="10" t="str">
        <f t="array" ref="E2:H1000">pts_traje!E2:H1000</f>
        <v/>
      </c>
      <c r="F2" s="10"/>
      <c r="G2" s="10"/>
      <c r="H2" s="10">
        <v>22000.0</v>
      </c>
      <c r="I2" s="10">
        <f>IF(pts_traje!$I2&lt;&gt;0,(ROUND(pts_traje!$I2+(pts_traje!$I2*0.02*pts_traje!$H2/1000),0)),"")</f>
        <v>389</v>
      </c>
      <c r="J2" s="10" t="str">
        <f t="array" ref="J2:J1000">pts_traje!J2:J1000</f>
        <v/>
      </c>
    </row>
    <row r="3">
      <c r="A3" s="1" t="str">
        <f>IFNA(right(VLOOKUP(pts_traje!$A3,trj!$B$2:$D1000,3,FALSE),4),"")</f>
        <v>0073</v>
      </c>
      <c r="B3" s="10">
        <v>2.0</v>
      </c>
      <c r="C3" s="10" t="s">
        <v>43</v>
      </c>
      <c r="D3" s="1">
        <f>IFNA(VLOOKUP(pts_traje!$D3,FIX!$A$2:$D1000,4,FALSE),"")</f>
        <v>15</v>
      </c>
      <c r="E3" s="10"/>
      <c r="F3" s="10"/>
      <c r="G3" s="10"/>
      <c r="H3" s="10"/>
      <c r="I3" s="10" t="str">
        <f>IF(pts_traje!$I3&lt;&gt;0,(ROUND(pts_traje!$I3+(pts_traje!$I3*0.02*pts_traje!$H3/1000),0)),"")</f>
        <v/>
      </c>
      <c r="J3" s="10"/>
    </row>
    <row r="4">
      <c r="A4" s="1" t="str">
        <f>IFNA(right(VLOOKUP(pts_traje!$A4,trj!$B$2:$D1000,3,FALSE),4),"")</f>
        <v>0073</v>
      </c>
      <c r="B4" s="10">
        <v>3.0</v>
      </c>
      <c r="C4" s="10" t="s">
        <v>43</v>
      </c>
      <c r="D4" s="1">
        <f>IFNA(VLOOKUP(pts_traje!$D4,FIX!$A$2:$D1000,4,FALSE),"")</f>
        <v>131</v>
      </c>
      <c r="E4" s="10"/>
      <c r="F4" s="10"/>
      <c r="G4" s="10"/>
      <c r="H4" s="10">
        <v>16000.0</v>
      </c>
      <c r="I4" s="10">
        <f>IF(pts_traje!$I4&lt;&gt;0,(ROUND(pts_traje!$I4+(pts_traje!$I4*0.02*pts_traje!$H4/1000),0)),"")</f>
        <v>330</v>
      </c>
      <c r="J4" s="10"/>
    </row>
    <row r="5">
      <c r="A5" s="1" t="str">
        <f>IFNA(right(VLOOKUP(pts_traje!$A5,trj!$B$2:$D1000,3,FALSE),4),"")</f>
        <v>0073</v>
      </c>
      <c r="B5" s="10">
        <v>4.0</v>
      </c>
      <c r="C5" s="10" t="s">
        <v>43</v>
      </c>
      <c r="D5" s="1">
        <f>IFNA(VLOOKUP(pts_traje!$D5,FIX!$A$2:$D1000,4,FALSE),"")</f>
        <v>101</v>
      </c>
      <c r="E5" s="10"/>
      <c r="F5" s="10"/>
      <c r="G5" s="10"/>
      <c r="H5" s="10"/>
      <c r="I5" s="10" t="str">
        <f>IF(pts_traje!$I5&lt;&gt;0,(ROUND(pts_traje!$I5+(pts_traje!$I5*0.02*pts_traje!$H5/1000),0)),"")</f>
        <v/>
      </c>
      <c r="J5" s="10"/>
    </row>
    <row r="6">
      <c r="A6" s="1" t="str">
        <f>IFNA(right(VLOOKUP(pts_traje!$A6,trj!$B$2:$D1000,3,FALSE),4),"")</f>
        <v>0073</v>
      </c>
      <c r="B6" s="10">
        <v>5.0</v>
      </c>
      <c r="C6" s="10" t="s">
        <v>43</v>
      </c>
      <c r="D6" s="1">
        <f>IFNA(VLOOKUP(pts_traje!$D6,FIX!$A$2:$D1000,4,FALSE),"")</f>
        <v>152</v>
      </c>
      <c r="E6" s="10"/>
      <c r="F6" s="10"/>
      <c r="G6" s="10"/>
      <c r="H6" s="10">
        <v>10000.0</v>
      </c>
      <c r="I6" s="10" t="str">
        <f>IF(pts_traje!$I6&lt;&gt;0,(ROUND(pts_traje!$I6+(pts_traje!$I6*0.02*pts_traje!$H6/1000),0)),"")</f>
        <v/>
      </c>
      <c r="J6" s="10"/>
    </row>
    <row r="7">
      <c r="A7" s="1" t="str">
        <f>IFNA(right(VLOOKUP(pts_traje!$A7,trj!$B$2:$D1000,3,FALSE),4),"")</f>
        <v/>
      </c>
      <c r="B7" s="10"/>
      <c r="C7" s="10"/>
      <c r="D7" s="1" t="str">
        <f>IFNA(VLOOKUP(pts_traje!$D7,FIX!$A$2:$D1000,4,FALSE),"")</f>
        <v/>
      </c>
      <c r="E7" s="10"/>
      <c r="F7" s="10"/>
      <c r="G7" s="10"/>
      <c r="H7" s="10"/>
      <c r="I7" s="10" t="str">
        <f>IF(pts_traje!$I7&lt;&gt;0,(ROUND(pts_traje!$I7+(pts_traje!$I7*0.02*pts_traje!$H7/1000),0)),"")</f>
        <v/>
      </c>
      <c r="J7" s="10"/>
    </row>
    <row r="8">
      <c r="A8" s="1" t="str">
        <f>IFNA(right(VLOOKUP(pts_traje!$A8,trj!$B$2:$D1000,3,FALSE),4),"")</f>
        <v/>
      </c>
      <c r="B8" s="10"/>
      <c r="C8" s="10"/>
      <c r="D8" s="1" t="str">
        <f>IFNA(VLOOKUP(pts_traje!$D8,FIX!$A$2:$D1000,4,FALSE),"")</f>
        <v/>
      </c>
      <c r="E8" s="10"/>
      <c r="F8" s="10"/>
      <c r="G8" s="10"/>
      <c r="H8" s="10"/>
      <c r="I8" s="10" t="str">
        <f>IF(pts_traje!$I8&lt;&gt;0,(ROUND(pts_traje!$I8+(pts_traje!$I8*0.02*pts_traje!$H8/1000),0)),"")</f>
        <v/>
      </c>
      <c r="J8" s="10"/>
    </row>
    <row r="9">
      <c r="A9" s="1" t="str">
        <f>IFNA(right(VLOOKUP(pts_traje!$A9,trj!$B$2:$D1000,3,FALSE),4),"")</f>
        <v/>
      </c>
      <c r="B9" s="10"/>
      <c r="C9" s="10"/>
      <c r="D9" s="1" t="str">
        <f>IFNA(VLOOKUP(pts_traje!$D9,FIX!$A$2:$D1000,4,FALSE),"")</f>
        <v/>
      </c>
      <c r="E9" s="10"/>
      <c r="F9" s="10"/>
      <c r="G9" s="10"/>
      <c r="H9" s="10"/>
      <c r="I9" s="10" t="str">
        <f>IF(pts_traje!$I9&lt;&gt;0,(ROUND(pts_traje!$I9+(pts_traje!$I9*0.02*pts_traje!$H9/1000),0)),"")</f>
        <v/>
      </c>
      <c r="J9" s="10"/>
    </row>
    <row r="10">
      <c r="A10" s="1" t="str">
        <f>IFNA(right(VLOOKUP(pts_traje!$A10,trj!$B$2:$D1000,3,FALSE),4),"")</f>
        <v/>
      </c>
      <c r="B10" s="10"/>
      <c r="C10" s="10"/>
      <c r="D10" s="1" t="str">
        <f>IFNA(VLOOKUP(pts_traje!$D10,FIX!$A$2:$D1000,4,FALSE),"")</f>
        <v/>
      </c>
      <c r="E10" s="10"/>
      <c r="F10" s="10"/>
      <c r="G10" s="10"/>
      <c r="H10" s="10"/>
      <c r="I10" s="10" t="str">
        <f>IF(pts_traje!$I10&lt;&gt;0,(ROUND(pts_traje!$I10+(pts_traje!$I10*0.02*pts_traje!$H10/1000),0)),"")</f>
        <v/>
      </c>
      <c r="J10" s="10"/>
    </row>
    <row r="11">
      <c r="A11" s="1" t="str">
        <f>IFNA(right(VLOOKUP(pts_traje!$A11,trj!$B$2:$D1000,3,FALSE),4),"")</f>
        <v/>
      </c>
      <c r="B11" s="10"/>
      <c r="C11" s="10"/>
      <c r="D11" s="1" t="str">
        <f>IFNA(VLOOKUP(pts_traje!$D11,FIX!$A$2:$D1000,4,FALSE),"")</f>
        <v/>
      </c>
      <c r="E11" s="10"/>
      <c r="F11" s="10"/>
      <c r="G11" s="10"/>
      <c r="H11" s="10"/>
      <c r="I11" s="10" t="str">
        <f>IF(pts_traje!$I11&lt;&gt;0,(ROUND(pts_traje!$I11+(pts_traje!$I11*0.02*pts_traje!$H11/1000),0)),"")</f>
        <v/>
      </c>
      <c r="J11" s="10"/>
    </row>
    <row r="12">
      <c r="A12" s="1" t="str">
        <f>IFNA(right(VLOOKUP(pts_traje!$A12,trj!$B$2:$D1000,3,FALSE),4),"")</f>
        <v/>
      </c>
      <c r="B12" s="10"/>
      <c r="C12" s="10"/>
      <c r="D12" s="1" t="str">
        <f>IFNA(VLOOKUP(pts_traje!$D12,FIX!$A$2:$D1000,4,FALSE),"")</f>
        <v/>
      </c>
      <c r="E12" s="10"/>
      <c r="F12" s="10"/>
      <c r="G12" s="10"/>
      <c r="H12" s="10"/>
      <c r="I12" s="10" t="str">
        <f>IF(pts_traje!$I12&lt;&gt;0,(ROUND(pts_traje!$I12+(pts_traje!$I12*0.02*pts_traje!$H12/1000),0)),"")</f>
        <v/>
      </c>
      <c r="J12" s="10"/>
    </row>
    <row r="13">
      <c r="A13" s="1" t="str">
        <f>IFNA(right(VLOOKUP(pts_traje!$A13,trj!$B$2:$D1000,3,FALSE),4),"")</f>
        <v/>
      </c>
      <c r="B13" s="10"/>
      <c r="C13" s="10"/>
      <c r="D13" s="1" t="str">
        <f>IFNA(VLOOKUP(pts_traje!$D13,FIX!$A$2:$D1000,4,FALSE),"")</f>
        <v/>
      </c>
      <c r="E13" s="10"/>
      <c r="F13" s="10"/>
      <c r="G13" s="10"/>
      <c r="H13" s="10"/>
      <c r="I13" s="10" t="str">
        <f>IF(pts_traje!$I13&lt;&gt;0,(ROUND(pts_traje!$I13+(pts_traje!$I13*0.02*pts_traje!$H13/1000),0)),"")</f>
        <v/>
      </c>
      <c r="J13" s="10"/>
    </row>
    <row r="14">
      <c r="A14" s="1" t="str">
        <f>IFNA(right(VLOOKUP(pts_traje!$A14,trj!$B$2:$D1000,3,FALSE),4),"")</f>
        <v/>
      </c>
      <c r="B14" s="10"/>
      <c r="C14" s="10"/>
      <c r="D14" s="1" t="str">
        <f>IFNA(VLOOKUP(pts_traje!$D14,FIX!$A$2:$D1000,4,FALSE),"")</f>
        <v/>
      </c>
      <c r="E14" s="10"/>
      <c r="F14" s="10"/>
      <c r="G14" s="10"/>
      <c r="H14" s="10"/>
      <c r="I14" s="10" t="str">
        <f>IF(pts_traje!$I14&lt;&gt;0,(ROUND(pts_traje!$I14+(pts_traje!$I14*0.02*pts_traje!$H14/1000),0)),"")</f>
        <v/>
      </c>
      <c r="J14" s="10"/>
    </row>
    <row r="15">
      <c r="A15" s="1" t="str">
        <f>IFNA(right(VLOOKUP(pts_traje!$A15,trj!$B$2:$D1000,3,FALSE),4),"")</f>
        <v/>
      </c>
      <c r="B15" s="10"/>
      <c r="C15" s="10"/>
      <c r="D15" s="1" t="str">
        <f>IFNA(VLOOKUP(pts_traje!$D15,FIX!$A$2:$D1000,4,FALSE),"")</f>
        <v/>
      </c>
      <c r="E15" s="10"/>
      <c r="F15" s="10"/>
      <c r="G15" s="10"/>
      <c r="H15" s="10"/>
      <c r="I15" s="10" t="str">
        <f>IF(pts_traje!$I15&lt;&gt;0,(ROUND(pts_traje!$I15+(pts_traje!$I15*0.02*pts_traje!$H15/1000),0)),"")</f>
        <v/>
      </c>
      <c r="J15" s="10"/>
    </row>
    <row r="16">
      <c r="A16" s="1" t="str">
        <f>IFNA(right(VLOOKUP(pts_traje!$A16,trj!$B$2:$D1000,3,FALSE),4),"")</f>
        <v/>
      </c>
      <c r="B16" s="10"/>
      <c r="C16" s="10"/>
      <c r="D16" s="1" t="str">
        <f>IFNA(VLOOKUP(pts_traje!$D16,FIX!$A$2:$D1000,4,FALSE),"")</f>
        <v/>
      </c>
      <c r="E16" s="10"/>
      <c r="F16" s="10"/>
      <c r="G16" s="10"/>
      <c r="H16" s="10"/>
      <c r="I16" s="10" t="str">
        <f>IF(pts_traje!$I16&lt;&gt;0,(ROUND(pts_traje!$I16+(pts_traje!$I16*0.02*pts_traje!$H16/1000),0)),"")</f>
        <v/>
      </c>
      <c r="J16" s="10"/>
    </row>
    <row r="17">
      <c r="A17" s="1" t="str">
        <f>IFNA(right(VLOOKUP(pts_traje!$A17,trj!$B$2:$D1000,3,FALSE),4),"")</f>
        <v/>
      </c>
      <c r="B17" s="10"/>
      <c r="C17" s="10"/>
      <c r="D17" s="1" t="str">
        <f>IFNA(VLOOKUP(pts_traje!$D17,FIX!$A$2:$D1000,4,FALSE),"")</f>
        <v/>
      </c>
      <c r="E17" s="10"/>
      <c r="F17" s="10"/>
      <c r="G17" s="10"/>
      <c r="H17" s="10"/>
      <c r="I17" s="10" t="str">
        <f>IF(pts_traje!$I17&lt;&gt;0,(ROUND(pts_traje!$I17+(pts_traje!$I17*0.02*pts_traje!$H17/1000),0)),"")</f>
        <v/>
      </c>
      <c r="J17" s="10"/>
    </row>
    <row r="18">
      <c r="A18" s="1" t="str">
        <f>IFNA(right(VLOOKUP(pts_traje!$A18,trj!$B$2:$D1000,3,FALSE),4),"")</f>
        <v/>
      </c>
      <c r="B18" s="10"/>
      <c r="C18" s="10"/>
      <c r="D18" s="1" t="str">
        <f>IFNA(VLOOKUP(pts_traje!$D18,FIX!$A$2:$D1000,4,FALSE),"")</f>
        <v/>
      </c>
      <c r="E18" s="10"/>
      <c r="F18" s="10"/>
      <c r="G18" s="10"/>
      <c r="H18" s="10"/>
      <c r="I18" s="10" t="str">
        <f>IF(pts_traje!$I18&lt;&gt;0,(ROUND(pts_traje!$I18+(pts_traje!$I18*0.02*pts_traje!$H18/1000),0)),"")</f>
        <v/>
      </c>
      <c r="J18" s="10"/>
    </row>
    <row r="19">
      <c r="A19" s="1" t="str">
        <f>IFNA(right(VLOOKUP(pts_traje!$A19,trj!$B$2:$D1000,3,FALSE),4),"")</f>
        <v/>
      </c>
      <c r="B19" s="10"/>
      <c r="C19" s="10"/>
      <c r="D19" s="1" t="str">
        <f>IFNA(VLOOKUP(pts_traje!$D19,FIX!$A$2:$D1000,4,FALSE),"")</f>
        <v/>
      </c>
      <c r="E19" s="10"/>
      <c r="F19" s="10"/>
      <c r="G19" s="10"/>
      <c r="H19" s="10"/>
      <c r="I19" s="10" t="str">
        <f>IF(pts_traje!$I19&lt;&gt;0,(ROUND(pts_traje!$I19+(pts_traje!$I19*0.02*pts_traje!$H19/1000),0)),"")</f>
        <v/>
      </c>
      <c r="J19" s="10"/>
    </row>
    <row r="20">
      <c r="A20" s="1" t="str">
        <f>IFNA(right(VLOOKUP(pts_traje!$A20,trj!$B$2:$D1000,3,FALSE),4),"")</f>
        <v/>
      </c>
      <c r="B20" s="10"/>
      <c r="C20" s="10"/>
      <c r="D20" s="1" t="str">
        <f>IFNA(VLOOKUP(pts_traje!$D20,FIX!$A$2:$D1000,4,FALSE),"")</f>
        <v/>
      </c>
      <c r="E20" s="10"/>
      <c r="F20" s="10"/>
      <c r="G20" s="10"/>
      <c r="H20" s="10"/>
      <c r="I20" s="10" t="str">
        <f>IF(pts_traje!$I20&lt;&gt;0,(ROUND(pts_traje!$I20+(pts_traje!$I20*0.02*pts_traje!$H20/1000),0)),"")</f>
        <v/>
      </c>
      <c r="J20" s="10"/>
    </row>
    <row r="21">
      <c r="A21" s="1" t="str">
        <f>IFNA(right(VLOOKUP(pts_traje!$A21,trj!$B$2:$D1000,3,FALSE),4),"")</f>
        <v/>
      </c>
      <c r="B21" s="10"/>
      <c r="C21" s="10"/>
      <c r="D21" s="1" t="str">
        <f>IFNA(VLOOKUP(pts_traje!$D21,FIX!$A$2:$D1000,4,FALSE),"")</f>
        <v/>
      </c>
      <c r="E21" s="10"/>
      <c r="F21" s="10"/>
      <c r="G21" s="10"/>
      <c r="H21" s="10"/>
      <c r="I21" s="10" t="str">
        <f>IF(pts_traje!$I21&lt;&gt;0,(ROUND(pts_traje!$I21+(pts_traje!$I21*0.02*pts_traje!$H21/1000),0)),"")</f>
        <v/>
      </c>
      <c r="J21" s="10"/>
    </row>
    <row r="22">
      <c r="A22" s="1" t="str">
        <f>IFNA(right(VLOOKUP(pts_traje!$A22,trj!$B$2:$D1000,3,FALSE),4),"")</f>
        <v/>
      </c>
      <c r="B22" s="10"/>
      <c r="C22" s="10"/>
      <c r="D22" s="1" t="str">
        <f>IFNA(VLOOKUP(pts_traje!$D22,FIX!$A$2:$D1000,4,FALSE),"")</f>
        <v/>
      </c>
      <c r="E22" s="10"/>
      <c r="F22" s="10"/>
      <c r="G22" s="10"/>
      <c r="H22" s="10"/>
      <c r="I22" s="10" t="str">
        <f>IF(pts_traje!$I22&lt;&gt;0,(ROUND(pts_traje!$I22+(pts_traje!$I22*0.02*pts_traje!$H22/1000),0)),"")</f>
        <v/>
      </c>
      <c r="J22" s="10"/>
    </row>
    <row r="23">
      <c r="A23" s="1" t="str">
        <f>IFNA(right(VLOOKUP(pts_traje!$A23,trj!$B$2:$D1000,3,FALSE),4),"")</f>
        <v/>
      </c>
      <c r="B23" s="10"/>
      <c r="C23" s="10"/>
      <c r="D23" s="1" t="str">
        <f>IFNA(VLOOKUP(pts_traje!$D23,FIX!$A$2:$D1000,4,FALSE),"")</f>
        <v/>
      </c>
      <c r="E23" s="10"/>
      <c r="F23" s="10"/>
      <c r="G23" s="10"/>
      <c r="H23" s="10"/>
      <c r="I23" s="10" t="str">
        <f>IF(pts_traje!$I23&lt;&gt;0,(ROUND(pts_traje!$I23+(pts_traje!$I23*0.02*pts_traje!$H23/1000),0)),"")</f>
        <v/>
      </c>
      <c r="J23" s="10"/>
    </row>
    <row r="24">
      <c r="A24" s="1" t="str">
        <f>IFNA(right(VLOOKUP(pts_traje!$A24,trj!$B$2:$D1000,3,FALSE),4),"")</f>
        <v/>
      </c>
      <c r="B24" s="10"/>
      <c r="C24" s="10"/>
      <c r="D24" s="1" t="str">
        <f>IFNA(VLOOKUP(pts_traje!$D24,FIX!$A$2:$D1000,4,FALSE),"")</f>
        <v/>
      </c>
      <c r="E24" s="10"/>
      <c r="F24" s="10"/>
      <c r="G24" s="10"/>
      <c r="H24" s="10"/>
      <c r="I24" s="10" t="str">
        <f>IF(pts_traje!$I24&lt;&gt;0,(ROUND(pts_traje!$I24+(pts_traje!$I24*0.02*pts_traje!$H24/1000),0)),"")</f>
        <v/>
      </c>
      <c r="J24" s="10"/>
    </row>
    <row r="25">
      <c r="A25" s="1" t="str">
        <f>IFNA(right(VLOOKUP(pts_traje!$A25,trj!$B$2:$D1000,3,FALSE),4),"")</f>
        <v/>
      </c>
      <c r="B25" s="10"/>
      <c r="C25" s="10"/>
      <c r="D25" s="1" t="str">
        <f>IFNA(VLOOKUP(pts_traje!$D25,FIX!$A$2:$D1000,4,FALSE),"")</f>
        <v/>
      </c>
      <c r="E25" s="10"/>
      <c r="F25" s="10"/>
      <c r="G25" s="10"/>
      <c r="H25" s="10"/>
      <c r="I25" s="10" t="str">
        <f>IF(pts_traje!$I25&lt;&gt;0,(ROUND(pts_traje!$I25+(pts_traje!$I25*0.02*pts_traje!$H25/1000),0)),"")</f>
        <v/>
      </c>
      <c r="J25" s="10"/>
    </row>
    <row r="26">
      <c r="A26" s="1" t="str">
        <f>IFNA(right(VLOOKUP(pts_traje!$A26,trj!$B$2:$D1000,3,FALSE),4),"")</f>
        <v/>
      </c>
      <c r="B26" s="10"/>
      <c r="C26" s="10"/>
      <c r="D26" s="1" t="str">
        <f>IFNA(VLOOKUP(pts_traje!$D26,FIX!$A$2:$D1000,4,FALSE),"")</f>
        <v/>
      </c>
      <c r="E26" s="10"/>
      <c r="F26" s="10"/>
      <c r="G26" s="10"/>
      <c r="H26" s="10"/>
      <c r="I26" s="10" t="str">
        <f>IF(pts_traje!$I26&lt;&gt;0,(ROUND(pts_traje!$I26+(pts_traje!$I26*0.02*pts_traje!$H26/1000),0)),"")</f>
        <v/>
      </c>
      <c r="J26" s="10"/>
    </row>
    <row r="27">
      <c r="A27" s="1" t="str">
        <f>IFNA(right(VLOOKUP(pts_traje!$A27,trj!$B$2:$D1000,3,FALSE),4),"")</f>
        <v/>
      </c>
      <c r="B27" s="10"/>
      <c r="C27" s="10"/>
      <c r="D27" s="1" t="str">
        <f>IFNA(VLOOKUP(pts_traje!$D27,FIX!$A$2:$D1000,4,FALSE),"")</f>
        <v/>
      </c>
      <c r="E27" s="10"/>
      <c r="F27" s="10"/>
      <c r="G27" s="10"/>
      <c r="H27" s="10"/>
      <c r="I27" s="10" t="str">
        <f>IF(pts_traje!$I27&lt;&gt;0,(ROUND(pts_traje!$I27+(pts_traje!$I27*0.02*pts_traje!$H27/1000),0)),"")</f>
        <v/>
      </c>
      <c r="J27" s="10"/>
    </row>
    <row r="28">
      <c r="A28" s="1" t="str">
        <f>IFNA(right(VLOOKUP(pts_traje!$A28,trj!$B$2:$D1000,3,FALSE),4),"")</f>
        <v/>
      </c>
      <c r="B28" s="10"/>
      <c r="C28" s="10"/>
      <c r="D28" s="1" t="str">
        <f>IFNA(VLOOKUP(pts_traje!$D28,FIX!$A$2:$D1000,4,FALSE),"")</f>
        <v/>
      </c>
      <c r="E28" s="10"/>
      <c r="F28" s="10"/>
      <c r="G28" s="10"/>
      <c r="H28" s="10"/>
      <c r="I28" s="10" t="str">
        <f>IF(pts_traje!$I28&lt;&gt;0,(ROUND(pts_traje!$I28+(pts_traje!$I28*0.02*pts_traje!$H28/1000),0)),"")</f>
        <v/>
      </c>
      <c r="J28" s="10"/>
    </row>
    <row r="29">
      <c r="A29" s="1" t="str">
        <f>IFNA(right(VLOOKUP(pts_traje!$A29,trj!$B$2:$D1000,3,FALSE),4),"")</f>
        <v/>
      </c>
      <c r="B29" s="10"/>
      <c r="C29" s="10"/>
      <c r="D29" s="1" t="str">
        <f>IFNA(VLOOKUP(pts_traje!$D29,FIX!$A$2:$D1000,4,FALSE),"")</f>
        <v/>
      </c>
      <c r="E29" s="10"/>
      <c r="F29" s="10"/>
      <c r="G29" s="10"/>
      <c r="H29" s="10"/>
      <c r="I29" s="10" t="str">
        <f>IF(pts_traje!$I29&lt;&gt;0,(ROUND(pts_traje!$I29+(pts_traje!$I29*0.02*pts_traje!$H29/1000),0)),"")</f>
        <v/>
      </c>
      <c r="J29" s="10"/>
    </row>
    <row r="30">
      <c r="A30" s="1" t="str">
        <f>IFNA(right(VLOOKUP(pts_traje!$A30,trj!$B$2:$D1000,3,FALSE),4),"")</f>
        <v/>
      </c>
      <c r="B30" s="10"/>
      <c r="C30" s="10"/>
      <c r="D30" s="1" t="str">
        <f>IFNA(VLOOKUP(pts_traje!$D30,FIX!$A$2:$D1000,4,FALSE),"")</f>
        <v/>
      </c>
      <c r="E30" s="10"/>
      <c r="F30" s="10"/>
      <c r="G30" s="10"/>
      <c r="H30" s="10"/>
      <c r="I30" s="10" t="str">
        <f>IF(pts_traje!$I30&lt;&gt;0,(ROUND(pts_traje!$I30+(pts_traje!$I30*0.02*pts_traje!$H30/1000),0)),"")</f>
        <v/>
      </c>
      <c r="J30" s="10"/>
    </row>
    <row r="31">
      <c r="A31" s="1" t="str">
        <f>IFNA(right(VLOOKUP(pts_traje!$A31,trj!$B$2:$D1000,3,FALSE),4),"")</f>
        <v/>
      </c>
      <c r="B31" s="10"/>
      <c r="C31" s="10"/>
      <c r="D31" s="1" t="str">
        <f>IFNA(VLOOKUP(pts_traje!$D31,FIX!$A$2:$D1000,4,FALSE),"")</f>
        <v/>
      </c>
      <c r="E31" s="10"/>
      <c r="F31" s="10"/>
      <c r="G31" s="10"/>
      <c r="H31" s="10"/>
      <c r="I31" s="10" t="str">
        <f>IF(pts_traje!$I31&lt;&gt;0,(ROUND(pts_traje!$I31+(pts_traje!$I31*0.02*pts_traje!$H31/1000),0)),"")</f>
        <v/>
      </c>
      <c r="J31" s="10"/>
    </row>
    <row r="32">
      <c r="A32" s="1" t="str">
        <f>IFNA(right(VLOOKUP(pts_traje!$A32,trj!$B$2:$D1000,3,FALSE),4),"")</f>
        <v/>
      </c>
      <c r="B32" s="10"/>
      <c r="C32" s="10"/>
      <c r="D32" s="1" t="str">
        <f>IFNA(VLOOKUP(pts_traje!$D32,FIX!$A$2:$D1000,4,FALSE),"")</f>
        <v/>
      </c>
      <c r="E32" s="10"/>
      <c r="F32" s="10"/>
      <c r="G32" s="10"/>
      <c r="H32" s="10"/>
      <c r="I32" s="10" t="str">
        <f>IF(pts_traje!$I32&lt;&gt;0,(ROUND(pts_traje!$I32+(pts_traje!$I32*0.02*pts_traje!$H32/1000),0)),"")</f>
        <v/>
      </c>
      <c r="J32" s="10"/>
    </row>
    <row r="33">
      <c r="A33" s="1" t="str">
        <f>IFNA(right(VLOOKUP(pts_traje!$A33,trj!$B$2:$D1000,3,FALSE),4),"")</f>
        <v/>
      </c>
      <c r="B33" s="10"/>
      <c r="C33" s="10"/>
      <c r="D33" s="1" t="str">
        <f>IFNA(VLOOKUP(pts_traje!$D33,FIX!$A$2:$D1000,4,FALSE),"")</f>
        <v/>
      </c>
      <c r="E33" s="10"/>
      <c r="F33" s="10"/>
      <c r="G33" s="10"/>
      <c r="H33" s="10"/>
      <c r="I33" s="10" t="str">
        <f>IF(pts_traje!$I33&lt;&gt;0,(ROUND(pts_traje!$I33+(pts_traje!$I33*0.02*pts_traje!$H33/1000),0)),"")</f>
        <v/>
      </c>
      <c r="J33" s="10"/>
    </row>
    <row r="34">
      <c r="A34" s="1" t="str">
        <f>IFNA(right(VLOOKUP(pts_traje!$A34,trj!$B$2:$D1000,3,FALSE),4),"")</f>
        <v/>
      </c>
      <c r="B34" s="10"/>
      <c r="C34" s="10"/>
      <c r="D34" s="1" t="str">
        <f>IFNA(VLOOKUP(pts_traje!$D34,FIX!$A$2:$D1000,4,FALSE),"")</f>
        <v/>
      </c>
      <c r="E34" s="10"/>
      <c r="F34" s="10"/>
      <c r="G34" s="10"/>
      <c r="H34" s="10"/>
      <c r="I34" s="10" t="str">
        <f>IF(pts_traje!$I34&lt;&gt;0,(ROUND(pts_traje!$I34+(pts_traje!$I34*0.02*pts_traje!$H34/1000),0)),"")</f>
        <v/>
      </c>
      <c r="J34" s="10"/>
    </row>
    <row r="35">
      <c r="A35" s="1" t="str">
        <f>IFNA(right(VLOOKUP(pts_traje!$A35,trj!$B$2:$D1000,3,FALSE),4),"")</f>
        <v/>
      </c>
      <c r="B35" s="10"/>
      <c r="C35" s="10"/>
      <c r="D35" s="1" t="str">
        <f>IFNA(VLOOKUP(pts_traje!$D35,FIX!$A$2:$D1000,4,FALSE),"")</f>
        <v/>
      </c>
      <c r="E35" s="10"/>
      <c r="F35" s="10"/>
      <c r="G35" s="10"/>
      <c r="H35" s="10"/>
      <c r="I35" s="10" t="str">
        <f>IF(pts_traje!$I35&lt;&gt;0,(ROUND(pts_traje!$I35+(pts_traje!$I35*0.02*pts_traje!$H35/1000),0)),"")</f>
        <v/>
      </c>
      <c r="J35" s="10"/>
    </row>
    <row r="36">
      <c r="A36" s="1" t="str">
        <f>IFNA(right(VLOOKUP(pts_traje!$A36,trj!$B$2:$D1000,3,FALSE),4),"")</f>
        <v/>
      </c>
      <c r="B36" s="10"/>
      <c r="C36" s="10"/>
      <c r="D36" s="1" t="str">
        <f>IFNA(VLOOKUP(pts_traje!$D36,FIX!$A$2:$D1000,4,FALSE),"")</f>
        <v/>
      </c>
      <c r="E36" s="10"/>
      <c r="F36" s="10"/>
      <c r="G36" s="10"/>
      <c r="H36" s="10"/>
      <c r="I36" s="10" t="str">
        <f>IF(pts_traje!$I36&lt;&gt;0,(ROUND(pts_traje!$I36+(pts_traje!$I36*0.02*pts_traje!$H36/1000),0)),"")</f>
        <v/>
      </c>
      <c r="J36" s="10"/>
    </row>
    <row r="37">
      <c r="A37" s="1" t="str">
        <f>IFNA(right(VLOOKUP(pts_traje!$A37,trj!$B$2:$D1000,3,FALSE),4),"")</f>
        <v/>
      </c>
      <c r="B37" s="10"/>
      <c r="C37" s="10"/>
      <c r="D37" s="1" t="str">
        <f>IFNA(VLOOKUP(pts_traje!$D37,FIX!$A$2:$D1000,4,FALSE),"")</f>
        <v/>
      </c>
      <c r="E37" s="10"/>
      <c r="F37" s="10"/>
      <c r="G37" s="10"/>
      <c r="H37" s="10"/>
      <c r="I37" s="10" t="str">
        <f>IF(pts_traje!$I37&lt;&gt;0,(ROUND(pts_traje!$I37+(pts_traje!$I37*0.02*pts_traje!$H37/1000),0)),"")</f>
        <v/>
      </c>
      <c r="J37" s="10"/>
    </row>
    <row r="38">
      <c r="A38" s="1" t="str">
        <f>IFNA(right(VLOOKUP(pts_traje!$A38,trj!$B$2:$D1000,3,FALSE),4),"")</f>
        <v/>
      </c>
      <c r="B38" s="10"/>
      <c r="C38" s="10"/>
      <c r="D38" s="1" t="str">
        <f>IFNA(VLOOKUP(pts_traje!$D38,FIX!$A$2:$D1000,4,FALSE),"")</f>
        <v/>
      </c>
      <c r="E38" s="10"/>
      <c r="F38" s="10"/>
      <c r="G38" s="10"/>
      <c r="H38" s="10"/>
      <c r="I38" s="10" t="str">
        <f>IF(pts_traje!$I38&lt;&gt;0,(ROUND(pts_traje!$I38+(pts_traje!$I38*0.02*pts_traje!$H38/1000),0)),"")</f>
        <v/>
      </c>
      <c r="J38" s="10"/>
    </row>
    <row r="39">
      <c r="A39" s="1" t="str">
        <f>IFNA(right(VLOOKUP(pts_traje!$A39,trj!$B$2:$D1000,3,FALSE),4),"")</f>
        <v/>
      </c>
      <c r="B39" s="10"/>
      <c r="C39" s="10"/>
      <c r="D39" s="1" t="str">
        <f>IFNA(VLOOKUP(pts_traje!$D39,FIX!$A$2:$D1000,4,FALSE),"")</f>
        <v/>
      </c>
      <c r="E39" s="10"/>
      <c r="F39" s="10"/>
      <c r="G39" s="10"/>
      <c r="H39" s="10"/>
      <c r="I39" s="10" t="str">
        <f>IF(pts_traje!$I39&lt;&gt;0,(ROUND(pts_traje!$I39+(pts_traje!$I39*0.02*pts_traje!$H39/1000),0)),"")</f>
        <v/>
      </c>
      <c r="J39" s="10"/>
    </row>
    <row r="40">
      <c r="A40" s="1" t="str">
        <f>IFNA(right(VLOOKUP(pts_traje!$A40,trj!$B$2:$D1000,3,FALSE),4),"")</f>
        <v/>
      </c>
      <c r="B40" s="10"/>
      <c r="C40" s="10"/>
      <c r="D40" s="1" t="str">
        <f>IFNA(VLOOKUP(pts_traje!$D40,FIX!$A$2:$D1000,4,FALSE),"")</f>
        <v/>
      </c>
      <c r="E40" s="10"/>
      <c r="F40" s="10"/>
      <c r="G40" s="10"/>
      <c r="H40" s="10"/>
      <c r="I40" s="10" t="str">
        <f>IF(pts_traje!$I40&lt;&gt;0,(ROUND(pts_traje!$I40+(pts_traje!$I40*0.02*pts_traje!$H40/1000),0)),"")</f>
        <v/>
      </c>
      <c r="J40" s="10"/>
    </row>
    <row r="41">
      <c r="A41" s="1" t="str">
        <f>IFNA(right(VLOOKUP(pts_traje!$A41,trj!$B$2:$D1000,3,FALSE),4),"")</f>
        <v/>
      </c>
      <c r="B41" s="10"/>
      <c r="C41" s="10"/>
      <c r="D41" s="1" t="str">
        <f>IFNA(VLOOKUP(pts_traje!$D41,FIX!$A$2:$D1000,4,FALSE),"")</f>
        <v/>
      </c>
      <c r="E41" s="10"/>
      <c r="F41" s="10"/>
      <c r="G41" s="10"/>
      <c r="H41" s="10"/>
      <c r="I41" s="10" t="str">
        <f>IF(pts_traje!$I41&lt;&gt;0,(ROUND(pts_traje!$I41+(pts_traje!$I41*0.02*pts_traje!$H41/1000),0)),"")</f>
        <v/>
      </c>
      <c r="J41" s="10"/>
    </row>
    <row r="42">
      <c r="A42" s="1" t="str">
        <f>IFNA(right(VLOOKUP(pts_traje!$A42,trj!$B$2:$D1000,3,FALSE),4),"")</f>
        <v/>
      </c>
      <c r="B42" s="10"/>
      <c r="C42" s="10"/>
      <c r="D42" s="1" t="str">
        <f>IFNA(VLOOKUP(pts_traje!$D42,FIX!$A$2:$D1000,4,FALSE),"")</f>
        <v/>
      </c>
      <c r="E42" s="10"/>
      <c r="F42" s="10"/>
      <c r="G42" s="10"/>
      <c r="H42" s="10"/>
      <c r="I42" s="10" t="str">
        <f>IF(pts_traje!$I42&lt;&gt;0,(ROUND(pts_traje!$I42+(pts_traje!$I42*0.02*pts_traje!$H42/1000),0)),"")</f>
        <v/>
      </c>
      <c r="J42" s="10"/>
    </row>
    <row r="43">
      <c r="A43" s="1" t="str">
        <f>IFNA(right(VLOOKUP(pts_traje!$A43,trj!$B$2:$D1000,3,FALSE),4),"")</f>
        <v/>
      </c>
      <c r="B43" s="10"/>
      <c r="C43" s="10"/>
      <c r="D43" s="1" t="str">
        <f>IFNA(VLOOKUP(pts_traje!$D43,FIX!$A$2:$D1000,4,FALSE),"")</f>
        <v/>
      </c>
      <c r="E43" s="10"/>
      <c r="F43" s="10"/>
      <c r="G43" s="10"/>
      <c r="H43" s="10"/>
      <c r="I43" s="10" t="str">
        <f>IF(pts_traje!$I43&lt;&gt;0,(ROUND(pts_traje!$I43+(pts_traje!$I43*0.02*pts_traje!$H43/1000),0)),"")</f>
        <v/>
      </c>
      <c r="J43" s="10"/>
    </row>
    <row r="44">
      <c r="A44" s="1" t="str">
        <f>IFNA(right(VLOOKUP(pts_traje!$A44,trj!$B$2:$D1000,3,FALSE),4),"")</f>
        <v/>
      </c>
      <c r="B44" s="10"/>
      <c r="C44" s="10"/>
      <c r="D44" s="1" t="str">
        <f>IFNA(VLOOKUP(pts_traje!$D44,FIX!$A$2:$D1000,4,FALSE),"")</f>
        <v/>
      </c>
      <c r="E44" s="10"/>
      <c r="F44" s="10"/>
      <c r="G44" s="10"/>
      <c r="H44" s="10"/>
      <c r="I44" s="10" t="str">
        <f>IF(pts_traje!$I44&lt;&gt;0,(ROUND(pts_traje!$I44+(pts_traje!$I44*0.02*pts_traje!$H44/1000),0)),"")</f>
        <v/>
      </c>
      <c r="J44" s="10"/>
    </row>
    <row r="45">
      <c r="A45" s="1" t="str">
        <f>IFNA(right(VLOOKUP(pts_traje!$A45,trj!$B$2:$D1000,3,FALSE),4),"")</f>
        <v/>
      </c>
      <c r="B45" s="10"/>
      <c r="C45" s="10"/>
      <c r="D45" s="1" t="str">
        <f>IFNA(VLOOKUP(pts_traje!$D45,FIX!$A$2:$D1000,4,FALSE),"")</f>
        <v/>
      </c>
      <c r="E45" s="10"/>
      <c r="F45" s="10"/>
      <c r="G45" s="10"/>
      <c r="H45" s="10"/>
      <c r="I45" s="10" t="str">
        <f>IF(pts_traje!$I45&lt;&gt;0,(ROUND(pts_traje!$I45+(pts_traje!$I45*0.02*pts_traje!$H45/1000),0)),"")</f>
        <v/>
      </c>
      <c r="J45" s="10"/>
    </row>
    <row r="46">
      <c r="A46" s="1" t="str">
        <f>IFNA(right(VLOOKUP(pts_traje!$A46,trj!$B$2:$D1000,3,FALSE),4),"")</f>
        <v/>
      </c>
      <c r="B46" s="10"/>
      <c r="C46" s="10"/>
      <c r="D46" s="1" t="str">
        <f>IFNA(VLOOKUP(pts_traje!$D46,FIX!$A$2:$D1000,4,FALSE),"")</f>
        <v/>
      </c>
      <c r="E46" s="10"/>
      <c r="F46" s="10"/>
      <c r="G46" s="10"/>
      <c r="H46" s="10"/>
      <c r="I46" s="10" t="str">
        <f>IF(pts_traje!$I46&lt;&gt;0,(ROUND(pts_traje!$I46+(pts_traje!$I46*0.02*pts_traje!$H46/1000),0)),"")</f>
        <v/>
      </c>
      <c r="J46" s="10"/>
    </row>
    <row r="47">
      <c r="A47" s="1" t="str">
        <f>IFNA(right(VLOOKUP(pts_traje!$A47,trj!$B$2:$D1000,3,FALSE),4),"")</f>
        <v/>
      </c>
      <c r="B47" s="10"/>
      <c r="C47" s="10"/>
      <c r="D47" s="1" t="str">
        <f>IFNA(VLOOKUP(pts_traje!$D47,FIX!$A$2:$D1000,4,FALSE),"")</f>
        <v/>
      </c>
      <c r="E47" s="10"/>
      <c r="F47" s="10"/>
      <c r="G47" s="10"/>
      <c r="H47" s="10"/>
      <c r="I47" s="10" t="str">
        <f>IF(pts_traje!$I47&lt;&gt;0,(ROUND(pts_traje!$I47+(pts_traje!$I47*0.02*pts_traje!$H47/1000),0)),"")</f>
        <v/>
      </c>
      <c r="J47" s="10"/>
    </row>
    <row r="48">
      <c r="A48" s="1" t="str">
        <f>IFNA(right(VLOOKUP(pts_traje!$A48,trj!$B$2:$D1000,3,FALSE),4),"")</f>
        <v/>
      </c>
      <c r="B48" s="10"/>
      <c r="C48" s="10"/>
      <c r="D48" s="1" t="str">
        <f>IFNA(VLOOKUP(pts_traje!$D48,FIX!$A$2:$D1000,4,FALSE),"")</f>
        <v/>
      </c>
      <c r="E48" s="10"/>
      <c r="F48" s="10"/>
      <c r="G48" s="10"/>
      <c r="H48" s="10"/>
      <c r="I48" s="10" t="str">
        <f>IF(pts_traje!$I48&lt;&gt;0,(ROUND(pts_traje!$I48+(pts_traje!$I48*0.02*pts_traje!$H48/1000),0)),"")</f>
        <v/>
      </c>
      <c r="J48" s="10"/>
    </row>
    <row r="49">
      <c r="A49" s="1" t="str">
        <f>IFNA(right(VLOOKUP(pts_traje!$A49,trj!$B$2:$D1000,3,FALSE),4),"")</f>
        <v/>
      </c>
      <c r="B49" s="10"/>
      <c r="C49" s="10"/>
      <c r="D49" s="1" t="str">
        <f>IFNA(VLOOKUP(pts_traje!$D49,FIX!$A$2:$D1000,4,FALSE),"")</f>
        <v/>
      </c>
      <c r="E49" s="10"/>
      <c r="F49" s="10"/>
      <c r="G49" s="10"/>
      <c r="H49" s="10"/>
      <c r="I49" s="10" t="str">
        <f>IF(pts_traje!$I49&lt;&gt;0,(ROUND(pts_traje!$I49+(pts_traje!$I49*0.02*pts_traje!$H49/1000),0)),"")</f>
        <v/>
      </c>
      <c r="J49" s="10"/>
    </row>
    <row r="50">
      <c r="A50" s="1" t="str">
        <f>IFNA(right(VLOOKUP(pts_traje!$A50,trj!$B$2:$D1000,3,FALSE),4),"")</f>
        <v/>
      </c>
      <c r="B50" s="10"/>
      <c r="C50" s="10"/>
      <c r="D50" s="1" t="str">
        <f>IFNA(VLOOKUP(pts_traje!$D50,FIX!$A$2:$D1000,4,FALSE),"")</f>
        <v/>
      </c>
      <c r="E50" s="10"/>
      <c r="F50" s="10"/>
      <c r="G50" s="10"/>
      <c r="H50" s="10"/>
      <c r="I50" s="10" t="str">
        <f>IF(pts_traje!$I50&lt;&gt;0,(ROUND(pts_traje!$I50+(pts_traje!$I50*0.02*pts_traje!$H50/1000),0)),"")</f>
        <v/>
      </c>
      <c r="J50" s="10"/>
    </row>
    <row r="51">
      <c r="A51" s="1" t="str">
        <f>IFNA(right(VLOOKUP(pts_traje!$A51,trj!$B$2:$D1000,3,FALSE),4),"")</f>
        <v/>
      </c>
      <c r="B51" s="10"/>
      <c r="C51" s="10"/>
      <c r="D51" s="1" t="str">
        <f>IFNA(VLOOKUP(pts_traje!$D51,FIX!$A$2:$D1000,4,FALSE),"")</f>
        <v/>
      </c>
      <c r="E51" s="10"/>
      <c r="F51" s="10"/>
      <c r="G51" s="10"/>
      <c r="H51" s="10"/>
      <c r="I51" s="10" t="str">
        <f>IF(pts_traje!$I51&lt;&gt;0,(ROUND(pts_traje!$I51+(pts_traje!$I51*0.02*pts_traje!$H51/1000),0)),"")</f>
        <v/>
      </c>
      <c r="J51" s="10"/>
    </row>
    <row r="52">
      <c r="A52" s="1" t="str">
        <f>IFNA(right(VLOOKUP(pts_traje!$A52,trj!$B$2:$D1000,3,FALSE),4),"")</f>
        <v/>
      </c>
      <c r="B52" s="10"/>
      <c r="C52" s="10"/>
      <c r="D52" s="1" t="str">
        <f>IFNA(VLOOKUP(pts_traje!$D52,FIX!$A$2:$D1000,4,FALSE),"")</f>
        <v/>
      </c>
      <c r="E52" s="10"/>
      <c r="F52" s="10"/>
      <c r="G52" s="10"/>
      <c r="H52" s="10"/>
      <c r="I52" s="10" t="str">
        <f>IF(pts_traje!$I52&lt;&gt;0,(ROUND(pts_traje!$I52+(pts_traje!$I52*0.02*pts_traje!$H52/1000),0)),"")</f>
        <v/>
      </c>
      <c r="J52" s="10"/>
    </row>
    <row r="53">
      <c r="A53" s="1" t="str">
        <f>IFNA(right(VLOOKUP(pts_traje!$A53,trj!$B$2:$D1000,3,FALSE),4),"")</f>
        <v/>
      </c>
      <c r="B53" s="10"/>
      <c r="C53" s="10"/>
      <c r="D53" s="1" t="str">
        <f>IFNA(VLOOKUP(pts_traje!$D53,FIX!$A$2:$D1000,4,FALSE),"")</f>
        <v/>
      </c>
      <c r="E53" s="10"/>
      <c r="F53" s="10"/>
      <c r="G53" s="10"/>
      <c r="H53" s="10"/>
      <c r="I53" s="10" t="str">
        <f>IF(pts_traje!$I53&lt;&gt;0,(ROUND(pts_traje!$I53+(pts_traje!$I53*0.02*pts_traje!$H53/1000),0)),"")</f>
        <v/>
      </c>
      <c r="J53" s="10"/>
    </row>
    <row r="54">
      <c r="A54" s="1" t="str">
        <f>IFNA(right(VLOOKUP(pts_traje!$A54,trj!$B$2:$D1000,3,FALSE),4),"")</f>
        <v/>
      </c>
      <c r="B54" s="10"/>
      <c r="C54" s="10"/>
      <c r="D54" s="1" t="str">
        <f>IFNA(VLOOKUP(pts_traje!$D54,FIX!$A$2:$D1000,4,FALSE),"")</f>
        <v/>
      </c>
      <c r="E54" s="10"/>
      <c r="F54" s="10"/>
      <c r="G54" s="10"/>
      <c r="H54" s="10"/>
      <c r="I54" s="10" t="str">
        <f>IF(pts_traje!$I54&lt;&gt;0,(ROUND(pts_traje!$I54+(pts_traje!$I54*0.02*pts_traje!$H54/1000),0)),"")</f>
        <v/>
      </c>
      <c r="J54" s="10"/>
    </row>
    <row r="55">
      <c r="A55" s="1" t="str">
        <f>IFNA(right(VLOOKUP(pts_traje!$A55,trj!$B$2:$D1000,3,FALSE),4),"")</f>
        <v/>
      </c>
      <c r="B55" s="10"/>
      <c r="C55" s="10"/>
      <c r="D55" s="1" t="str">
        <f>IFNA(VLOOKUP(pts_traje!$D55,FIX!$A$2:$D1000,4,FALSE),"")</f>
        <v/>
      </c>
      <c r="E55" s="10"/>
      <c r="F55" s="10"/>
      <c r="G55" s="10"/>
      <c r="H55" s="10"/>
      <c r="I55" s="10" t="str">
        <f>IF(pts_traje!$I55&lt;&gt;0,(ROUND(pts_traje!$I55+(pts_traje!$I55*0.02*pts_traje!$H55/1000),0)),"")</f>
        <v/>
      </c>
      <c r="J55" s="10"/>
    </row>
    <row r="56">
      <c r="A56" s="1" t="str">
        <f>IFNA(right(VLOOKUP(pts_traje!$A56,trj!$B$2:$D1000,3,FALSE),4),"")</f>
        <v/>
      </c>
      <c r="B56" s="10"/>
      <c r="C56" s="10"/>
      <c r="D56" s="1" t="str">
        <f>IFNA(VLOOKUP(pts_traje!$D56,FIX!$A$2:$D1000,4,FALSE),"")</f>
        <v/>
      </c>
      <c r="E56" s="10"/>
      <c r="F56" s="10"/>
      <c r="G56" s="10"/>
      <c r="H56" s="10"/>
      <c r="I56" s="10" t="str">
        <f>IF(pts_traje!$I56&lt;&gt;0,(ROUND(pts_traje!$I56+(pts_traje!$I56*0.02*pts_traje!$H56/1000),0)),"")</f>
        <v/>
      </c>
      <c r="J56" s="10"/>
    </row>
    <row r="57">
      <c r="A57" s="1" t="str">
        <f>IFNA(right(VLOOKUP(pts_traje!$A57,trj!$B$2:$D1000,3,FALSE),4),"")</f>
        <v/>
      </c>
      <c r="B57" s="10"/>
      <c r="C57" s="10"/>
      <c r="D57" s="1" t="str">
        <f>IFNA(VLOOKUP(pts_traje!$D57,FIX!$A$2:$D1000,4,FALSE),"")</f>
        <v/>
      </c>
      <c r="E57" s="10"/>
      <c r="F57" s="10"/>
      <c r="G57" s="10"/>
      <c r="H57" s="10"/>
      <c r="I57" s="10" t="str">
        <f>IF(pts_traje!$I57&lt;&gt;0,(ROUND(pts_traje!$I57+(pts_traje!$I57*0.02*pts_traje!$H57/1000),0)),"")</f>
        <v/>
      </c>
      <c r="J57" s="10"/>
    </row>
    <row r="58">
      <c r="A58" s="1" t="str">
        <f>IFNA(right(VLOOKUP(pts_traje!$A58,trj!$B$2:$D1000,3,FALSE),4),"")</f>
        <v/>
      </c>
      <c r="B58" s="10"/>
      <c r="C58" s="10"/>
      <c r="D58" s="1" t="str">
        <f>IFNA(VLOOKUP(pts_traje!$D58,FIX!$A$2:$D1000,4,FALSE),"")</f>
        <v/>
      </c>
      <c r="E58" s="10"/>
      <c r="F58" s="10"/>
      <c r="G58" s="10"/>
      <c r="H58" s="10"/>
      <c r="I58" s="10" t="str">
        <f>IF(pts_traje!$I58&lt;&gt;0,(ROUND(pts_traje!$I58+(pts_traje!$I58*0.02*pts_traje!$H58/1000),0)),"")</f>
        <v/>
      </c>
      <c r="J58" s="10"/>
    </row>
    <row r="59">
      <c r="A59" s="1" t="str">
        <f>IFNA(right(VLOOKUP(pts_traje!$A59,trj!$B$2:$D1000,3,FALSE),4),"")</f>
        <v/>
      </c>
      <c r="B59" s="10"/>
      <c r="C59" s="10"/>
      <c r="D59" s="1" t="str">
        <f>IFNA(VLOOKUP(pts_traje!$D59,FIX!$A$2:$D1000,4,FALSE),"")</f>
        <v/>
      </c>
      <c r="E59" s="10"/>
      <c r="F59" s="10"/>
      <c r="G59" s="10"/>
      <c r="H59" s="10"/>
      <c r="I59" s="10" t="str">
        <f>IF(pts_traje!$I59&lt;&gt;0,(ROUND(pts_traje!$I59+(pts_traje!$I59*0.02*pts_traje!$H59/1000),0)),"")</f>
        <v/>
      </c>
      <c r="J59" s="10"/>
    </row>
    <row r="60">
      <c r="A60" s="1" t="str">
        <f>IFNA(right(VLOOKUP(pts_traje!$A60,trj!$B$2:$D1000,3,FALSE),4),"")</f>
        <v/>
      </c>
      <c r="B60" s="10"/>
      <c r="C60" s="10"/>
      <c r="D60" s="1" t="str">
        <f>IFNA(VLOOKUP(pts_traje!$D60,FIX!$A$2:$D1000,4,FALSE),"")</f>
        <v/>
      </c>
      <c r="E60" s="10"/>
      <c r="F60" s="10"/>
      <c r="G60" s="10"/>
      <c r="H60" s="10"/>
      <c r="I60" s="10" t="str">
        <f>IF(pts_traje!$I60&lt;&gt;0,(ROUND(pts_traje!$I60+(pts_traje!$I60*0.02*pts_traje!$H60/1000),0)),"")</f>
        <v/>
      </c>
      <c r="J60" s="10"/>
    </row>
    <row r="61">
      <c r="A61" s="1" t="str">
        <f>IFNA(right(VLOOKUP(pts_traje!$A61,trj!$B$2:$D1000,3,FALSE),4),"")</f>
        <v/>
      </c>
      <c r="B61" s="10"/>
      <c r="C61" s="10"/>
      <c r="D61" s="1" t="str">
        <f>IFNA(VLOOKUP(pts_traje!$D61,FIX!$A$2:$D1000,4,FALSE),"")</f>
        <v/>
      </c>
      <c r="E61" s="10"/>
      <c r="F61" s="10"/>
      <c r="G61" s="10"/>
      <c r="H61" s="10"/>
      <c r="I61" s="10" t="str">
        <f>IF(pts_traje!$I61&lt;&gt;0,(ROUND(pts_traje!$I61+(pts_traje!$I61*0.02*pts_traje!$H61/1000),0)),"")</f>
        <v/>
      </c>
      <c r="J61" s="10"/>
    </row>
    <row r="62">
      <c r="A62" s="1" t="str">
        <f>IFNA(right(VLOOKUP(pts_traje!$A62,trj!$B$2:$D1000,3,FALSE),4),"")</f>
        <v/>
      </c>
      <c r="B62" s="10"/>
      <c r="C62" s="10"/>
      <c r="D62" s="1" t="str">
        <f>IFNA(VLOOKUP(pts_traje!$D62,FIX!$A$2:$D1000,4,FALSE),"")</f>
        <v/>
      </c>
      <c r="E62" s="10"/>
      <c r="F62" s="10"/>
      <c r="G62" s="10"/>
      <c r="H62" s="10"/>
      <c r="I62" s="10" t="str">
        <f>IF(pts_traje!$I62&lt;&gt;0,(ROUND(pts_traje!$I62+(pts_traje!$I62*0.02*pts_traje!$H62/1000),0)),"")</f>
        <v/>
      </c>
      <c r="J62" s="10"/>
    </row>
    <row r="63">
      <c r="A63" s="1" t="str">
        <f>IFNA(right(VLOOKUP(pts_traje!$A63,trj!$B$2:$D1000,3,FALSE),4),"")</f>
        <v/>
      </c>
      <c r="B63" s="10"/>
      <c r="C63" s="10"/>
      <c r="D63" s="1" t="str">
        <f>IFNA(VLOOKUP(pts_traje!$D63,FIX!$A$2:$D1000,4,FALSE),"")</f>
        <v/>
      </c>
      <c r="E63" s="10"/>
      <c r="F63" s="10"/>
      <c r="G63" s="10"/>
      <c r="H63" s="10"/>
      <c r="I63" s="10" t="str">
        <f>IF(pts_traje!$I63&lt;&gt;0,(ROUND(pts_traje!$I63+(pts_traje!$I63*0.02*pts_traje!$H63/1000),0)),"")</f>
        <v/>
      </c>
      <c r="J63" s="10"/>
    </row>
    <row r="64">
      <c r="A64" s="1" t="str">
        <f>IFNA(right(VLOOKUP(pts_traje!$A64,trj!$B$2:$D1000,3,FALSE),4),"")</f>
        <v/>
      </c>
      <c r="B64" s="10"/>
      <c r="C64" s="10"/>
      <c r="D64" s="1" t="str">
        <f>IFNA(VLOOKUP(pts_traje!$D64,FIX!$A$2:$D1000,4,FALSE),"")</f>
        <v/>
      </c>
      <c r="E64" s="10"/>
      <c r="F64" s="10"/>
      <c r="G64" s="10"/>
      <c r="H64" s="10"/>
      <c r="I64" s="10" t="str">
        <f>IF(pts_traje!$I64&lt;&gt;0,(ROUND(pts_traje!$I64+(pts_traje!$I64*0.02*pts_traje!$H64/1000),0)),"")</f>
        <v/>
      </c>
      <c r="J64" s="10"/>
    </row>
    <row r="65">
      <c r="A65" s="1" t="str">
        <f>IFNA(right(VLOOKUP(pts_traje!$A65,trj!$B$2:$D1000,3,FALSE),4),"")</f>
        <v/>
      </c>
      <c r="B65" s="10"/>
      <c r="C65" s="10"/>
      <c r="D65" s="1" t="str">
        <f>IFNA(VLOOKUP(pts_traje!$D65,FIX!$A$2:$D1000,4,FALSE),"")</f>
        <v/>
      </c>
      <c r="E65" s="10"/>
      <c r="F65" s="10"/>
      <c r="G65" s="10"/>
      <c r="H65" s="10"/>
      <c r="I65" s="10" t="str">
        <f>IF(pts_traje!$I65&lt;&gt;0,(ROUND(pts_traje!$I65+(pts_traje!$I65*0.02*pts_traje!$H65/1000),0)),"")</f>
        <v/>
      </c>
      <c r="J65" s="10"/>
    </row>
    <row r="66">
      <c r="A66" s="1" t="str">
        <f>IFNA(right(VLOOKUP(pts_traje!$A66,trj!$B$2:$D1000,3,FALSE),4),"")</f>
        <v/>
      </c>
      <c r="B66" s="10"/>
      <c r="C66" s="10"/>
      <c r="D66" s="1" t="str">
        <f>IFNA(VLOOKUP(pts_traje!$D66,FIX!$A$2:$D1000,4,FALSE),"")</f>
        <v/>
      </c>
      <c r="E66" s="10"/>
      <c r="F66" s="10"/>
      <c r="G66" s="10"/>
      <c r="H66" s="10"/>
      <c r="I66" s="10" t="str">
        <f>IF(pts_traje!$I66&lt;&gt;0,(ROUND(pts_traje!$I66+(pts_traje!$I66*0.02*pts_traje!$H66/1000),0)),"")</f>
        <v/>
      </c>
      <c r="J66" s="10"/>
    </row>
    <row r="67">
      <c r="A67" s="1" t="str">
        <f>IFNA(right(VLOOKUP(pts_traje!$A67,trj!$B$2:$D1000,3,FALSE),4),"")</f>
        <v/>
      </c>
      <c r="B67" s="10"/>
      <c r="C67" s="10"/>
      <c r="D67" s="1" t="str">
        <f>IFNA(VLOOKUP(pts_traje!$D67,FIX!$A$2:$D1000,4,FALSE),"")</f>
        <v/>
      </c>
      <c r="E67" s="10"/>
      <c r="F67" s="10"/>
      <c r="G67" s="10"/>
      <c r="H67" s="10"/>
      <c r="I67" s="10" t="str">
        <f>IF(pts_traje!$I67&lt;&gt;0,(ROUND(pts_traje!$I67+(pts_traje!$I67*0.02*pts_traje!$H67/1000),0)),"")</f>
        <v/>
      </c>
      <c r="J67" s="10"/>
    </row>
    <row r="68">
      <c r="A68" s="1" t="str">
        <f>IFNA(right(VLOOKUP(pts_traje!$A68,trj!$B$2:$D1000,3,FALSE),4),"")</f>
        <v/>
      </c>
      <c r="B68" s="10"/>
      <c r="C68" s="10"/>
      <c r="D68" s="1" t="str">
        <f>IFNA(VLOOKUP(pts_traje!$D68,FIX!$A$2:$D1000,4,FALSE),"")</f>
        <v/>
      </c>
      <c r="E68" s="10"/>
      <c r="F68" s="10"/>
      <c r="G68" s="10"/>
      <c r="H68" s="10"/>
      <c r="I68" s="10" t="str">
        <f>IF(pts_traje!$I68&lt;&gt;0,(ROUND(pts_traje!$I68+(pts_traje!$I68*0.02*pts_traje!$H68/1000),0)),"")</f>
        <v/>
      </c>
      <c r="J68" s="10"/>
    </row>
    <row r="69">
      <c r="A69" s="1" t="str">
        <f>IFNA(right(VLOOKUP(pts_traje!$A69,trj!$B$2:$D1000,3,FALSE),4),"")</f>
        <v/>
      </c>
      <c r="B69" s="10"/>
      <c r="C69" s="10"/>
      <c r="D69" s="1" t="str">
        <f>IFNA(VLOOKUP(pts_traje!$D69,FIX!$A$2:$D1000,4,FALSE),"")</f>
        <v/>
      </c>
      <c r="E69" s="10"/>
      <c r="F69" s="10"/>
      <c r="G69" s="10"/>
      <c r="H69" s="10"/>
      <c r="I69" s="10" t="str">
        <f>IF(pts_traje!$I69&lt;&gt;0,(ROUND(pts_traje!$I69+(pts_traje!$I69*0.02*pts_traje!$H69/1000),0)),"")</f>
        <v/>
      </c>
      <c r="J69" s="10"/>
    </row>
    <row r="70">
      <c r="A70" s="1" t="str">
        <f>IFNA(right(VLOOKUP(pts_traje!$A70,trj!$B$2:$D1000,3,FALSE),4),"")</f>
        <v/>
      </c>
      <c r="B70" s="10"/>
      <c r="C70" s="10"/>
      <c r="D70" s="1" t="str">
        <f>IFNA(VLOOKUP(pts_traje!$D70,FIX!$A$2:$D1000,4,FALSE),"")</f>
        <v/>
      </c>
      <c r="E70" s="10"/>
      <c r="F70" s="10"/>
      <c r="G70" s="10"/>
      <c r="H70" s="10"/>
      <c r="I70" s="10" t="str">
        <f>IF(pts_traje!$I70&lt;&gt;0,(ROUND(pts_traje!$I70+(pts_traje!$I70*0.02*pts_traje!$H70/1000),0)),"")</f>
        <v/>
      </c>
      <c r="J70" s="10"/>
    </row>
    <row r="71">
      <c r="A71" s="1" t="str">
        <f>IFNA(right(VLOOKUP(pts_traje!$A71,trj!$B$2:$D1000,3,FALSE),4),"")</f>
        <v/>
      </c>
      <c r="B71" s="10"/>
      <c r="C71" s="10"/>
      <c r="D71" s="1" t="str">
        <f>IFNA(VLOOKUP(pts_traje!$D71,FIX!$A$2:$D1000,4,FALSE),"")</f>
        <v/>
      </c>
      <c r="E71" s="10"/>
      <c r="F71" s="10"/>
      <c r="G71" s="10"/>
      <c r="H71" s="10"/>
      <c r="I71" s="10" t="str">
        <f>IF(pts_traje!$I71&lt;&gt;0,(ROUND(pts_traje!$I71+(pts_traje!$I71*0.02*pts_traje!$H71/1000),0)),"")</f>
        <v/>
      </c>
      <c r="J71" s="10"/>
    </row>
    <row r="72">
      <c r="A72" s="1" t="str">
        <f>IFNA(right(VLOOKUP(pts_traje!$A72,trj!$B$2:$D1000,3,FALSE),4),"")</f>
        <v/>
      </c>
      <c r="B72" s="10"/>
      <c r="C72" s="10"/>
      <c r="D72" s="1" t="str">
        <f>IFNA(VLOOKUP(pts_traje!$D72,FIX!$A$2:$D1000,4,FALSE),"")</f>
        <v/>
      </c>
      <c r="E72" s="10"/>
      <c r="F72" s="10"/>
      <c r="G72" s="10"/>
      <c r="H72" s="10"/>
      <c r="I72" s="10" t="str">
        <f>IF(pts_traje!$I72&lt;&gt;0,(ROUND(pts_traje!$I72+(pts_traje!$I72*0.02*pts_traje!$H72/1000),0)),"")</f>
        <v/>
      </c>
      <c r="J72" s="10"/>
    </row>
    <row r="73">
      <c r="A73" s="1" t="str">
        <f>IFNA(right(VLOOKUP(pts_traje!$A73,trj!$B$2:$D1000,3,FALSE),4),"")</f>
        <v/>
      </c>
      <c r="B73" s="10"/>
      <c r="C73" s="10"/>
      <c r="D73" s="1" t="str">
        <f>IFNA(VLOOKUP(pts_traje!$D73,FIX!$A$2:$D1000,4,FALSE),"")</f>
        <v/>
      </c>
      <c r="E73" s="10"/>
      <c r="F73" s="10"/>
      <c r="G73" s="10"/>
      <c r="H73" s="10"/>
      <c r="I73" s="10" t="str">
        <f>IF(pts_traje!$I73&lt;&gt;0,(ROUND(pts_traje!$I73+(pts_traje!$I73*0.02*pts_traje!$H73/1000),0)),"")</f>
        <v/>
      </c>
      <c r="J73" s="10"/>
    </row>
    <row r="74">
      <c r="A74" s="1" t="str">
        <f>IFNA(right(VLOOKUP(pts_traje!$A74,trj!$B$2:$D1000,3,FALSE),4),"")</f>
        <v/>
      </c>
      <c r="B74" s="10"/>
      <c r="C74" s="10"/>
      <c r="D74" s="1" t="str">
        <f>IFNA(VLOOKUP(pts_traje!$D74,FIX!$A$2:$D1000,4,FALSE),"")</f>
        <v/>
      </c>
      <c r="E74" s="10"/>
      <c r="F74" s="10"/>
      <c r="G74" s="10"/>
      <c r="H74" s="10"/>
      <c r="I74" s="10" t="str">
        <f>IF(pts_traje!$I74&lt;&gt;0,(ROUND(pts_traje!$I74+(pts_traje!$I74*0.02*pts_traje!$H74/1000),0)),"")</f>
        <v/>
      </c>
      <c r="J74" s="10"/>
    </row>
    <row r="75">
      <c r="A75" s="1" t="str">
        <f>IFNA(right(VLOOKUP(pts_traje!$A75,trj!$B$2:$D1000,3,FALSE),4),"")</f>
        <v/>
      </c>
      <c r="B75" s="10"/>
      <c r="C75" s="10"/>
      <c r="D75" s="1" t="str">
        <f>IFNA(VLOOKUP(pts_traje!$D75,FIX!$A$2:$D1000,4,FALSE),"")</f>
        <v/>
      </c>
      <c r="E75" s="10"/>
      <c r="F75" s="10"/>
      <c r="G75" s="10"/>
      <c r="H75" s="10"/>
      <c r="I75" s="10" t="str">
        <f>IF(pts_traje!$I75&lt;&gt;0,(ROUND(pts_traje!$I75+(pts_traje!$I75*0.02*pts_traje!$H75/1000),0)),"")</f>
        <v/>
      </c>
      <c r="J75" s="10"/>
    </row>
    <row r="76">
      <c r="A76" s="1" t="str">
        <f>IFNA(right(VLOOKUP(pts_traje!$A76,trj!$B$2:$D1000,3,FALSE),4),"")</f>
        <v/>
      </c>
      <c r="B76" s="10"/>
      <c r="C76" s="10"/>
      <c r="D76" s="1" t="str">
        <f>IFNA(VLOOKUP(pts_traje!$D76,FIX!$A$2:$D1000,4,FALSE),"")</f>
        <v/>
      </c>
      <c r="E76" s="10"/>
      <c r="F76" s="10"/>
      <c r="G76" s="10"/>
      <c r="H76" s="10"/>
      <c r="I76" s="10" t="str">
        <f>IF(pts_traje!$I76&lt;&gt;0,(ROUND(pts_traje!$I76+(pts_traje!$I76*0.02*pts_traje!$H76/1000),0)),"")</f>
        <v/>
      </c>
      <c r="J76" s="10"/>
    </row>
    <row r="77">
      <c r="A77" s="1" t="str">
        <f>IFNA(right(VLOOKUP(pts_traje!$A77,trj!$B$2:$D1000,3,FALSE),4),"")</f>
        <v/>
      </c>
      <c r="B77" s="10"/>
      <c r="C77" s="10"/>
      <c r="D77" s="1" t="str">
        <f>IFNA(VLOOKUP(pts_traje!$D77,FIX!$A$2:$D1000,4,FALSE),"")</f>
        <v/>
      </c>
      <c r="E77" s="10"/>
      <c r="F77" s="10"/>
      <c r="G77" s="10"/>
      <c r="H77" s="10"/>
      <c r="I77" s="10" t="str">
        <f>IF(pts_traje!$I77&lt;&gt;0,(ROUND(pts_traje!$I77+(pts_traje!$I77*0.02*pts_traje!$H77/1000),0)),"")</f>
        <v/>
      </c>
      <c r="J77" s="10"/>
    </row>
    <row r="78">
      <c r="A78" s="1" t="str">
        <f>IFNA(right(VLOOKUP(pts_traje!$A78,trj!$B$2:$D1000,3,FALSE),4),"")</f>
        <v/>
      </c>
      <c r="B78" s="10"/>
      <c r="C78" s="10"/>
      <c r="D78" s="1" t="str">
        <f>IFNA(VLOOKUP(pts_traje!$D78,FIX!$A$2:$D1000,4,FALSE),"")</f>
        <v/>
      </c>
      <c r="E78" s="10"/>
      <c r="F78" s="10"/>
      <c r="G78" s="10"/>
      <c r="H78" s="10"/>
      <c r="I78" s="10" t="str">
        <f>IF(pts_traje!$I78&lt;&gt;0,(ROUND(pts_traje!$I78+(pts_traje!$I78*0.02*pts_traje!$H78/1000),0)),"")</f>
        <v/>
      </c>
      <c r="J78" s="10"/>
    </row>
    <row r="79">
      <c r="A79" s="1" t="str">
        <f>IFNA(right(VLOOKUP(pts_traje!$A79,trj!$B$2:$D1000,3,FALSE),4),"")</f>
        <v/>
      </c>
      <c r="B79" s="10"/>
      <c r="C79" s="10"/>
      <c r="D79" s="1" t="str">
        <f>IFNA(VLOOKUP(pts_traje!$D79,FIX!$A$2:$D1000,4,FALSE),"")</f>
        <v/>
      </c>
      <c r="E79" s="10"/>
      <c r="F79" s="10"/>
      <c r="G79" s="10"/>
      <c r="H79" s="10"/>
      <c r="I79" s="10" t="str">
        <f>IF(pts_traje!$I79&lt;&gt;0,(ROUND(pts_traje!$I79+(pts_traje!$I79*0.02*pts_traje!$H79/1000),0)),"")</f>
        <v/>
      </c>
      <c r="J79" s="10"/>
    </row>
    <row r="80">
      <c r="A80" s="1" t="str">
        <f>IFNA(right(VLOOKUP(pts_traje!$A80,trj!$B$2:$D1000,3,FALSE),4),"")</f>
        <v/>
      </c>
      <c r="B80" s="10"/>
      <c r="C80" s="10"/>
      <c r="D80" s="1" t="str">
        <f>IFNA(VLOOKUP(pts_traje!$D80,FIX!$A$2:$D1000,4,FALSE),"")</f>
        <v/>
      </c>
      <c r="E80" s="10"/>
      <c r="F80" s="10"/>
      <c r="G80" s="10"/>
      <c r="H80" s="10"/>
      <c r="I80" s="10" t="str">
        <f>IF(pts_traje!$I80&lt;&gt;0,(ROUND(pts_traje!$I80+(pts_traje!$I80*0.02*pts_traje!$H80/1000),0)),"")</f>
        <v/>
      </c>
      <c r="J80" s="10"/>
    </row>
    <row r="81">
      <c r="A81" s="1" t="str">
        <f>IFNA(right(VLOOKUP(pts_traje!$A81,trj!$B$2:$D1000,3,FALSE),4),"")</f>
        <v/>
      </c>
      <c r="B81" s="10"/>
      <c r="C81" s="10"/>
      <c r="D81" s="1" t="str">
        <f>IFNA(VLOOKUP(pts_traje!$D81,FIX!$A$2:$D1000,4,FALSE),"")</f>
        <v/>
      </c>
      <c r="E81" s="10"/>
      <c r="F81" s="10"/>
      <c r="G81" s="10"/>
      <c r="H81" s="10"/>
      <c r="I81" s="10" t="str">
        <f>IF(pts_traje!$I81&lt;&gt;0,(ROUND(pts_traje!$I81+(pts_traje!$I81*0.02*pts_traje!$H81/1000),0)),"")</f>
        <v/>
      </c>
      <c r="J81" s="10"/>
    </row>
    <row r="82">
      <c r="A82" s="1" t="str">
        <f>IFNA(right(VLOOKUP(pts_traje!$A82,trj!$B$2:$D1000,3,FALSE),4),"")</f>
        <v/>
      </c>
      <c r="B82" s="10"/>
      <c r="C82" s="10"/>
      <c r="D82" s="1" t="str">
        <f>IFNA(VLOOKUP(pts_traje!$D82,FIX!$A$2:$D1000,4,FALSE),"")</f>
        <v/>
      </c>
      <c r="E82" s="10"/>
      <c r="F82" s="10"/>
      <c r="G82" s="10"/>
      <c r="H82" s="10"/>
      <c r="I82" s="10" t="str">
        <f>IF(pts_traje!$I82&lt;&gt;0,(ROUND(pts_traje!$I82+(pts_traje!$I82*0.02*pts_traje!$H82/1000),0)),"")</f>
        <v/>
      </c>
      <c r="J82" s="10"/>
    </row>
    <row r="83">
      <c r="A83" s="1" t="str">
        <f>IFNA(right(VLOOKUP(pts_traje!$A83,trj!$B$2:$D1000,3,FALSE),4),"")</f>
        <v/>
      </c>
      <c r="B83" s="10"/>
      <c r="C83" s="10"/>
      <c r="D83" s="1" t="str">
        <f>IFNA(VLOOKUP(pts_traje!$D83,FIX!$A$2:$D1000,4,FALSE),"")</f>
        <v/>
      </c>
      <c r="E83" s="10"/>
      <c r="F83" s="10"/>
      <c r="G83" s="10"/>
      <c r="H83" s="10"/>
      <c r="I83" s="10" t="str">
        <f>IF(pts_traje!$I83&lt;&gt;0,(ROUND(pts_traje!$I83+(pts_traje!$I83*0.02*pts_traje!$H83/1000),0)),"")</f>
        <v/>
      </c>
      <c r="J83" s="10"/>
    </row>
    <row r="84">
      <c r="A84" s="1" t="str">
        <f>IFNA(right(VLOOKUP(pts_traje!$A84,trj!$B$2:$D1000,3,FALSE),4),"")</f>
        <v/>
      </c>
      <c r="B84" s="10"/>
      <c r="C84" s="10"/>
      <c r="D84" s="1" t="str">
        <f>IFNA(VLOOKUP(pts_traje!$D84,FIX!$A$2:$D1000,4,FALSE),"")</f>
        <v/>
      </c>
      <c r="E84" s="10"/>
      <c r="F84" s="10"/>
      <c r="G84" s="10"/>
      <c r="H84" s="10"/>
      <c r="I84" s="10" t="str">
        <f>IF(pts_traje!$I84&lt;&gt;0,(ROUND(pts_traje!$I84+(pts_traje!$I84*0.02*pts_traje!$H84/1000),0)),"")</f>
        <v/>
      </c>
      <c r="J84" s="10"/>
    </row>
    <row r="85">
      <c r="A85" s="1" t="str">
        <f>IFNA(right(VLOOKUP(pts_traje!$A85,trj!$B$2:$D1000,3,FALSE),4),"")</f>
        <v/>
      </c>
      <c r="B85" s="10"/>
      <c r="C85" s="10"/>
      <c r="D85" s="1" t="str">
        <f>IFNA(VLOOKUP(pts_traje!$D85,FIX!$A$2:$D1000,4,FALSE),"")</f>
        <v/>
      </c>
      <c r="E85" s="10"/>
      <c r="F85" s="10"/>
      <c r="G85" s="10"/>
      <c r="H85" s="10"/>
      <c r="I85" s="10" t="str">
        <f>IF(pts_traje!$I85&lt;&gt;0,(ROUND(pts_traje!$I85+(pts_traje!$I85*0.02*pts_traje!$H85/1000),0)),"")</f>
        <v/>
      </c>
      <c r="J85" s="10"/>
    </row>
    <row r="86">
      <c r="A86" s="1" t="str">
        <f>IFNA(right(VLOOKUP(pts_traje!$A86,trj!$B$2:$D1000,3,FALSE),4),"")</f>
        <v/>
      </c>
      <c r="B86" s="10"/>
      <c r="C86" s="10"/>
      <c r="D86" s="1" t="str">
        <f>IFNA(VLOOKUP(pts_traje!$D86,FIX!$A$2:$D1000,4,FALSE),"")</f>
        <v/>
      </c>
      <c r="E86" s="10"/>
      <c r="F86" s="10"/>
      <c r="G86" s="10"/>
      <c r="H86" s="10"/>
      <c r="I86" s="10" t="str">
        <f>IF(pts_traje!$I86&lt;&gt;0,(ROUND(pts_traje!$I86+(pts_traje!$I86*0.02*pts_traje!$H86/1000),0)),"")</f>
        <v/>
      </c>
      <c r="J86" s="10"/>
    </row>
    <row r="87">
      <c r="A87" s="1" t="str">
        <f>IFNA(right(VLOOKUP(pts_traje!$A87,trj!$B$2:$D1000,3,FALSE),4),"")</f>
        <v/>
      </c>
      <c r="B87" s="10"/>
      <c r="C87" s="10"/>
      <c r="D87" s="1" t="str">
        <f>IFNA(VLOOKUP(pts_traje!$D87,FIX!$A$2:$D1000,4,FALSE),"")</f>
        <v/>
      </c>
      <c r="E87" s="10"/>
      <c r="F87" s="10"/>
      <c r="G87" s="10"/>
      <c r="H87" s="10"/>
      <c r="I87" s="10" t="str">
        <f>IF(pts_traje!$I87&lt;&gt;0,(ROUND(pts_traje!$I87+(pts_traje!$I87*0.02*pts_traje!$H87/1000),0)),"")</f>
        <v/>
      </c>
      <c r="J87" s="10"/>
    </row>
    <row r="88">
      <c r="A88" s="1" t="str">
        <f>IFNA(right(VLOOKUP(pts_traje!$A88,trj!$B$2:$D1000,3,FALSE),4),"")</f>
        <v/>
      </c>
      <c r="B88" s="10"/>
      <c r="C88" s="10"/>
      <c r="D88" s="1" t="str">
        <f>IFNA(VLOOKUP(pts_traje!$D88,FIX!$A$2:$D1000,4,FALSE),"")</f>
        <v/>
      </c>
      <c r="E88" s="10"/>
      <c r="F88" s="10"/>
      <c r="G88" s="10"/>
      <c r="H88" s="10"/>
      <c r="I88" s="10" t="str">
        <f>IF(pts_traje!$I88&lt;&gt;0,(ROUND(pts_traje!$I88+(pts_traje!$I88*0.02*pts_traje!$H88/1000),0)),"")</f>
        <v/>
      </c>
      <c r="J88" s="10"/>
    </row>
    <row r="89">
      <c r="A89" s="1" t="str">
        <f>IFNA(right(VLOOKUP(pts_traje!$A89,trj!$B$2:$D1000,3,FALSE),4),"")</f>
        <v/>
      </c>
      <c r="B89" s="10"/>
      <c r="C89" s="10"/>
      <c r="D89" s="1" t="str">
        <f>IFNA(VLOOKUP(pts_traje!$D89,FIX!$A$2:$D1000,4,FALSE),"")</f>
        <v/>
      </c>
      <c r="E89" s="10"/>
      <c r="F89" s="10"/>
      <c r="G89" s="10"/>
      <c r="H89" s="10"/>
      <c r="I89" s="10" t="str">
        <f>IF(pts_traje!$I89&lt;&gt;0,(ROUND(pts_traje!$I89+(pts_traje!$I89*0.02*pts_traje!$H89/1000),0)),"")</f>
        <v/>
      </c>
      <c r="J89" s="10"/>
    </row>
    <row r="90">
      <c r="A90" s="1" t="str">
        <f>IFNA(right(VLOOKUP(pts_traje!$A90,trj!$B$2:$D1000,3,FALSE),4),"")</f>
        <v/>
      </c>
      <c r="B90" s="10"/>
      <c r="C90" s="10"/>
      <c r="D90" s="1" t="str">
        <f>IFNA(VLOOKUP(pts_traje!$D90,FIX!$A$2:$D1000,4,FALSE),"")</f>
        <v/>
      </c>
      <c r="E90" s="10"/>
      <c r="F90" s="10"/>
      <c r="G90" s="10"/>
      <c r="H90" s="10"/>
      <c r="I90" s="10" t="str">
        <f>IF(pts_traje!$I90&lt;&gt;0,(ROUND(pts_traje!$I90+(pts_traje!$I90*0.02*pts_traje!$H90/1000),0)),"")</f>
        <v/>
      </c>
      <c r="J90" s="10"/>
    </row>
    <row r="91">
      <c r="A91" s="1" t="str">
        <f>IFNA(right(VLOOKUP(pts_traje!$A91,trj!$B$2:$D1000,3,FALSE),4),"")</f>
        <v/>
      </c>
      <c r="B91" s="10"/>
      <c r="C91" s="10"/>
      <c r="D91" s="1" t="str">
        <f>IFNA(VLOOKUP(pts_traje!$D91,FIX!$A$2:$D1000,4,FALSE),"")</f>
        <v/>
      </c>
      <c r="E91" s="10"/>
      <c r="F91" s="10"/>
      <c r="G91" s="10"/>
      <c r="H91" s="10"/>
      <c r="I91" s="10" t="str">
        <f>IF(pts_traje!$I91&lt;&gt;0,(ROUND(pts_traje!$I91+(pts_traje!$I91*0.02*pts_traje!$H91/1000),0)),"")</f>
        <v/>
      </c>
      <c r="J91" s="10"/>
    </row>
    <row r="92">
      <c r="A92" s="1" t="str">
        <f>IFNA(right(VLOOKUP(pts_traje!$A92,trj!$B$2:$D1000,3,FALSE),4),"")</f>
        <v/>
      </c>
      <c r="B92" s="10"/>
      <c r="C92" s="10"/>
      <c r="D92" s="1" t="str">
        <f>IFNA(VLOOKUP(pts_traje!$D92,FIX!$A$2:$D1000,4,FALSE),"")</f>
        <v/>
      </c>
      <c r="E92" s="10"/>
      <c r="F92" s="10"/>
      <c r="G92" s="10"/>
      <c r="H92" s="10"/>
      <c r="I92" s="10" t="str">
        <f>IF(pts_traje!$I92&lt;&gt;0,(ROUND(pts_traje!$I92+(pts_traje!$I92*0.02*pts_traje!$H92/1000),0)),"")</f>
        <v/>
      </c>
      <c r="J92" s="10"/>
    </row>
    <row r="93">
      <c r="A93" s="1" t="str">
        <f>IFNA(right(VLOOKUP(pts_traje!$A93,trj!$B$2:$D1000,3,FALSE),4),"")</f>
        <v/>
      </c>
      <c r="B93" s="10"/>
      <c r="C93" s="10"/>
      <c r="D93" s="1" t="str">
        <f>IFNA(VLOOKUP(pts_traje!$D93,FIX!$A$2:$D1000,4,FALSE),"")</f>
        <v/>
      </c>
      <c r="E93" s="10"/>
      <c r="F93" s="10"/>
      <c r="G93" s="10"/>
      <c r="H93" s="10"/>
      <c r="I93" s="10" t="str">
        <f>IF(pts_traje!$I93&lt;&gt;0,(ROUND(pts_traje!$I93+(pts_traje!$I93*0.02*pts_traje!$H93/1000),0)),"")</f>
        <v/>
      </c>
      <c r="J93" s="10"/>
    </row>
    <row r="94">
      <c r="A94" s="1" t="str">
        <f>IFNA(right(VLOOKUP(pts_traje!$A94,trj!$B$2:$D1000,3,FALSE),4),"")</f>
        <v/>
      </c>
      <c r="B94" s="10"/>
      <c r="C94" s="10"/>
      <c r="D94" s="1" t="str">
        <f>IFNA(VLOOKUP(pts_traje!$D94,FIX!$A$2:$D1000,4,FALSE),"")</f>
        <v/>
      </c>
      <c r="E94" s="10"/>
      <c r="F94" s="10"/>
      <c r="G94" s="10"/>
      <c r="H94" s="10"/>
      <c r="I94" s="10" t="str">
        <f>IF(pts_traje!$I94&lt;&gt;0,(ROUND(pts_traje!$I94+(pts_traje!$I94*0.02*pts_traje!$H94/1000),0)),"")</f>
        <v/>
      </c>
      <c r="J94" s="10"/>
    </row>
    <row r="95">
      <c r="A95" s="1" t="str">
        <f>IFNA(right(VLOOKUP(pts_traje!$A95,trj!$B$2:$D1000,3,FALSE),4),"")</f>
        <v/>
      </c>
      <c r="B95" s="10"/>
      <c r="C95" s="10"/>
      <c r="D95" s="1" t="str">
        <f>IFNA(VLOOKUP(pts_traje!$D95,FIX!$A$2:$D1000,4,FALSE),"")</f>
        <v/>
      </c>
      <c r="E95" s="10"/>
      <c r="F95" s="10"/>
      <c r="G95" s="10"/>
      <c r="H95" s="10"/>
      <c r="I95" s="10" t="str">
        <f>IF(pts_traje!$I95&lt;&gt;0,(ROUND(pts_traje!$I95+(pts_traje!$I95*0.02*pts_traje!$H95/1000),0)),"")</f>
        <v/>
      </c>
      <c r="J95" s="10"/>
    </row>
    <row r="96">
      <c r="A96" s="1" t="str">
        <f>IFNA(right(VLOOKUP(pts_traje!$A96,trj!$B$2:$D1000,3,FALSE),4),"")</f>
        <v/>
      </c>
      <c r="B96" s="10"/>
      <c r="C96" s="10"/>
      <c r="D96" s="1" t="str">
        <f>IFNA(VLOOKUP(pts_traje!$D96,FIX!$A$2:$D1000,4,FALSE),"")</f>
        <v/>
      </c>
      <c r="E96" s="10"/>
      <c r="F96" s="10"/>
      <c r="G96" s="10"/>
      <c r="H96" s="10"/>
      <c r="I96" s="10" t="str">
        <f>IF(pts_traje!$I96&lt;&gt;0,(ROUND(pts_traje!$I96+(pts_traje!$I96*0.02*pts_traje!$H96/1000),0)),"")</f>
        <v/>
      </c>
      <c r="J96" s="10"/>
    </row>
    <row r="97">
      <c r="A97" s="1" t="str">
        <f>IFNA(right(VLOOKUP(pts_traje!$A97,trj!$B$2:$D1000,3,FALSE),4),"")</f>
        <v/>
      </c>
      <c r="B97" s="10"/>
      <c r="C97" s="10"/>
      <c r="D97" s="1" t="str">
        <f>IFNA(VLOOKUP(pts_traje!$D97,FIX!$A$2:$D1000,4,FALSE),"")</f>
        <v/>
      </c>
      <c r="E97" s="10"/>
      <c r="F97" s="10"/>
      <c r="G97" s="10"/>
      <c r="H97" s="10"/>
      <c r="I97" s="10" t="str">
        <f>IF(pts_traje!$I97&lt;&gt;0,(ROUND(pts_traje!$I97+(pts_traje!$I97*0.02*pts_traje!$H97/1000),0)),"")</f>
        <v/>
      </c>
      <c r="J97" s="10"/>
    </row>
    <row r="98">
      <c r="A98" s="1" t="str">
        <f>IFNA(right(VLOOKUP(pts_traje!$A98,trj!$B$2:$D1000,3,FALSE),4),"")</f>
        <v/>
      </c>
      <c r="B98" s="10"/>
      <c r="C98" s="10"/>
      <c r="D98" s="1" t="str">
        <f>IFNA(VLOOKUP(pts_traje!$D98,FIX!$A$2:$D1000,4,FALSE),"")</f>
        <v/>
      </c>
      <c r="E98" s="10"/>
      <c r="F98" s="10"/>
      <c r="G98" s="10"/>
      <c r="H98" s="10"/>
      <c r="I98" s="10" t="str">
        <f>IF(pts_traje!$I98&lt;&gt;0,(ROUND(pts_traje!$I98+(pts_traje!$I98*0.02*pts_traje!$H98/1000),0)),"")</f>
        <v/>
      </c>
      <c r="J98" s="10"/>
    </row>
    <row r="99">
      <c r="A99" s="1" t="str">
        <f>IFNA(right(VLOOKUP(pts_traje!$A99,trj!$B$2:$D1000,3,FALSE),4),"")</f>
        <v/>
      </c>
      <c r="B99" s="10"/>
      <c r="C99" s="10"/>
      <c r="D99" s="1" t="str">
        <f>IFNA(VLOOKUP(pts_traje!$D99,FIX!$A$2:$D1000,4,FALSE),"")</f>
        <v/>
      </c>
      <c r="E99" s="10"/>
      <c r="F99" s="10"/>
      <c r="G99" s="10"/>
      <c r="H99" s="10"/>
      <c r="I99" s="10" t="str">
        <f>IF(pts_traje!$I99&lt;&gt;0,(ROUND(pts_traje!$I99+(pts_traje!$I99*0.02*pts_traje!$H99/1000),0)),"")</f>
        <v/>
      </c>
      <c r="J99" s="10"/>
    </row>
    <row r="100">
      <c r="A100" s="1" t="str">
        <f>IFNA(right(VLOOKUP(pts_traje!$A100,trj!$B$2:$D1000,3,FALSE),4),"")</f>
        <v/>
      </c>
      <c r="B100" s="10"/>
      <c r="C100" s="10"/>
      <c r="D100" s="1" t="str">
        <f>IFNA(VLOOKUP(pts_traje!$D100,FIX!$A$2:$D1000,4,FALSE),"")</f>
        <v/>
      </c>
      <c r="E100" s="10"/>
      <c r="F100" s="10"/>
      <c r="G100" s="10"/>
      <c r="H100" s="10"/>
      <c r="I100" s="10" t="str">
        <f>IF(pts_traje!$I100&lt;&gt;0,(ROUND(pts_traje!$I100+(pts_traje!$I100*0.02*pts_traje!$H100/1000),0)),"")</f>
        <v/>
      </c>
      <c r="J100" s="10"/>
    </row>
    <row r="101">
      <c r="A101" s="1" t="str">
        <f>IFNA(right(VLOOKUP(pts_traje!$A101,trj!$B$2:$D1000,3,FALSE),4),"")</f>
        <v/>
      </c>
      <c r="B101" s="10"/>
      <c r="C101" s="10"/>
      <c r="D101" s="1" t="str">
        <f>IFNA(VLOOKUP(pts_traje!$D101,FIX!$A$2:$D1000,4,FALSE),"")</f>
        <v/>
      </c>
      <c r="E101" s="10"/>
      <c r="F101" s="10"/>
      <c r="G101" s="10"/>
      <c r="H101" s="10"/>
      <c r="I101" s="10" t="str">
        <f>IF(pts_traje!$I101&lt;&gt;0,(ROUND(pts_traje!$I101+(pts_traje!$I101*0.02*pts_traje!$H101/1000),0)),"")</f>
        <v/>
      </c>
      <c r="J101" s="10"/>
    </row>
    <row r="102">
      <c r="A102" s="1" t="str">
        <f>IFNA(right(VLOOKUP(pts_traje!$A102,trj!$B$2:$D1000,3,FALSE),4),"")</f>
        <v/>
      </c>
      <c r="B102" s="10"/>
      <c r="C102" s="10"/>
      <c r="D102" s="1" t="str">
        <f>IFNA(VLOOKUP(pts_traje!$D102,FIX!$A$2:$D1000,4,FALSE),"")</f>
        <v/>
      </c>
      <c r="E102" s="10"/>
      <c r="F102" s="10"/>
      <c r="G102" s="10"/>
      <c r="H102" s="10"/>
      <c r="I102" s="10" t="str">
        <f>IF(pts_traje!$I102&lt;&gt;0,(ROUND(pts_traje!$I102+(pts_traje!$I102*0.02*pts_traje!$H102/1000),0)),"")</f>
        <v/>
      </c>
      <c r="J102" s="10"/>
    </row>
    <row r="103">
      <c r="A103" s="1" t="str">
        <f>IFNA(right(VLOOKUP(pts_traje!$A103,trj!$B$2:$D1000,3,FALSE),4),"")</f>
        <v/>
      </c>
      <c r="B103" s="10"/>
      <c r="C103" s="10"/>
      <c r="D103" s="1" t="str">
        <f>IFNA(VLOOKUP(pts_traje!$D103,FIX!$A$2:$D1000,4,FALSE),"")</f>
        <v/>
      </c>
      <c r="E103" s="10"/>
      <c r="F103" s="10"/>
      <c r="G103" s="10"/>
      <c r="H103" s="10"/>
      <c r="I103" s="10" t="str">
        <f>IF(pts_traje!$I103&lt;&gt;0,(ROUND(pts_traje!$I103+(pts_traje!$I103*0.02*pts_traje!$H103/1000),0)),"")</f>
        <v/>
      </c>
      <c r="J103" s="10"/>
    </row>
    <row r="104">
      <c r="A104" s="1" t="str">
        <f>IFNA(right(VLOOKUP(pts_traje!$A104,trj!$B$2:$D1000,3,FALSE),4),"")</f>
        <v/>
      </c>
      <c r="B104" s="10"/>
      <c r="C104" s="10"/>
      <c r="D104" s="1" t="str">
        <f>IFNA(VLOOKUP(pts_traje!$D104,FIX!$A$2:$D1000,4,FALSE),"")</f>
        <v/>
      </c>
      <c r="E104" s="10"/>
      <c r="F104" s="10"/>
      <c r="G104" s="10"/>
      <c r="H104" s="10"/>
      <c r="I104" s="10" t="str">
        <f>IF(pts_traje!$I104&lt;&gt;0,(ROUND(pts_traje!$I104+(pts_traje!$I104*0.02*pts_traje!$H104/1000),0)),"")</f>
        <v/>
      </c>
      <c r="J104" s="10"/>
    </row>
    <row r="105">
      <c r="A105" s="1" t="str">
        <f>IFNA(right(VLOOKUP(pts_traje!$A105,trj!$B$2:$D1000,3,FALSE),4),"")</f>
        <v/>
      </c>
      <c r="B105" s="10"/>
      <c r="C105" s="10"/>
      <c r="D105" s="1" t="str">
        <f>IFNA(VLOOKUP(pts_traje!$D105,FIX!$A$2:$D1000,4,FALSE),"")</f>
        <v/>
      </c>
      <c r="E105" s="10"/>
      <c r="F105" s="10"/>
      <c r="G105" s="10"/>
      <c r="H105" s="10"/>
      <c r="I105" s="10" t="str">
        <f>IF(pts_traje!$I105&lt;&gt;0,(ROUND(pts_traje!$I105+(pts_traje!$I105*0.02*pts_traje!$H105/1000),0)),"")</f>
        <v/>
      </c>
      <c r="J105" s="10"/>
    </row>
    <row r="106">
      <c r="A106" s="1" t="str">
        <f>IFNA(right(VLOOKUP(pts_traje!$A106,trj!$B$2:$D1000,3,FALSE),4),"")</f>
        <v/>
      </c>
      <c r="B106" s="10"/>
      <c r="C106" s="10"/>
      <c r="D106" s="1" t="str">
        <f>IFNA(VLOOKUP(pts_traje!$D106,FIX!$A$2:$D1000,4,FALSE),"")</f>
        <v/>
      </c>
      <c r="E106" s="10"/>
      <c r="F106" s="10"/>
      <c r="G106" s="10"/>
      <c r="H106" s="10"/>
      <c r="I106" s="10" t="str">
        <f>IF(pts_traje!$I106&lt;&gt;0,(ROUND(pts_traje!$I106+(pts_traje!$I106*0.02*pts_traje!$H106/1000),0)),"")</f>
        <v/>
      </c>
      <c r="J106" s="10"/>
    </row>
    <row r="107">
      <c r="A107" s="1" t="str">
        <f>IFNA(right(VLOOKUP(pts_traje!$A107,trj!$B$2:$D1000,3,FALSE),4),"")</f>
        <v/>
      </c>
      <c r="B107" s="10"/>
      <c r="C107" s="10"/>
      <c r="D107" s="1" t="str">
        <f>IFNA(VLOOKUP(pts_traje!$D107,FIX!$A$2:$D1000,4,FALSE),"")</f>
        <v/>
      </c>
      <c r="E107" s="10"/>
      <c r="F107" s="10"/>
      <c r="G107" s="10"/>
      <c r="H107" s="10"/>
      <c r="I107" s="10" t="str">
        <f>IF(pts_traje!$I107&lt;&gt;0,(ROUND(pts_traje!$I107+(pts_traje!$I107*0.02*pts_traje!$H107/1000),0)),"")</f>
        <v/>
      </c>
      <c r="J107" s="10"/>
    </row>
    <row r="108">
      <c r="A108" s="1" t="str">
        <f>IFNA(right(VLOOKUP(pts_traje!$A108,trj!$B$2:$D1000,3,FALSE),4),"")</f>
        <v/>
      </c>
      <c r="B108" s="10"/>
      <c r="C108" s="10"/>
      <c r="D108" s="1" t="str">
        <f>IFNA(VLOOKUP(pts_traje!$D108,FIX!$A$2:$D1000,4,FALSE),"")</f>
        <v/>
      </c>
      <c r="E108" s="10"/>
      <c r="F108" s="10"/>
      <c r="G108" s="10"/>
      <c r="H108" s="10"/>
      <c r="I108" s="10" t="str">
        <f>IF(pts_traje!$I108&lt;&gt;0,(ROUND(pts_traje!$I108+(pts_traje!$I108*0.02*pts_traje!$H108/1000),0)),"")</f>
        <v/>
      </c>
      <c r="J108" s="10"/>
    </row>
    <row r="109">
      <c r="A109" s="1" t="str">
        <f>IFNA(right(VLOOKUP(pts_traje!$A109,trj!$B$2:$D1000,3,FALSE),4),"")</f>
        <v/>
      </c>
      <c r="B109" s="10"/>
      <c r="C109" s="10"/>
      <c r="D109" s="1" t="str">
        <f>IFNA(VLOOKUP(pts_traje!$D109,FIX!$A$2:$D1000,4,FALSE),"")</f>
        <v/>
      </c>
      <c r="E109" s="10"/>
      <c r="F109" s="10"/>
      <c r="G109" s="10"/>
      <c r="H109" s="10"/>
      <c r="I109" s="10" t="str">
        <f>IF(pts_traje!$I109&lt;&gt;0,(ROUND(pts_traje!$I109+(pts_traje!$I109*0.02*pts_traje!$H109/1000),0)),"")</f>
        <v/>
      </c>
      <c r="J109" s="10"/>
    </row>
    <row r="110">
      <c r="A110" s="1" t="str">
        <f>IFNA(right(VLOOKUP(pts_traje!$A110,trj!$B$2:$D1000,3,FALSE),4),"")</f>
        <v/>
      </c>
      <c r="B110" s="10"/>
      <c r="C110" s="10"/>
      <c r="D110" s="1" t="str">
        <f>IFNA(VLOOKUP(pts_traje!$D110,FIX!$A$2:$D1000,4,FALSE),"")</f>
        <v/>
      </c>
      <c r="E110" s="10"/>
      <c r="F110" s="10"/>
      <c r="G110" s="10"/>
      <c r="H110" s="10"/>
      <c r="I110" s="10" t="str">
        <f>IF(pts_traje!$I110&lt;&gt;0,(ROUND(pts_traje!$I110+(pts_traje!$I110*0.02*pts_traje!$H110/1000),0)),"")</f>
        <v/>
      </c>
      <c r="J110" s="10"/>
    </row>
    <row r="111">
      <c r="A111" s="1" t="str">
        <f>IFNA(right(VLOOKUP(pts_traje!$A111,trj!$B$2:$D1000,3,FALSE),4),"")</f>
        <v/>
      </c>
      <c r="B111" s="10"/>
      <c r="C111" s="10"/>
      <c r="D111" s="1" t="str">
        <f>IFNA(VLOOKUP(pts_traje!$D111,FIX!$A$2:$D1000,4,FALSE),"")</f>
        <v/>
      </c>
      <c r="E111" s="10"/>
      <c r="F111" s="10"/>
      <c r="G111" s="10"/>
      <c r="H111" s="10"/>
      <c r="I111" s="10" t="str">
        <f>IF(pts_traje!$I111&lt;&gt;0,(ROUND(pts_traje!$I111+(pts_traje!$I111*0.02*pts_traje!$H111/1000),0)),"")</f>
        <v/>
      </c>
      <c r="J111" s="10"/>
    </row>
    <row r="112">
      <c r="A112" s="1" t="str">
        <f>IFNA(right(VLOOKUP(pts_traje!$A112,trj!$B$2:$D1000,3,FALSE),4),"")</f>
        <v/>
      </c>
      <c r="B112" s="10"/>
      <c r="C112" s="10"/>
      <c r="D112" s="1" t="str">
        <f>IFNA(VLOOKUP(pts_traje!$D112,FIX!$A$2:$D1000,4,FALSE),"")</f>
        <v/>
      </c>
      <c r="E112" s="10"/>
      <c r="F112" s="10"/>
      <c r="G112" s="10"/>
      <c r="H112" s="10"/>
      <c r="I112" s="10" t="str">
        <f>IF(pts_traje!$I112&lt;&gt;0,(ROUND(pts_traje!$I112+(pts_traje!$I112*0.02*pts_traje!$H112/1000),0)),"")</f>
        <v/>
      </c>
      <c r="J112" s="10"/>
    </row>
    <row r="113">
      <c r="A113" s="1" t="str">
        <f>IFNA(right(VLOOKUP(pts_traje!$A113,trj!$B$2:$D1000,3,FALSE),4),"")</f>
        <v/>
      </c>
      <c r="B113" s="10"/>
      <c r="C113" s="10"/>
      <c r="D113" s="1" t="str">
        <f>IFNA(VLOOKUP(pts_traje!$D113,FIX!$A$2:$D1000,4,FALSE),"")</f>
        <v/>
      </c>
      <c r="E113" s="10"/>
      <c r="F113" s="10"/>
      <c r="G113" s="10"/>
      <c r="H113" s="10"/>
      <c r="I113" s="10" t="str">
        <f>IF(pts_traje!$I113&lt;&gt;0,(ROUND(pts_traje!$I113+(pts_traje!$I113*0.02*pts_traje!$H113/1000),0)),"")</f>
        <v/>
      </c>
      <c r="J113" s="10"/>
    </row>
    <row r="114">
      <c r="A114" s="1" t="str">
        <f>IFNA(right(VLOOKUP(pts_traje!$A114,trj!$B$2:$D1000,3,FALSE),4),"")</f>
        <v/>
      </c>
      <c r="B114" s="10"/>
      <c r="C114" s="10"/>
      <c r="D114" s="1" t="str">
        <f>IFNA(VLOOKUP(pts_traje!$D114,FIX!$A$2:$D1000,4,FALSE),"")</f>
        <v/>
      </c>
      <c r="E114" s="10"/>
      <c r="F114" s="10"/>
      <c r="G114" s="10"/>
      <c r="H114" s="10"/>
      <c r="I114" s="10" t="str">
        <f>IF(pts_traje!$I114&lt;&gt;0,(ROUND(pts_traje!$I114+(pts_traje!$I114*0.02*pts_traje!$H114/1000),0)),"")</f>
        <v/>
      </c>
      <c r="J114" s="10"/>
    </row>
    <row r="115">
      <c r="A115" s="1" t="str">
        <f>IFNA(right(VLOOKUP(pts_traje!$A115,trj!$B$2:$D1000,3,FALSE),4),"")</f>
        <v/>
      </c>
      <c r="B115" s="10"/>
      <c r="C115" s="10"/>
      <c r="D115" s="1" t="str">
        <f>IFNA(VLOOKUP(pts_traje!$D115,FIX!$A$2:$D1000,4,FALSE),"")</f>
        <v/>
      </c>
      <c r="E115" s="10"/>
      <c r="F115" s="10"/>
      <c r="G115" s="10"/>
      <c r="H115" s="10"/>
      <c r="I115" s="10" t="str">
        <f>IF(pts_traje!$I115&lt;&gt;0,(ROUND(pts_traje!$I115+(pts_traje!$I115*0.02*pts_traje!$H115/1000),0)),"")</f>
        <v/>
      </c>
      <c r="J115" s="10"/>
    </row>
    <row r="116">
      <c r="A116" s="1" t="str">
        <f>IFNA(right(VLOOKUP(pts_traje!$A116,trj!$B$2:$D1000,3,FALSE),4),"")</f>
        <v/>
      </c>
      <c r="B116" s="10"/>
      <c r="C116" s="10"/>
      <c r="D116" s="1" t="str">
        <f>IFNA(VLOOKUP(pts_traje!$D116,FIX!$A$2:$D1000,4,FALSE),"")</f>
        <v/>
      </c>
      <c r="E116" s="10"/>
      <c r="F116" s="10"/>
      <c r="G116" s="10"/>
      <c r="H116" s="10"/>
      <c r="I116" s="10" t="str">
        <f>IF(pts_traje!$I116&lt;&gt;0,(ROUND(pts_traje!$I116+(pts_traje!$I116*0.02*pts_traje!$H116/1000),0)),"")</f>
        <v/>
      </c>
      <c r="J116" s="10"/>
    </row>
    <row r="117">
      <c r="A117" s="1" t="str">
        <f>IFNA(right(VLOOKUP(pts_traje!$A117,trj!$B$2:$D1000,3,FALSE),4),"")</f>
        <v/>
      </c>
      <c r="B117" s="10"/>
      <c r="C117" s="10"/>
      <c r="D117" s="1" t="str">
        <f>IFNA(VLOOKUP(pts_traje!$D117,FIX!$A$2:$D1000,4,FALSE),"")</f>
        <v/>
      </c>
      <c r="E117" s="10"/>
      <c r="F117" s="10"/>
      <c r="G117" s="10"/>
      <c r="H117" s="10"/>
      <c r="I117" s="10" t="str">
        <f>IF(pts_traje!$I117&lt;&gt;0,(ROUND(pts_traje!$I117+(pts_traje!$I117*0.02*pts_traje!$H117/1000),0)),"")</f>
        <v/>
      </c>
      <c r="J117" s="10"/>
    </row>
    <row r="118">
      <c r="A118" s="1" t="str">
        <f>IFNA(right(VLOOKUP(pts_traje!$A118,trj!$B$2:$D1000,3,FALSE),4),"")</f>
        <v/>
      </c>
      <c r="B118" s="10"/>
      <c r="C118" s="10"/>
      <c r="D118" s="1" t="str">
        <f>IFNA(VLOOKUP(pts_traje!$D118,FIX!$A$2:$D1000,4,FALSE),"")</f>
        <v/>
      </c>
      <c r="E118" s="10"/>
      <c r="F118" s="10"/>
      <c r="G118" s="10"/>
      <c r="H118" s="10"/>
      <c r="I118" s="10" t="str">
        <f>IF(pts_traje!$I118&lt;&gt;0,(ROUND(pts_traje!$I118+(pts_traje!$I118*0.02*pts_traje!$H118/1000),0)),"")</f>
        <v/>
      </c>
      <c r="J118" s="10"/>
    </row>
    <row r="119">
      <c r="A119" s="1" t="str">
        <f>IFNA(right(VLOOKUP(pts_traje!$A119,trj!$B$2:$D1000,3,FALSE),4),"")</f>
        <v/>
      </c>
      <c r="B119" s="10"/>
      <c r="C119" s="10"/>
      <c r="D119" s="1" t="str">
        <f>IFNA(VLOOKUP(pts_traje!$D119,FIX!$A$2:$D1000,4,FALSE),"")</f>
        <v/>
      </c>
      <c r="E119" s="10"/>
      <c r="F119" s="10"/>
      <c r="G119" s="10"/>
      <c r="H119" s="10"/>
      <c r="I119" s="10" t="str">
        <f>IF(pts_traje!$I119&lt;&gt;0,(ROUND(pts_traje!$I119+(pts_traje!$I119*0.02*pts_traje!$H119/1000),0)),"")</f>
        <v/>
      </c>
      <c r="J119" s="10"/>
    </row>
    <row r="120">
      <c r="A120" s="1" t="str">
        <f>IFNA(right(VLOOKUP(pts_traje!$A120,trj!$B$2:$D1000,3,FALSE),4),"")</f>
        <v/>
      </c>
      <c r="B120" s="10"/>
      <c r="C120" s="10"/>
      <c r="D120" s="1" t="str">
        <f>IFNA(VLOOKUP(pts_traje!$D120,FIX!$A$2:$D1000,4,FALSE),"")</f>
        <v/>
      </c>
      <c r="E120" s="10"/>
      <c r="F120" s="10"/>
      <c r="G120" s="10"/>
      <c r="H120" s="10"/>
      <c r="I120" s="10" t="str">
        <f>IF(pts_traje!$I120&lt;&gt;0,(ROUND(pts_traje!$I120+(pts_traje!$I120*0.02*pts_traje!$H120/1000),0)),"")</f>
        <v/>
      </c>
      <c r="J120" s="10"/>
    </row>
    <row r="121">
      <c r="A121" s="1" t="str">
        <f>IFNA(right(VLOOKUP(pts_traje!$A121,trj!$B$2:$D1000,3,FALSE),4),"")</f>
        <v/>
      </c>
      <c r="B121" s="10"/>
      <c r="C121" s="10"/>
      <c r="D121" s="1" t="str">
        <f>IFNA(VLOOKUP(pts_traje!$D121,FIX!$A$2:$D1000,4,FALSE),"")</f>
        <v/>
      </c>
      <c r="E121" s="10"/>
      <c r="F121" s="10"/>
      <c r="G121" s="10"/>
      <c r="H121" s="10"/>
      <c r="I121" s="10" t="str">
        <f>IF(pts_traje!$I121&lt;&gt;0,(ROUND(pts_traje!$I121+(pts_traje!$I121*0.02*pts_traje!$H121/1000),0)),"")</f>
        <v/>
      </c>
      <c r="J121" s="10"/>
    </row>
    <row r="122">
      <c r="A122" s="1" t="str">
        <f>IFNA(right(VLOOKUP(pts_traje!$A122,trj!$B$2:$D1000,3,FALSE),4),"")</f>
        <v/>
      </c>
      <c r="B122" s="10"/>
      <c r="C122" s="10"/>
      <c r="D122" s="1" t="str">
        <f>IFNA(VLOOKUP(pts_traje!$D122,FIX!$A$2:$D1000,4,FALSE),"")</f>
        <v/>
      </c>
      <c r="E122" s="10"/>
      <c r="F122" s="10"/>
      <c r="G122" s="10"/>
      <c r="H122" s="10"/>
      <c r="I122" s="10" t="str">
        <f>IF(pts_traje!$I122&lt;&gt;0,(ROUND(pts_traje!$I122+(pts_traje!$I122*0.02*pts_traje!$H122/1000),0)),"")</f>
        <v/>
      </c>
      <c r="J122" s="10"/>
    </row>
    <row r="123">
      <c r="A123" s="1" t="str">
        <f>IFNA(right(VLOOKUP(pts_traje!$A123,trj!$B$2:$D1000,3,FALSE),4),"")</f>
        <v/>
      </c>
      <c r="B123" s="10"/>
      <c r="C123" s="10"/>
      <c r="D123" s="1" t="str">
        <f>IFNA(VLOOKUP(pts_traje!$D123,FIX!$A$2:$D1000,4,FALSE),"")</f>
        <v/>
      </c>
      <c r="E123" s="10"/>
      <c r="F123" s="10"/>
      <c r="G123" s="10"/>
      <c r="H123" s="10"/>
      <c r="I123" s="10" t="str">
        <f>IF(pts_traje!$I123&lt;&gt;0,(ROUND(pts_traje!$I123+(pts_traje!$I123*0.02*pts_traje!$H123/1000),0)),"")</f>
        <v/>
      </c>
      <c r="J123" s="10"/>
    </row>
    <row r="124">
      <c r="A124" s="1" t="str">
        <f>IFNA(right(VLOOKUP(pts_traje!$A124,trj!$B$2:$D1000,3,FALSE),4),"")</f>
        <v/>
      </c>
      <c r="B124" s="10"/>
      <c r="C124" s="10"/>
      <c r="D124" s="1" t="str">
        <f>IFNA(VLOOKUP(pts_traje!$D124,FIX!$A$2:$D1000,4,FALSE),"")</f>
        <v/>
      </c>
      <c r="E124" s="10"/>
      <c r="F124" s="10"/>
      <c r="G124" s="10"/>
      <c r="H124" s="10"/>
      <c r="I124" s="10" t="str">
        <f>IF(pts_traje!$I124&lt;&gt;0,(ROUND(pts_traje!$I124+(pts_traje!$I124*0.02*pts_traje!$H124/1000),0)),"")</f>
        <v/>
      </c>
      <c r="J124" s="10"/>
    </row>
    <row r="125">
      <c r="A125" s="1" t="str">
        <f>IFNA(right(VLOOKUP(pts_traje!$A125,trj!$B$2:$D1000,3,FALSE),4),"")</f>
        <v/>
      </c>
      <c r="B125" s="10"/>
      <c r="C125" s="10"/>
      <c r="D125" s="1" t="str">
        <f>IFNA(VLOOKUP(pts_traje!$D125,FIX!$A$2:$D1000,4,FALSE),"")</f>
        <v/>
      </c>
      <c r="E125" s="10"/>
      <c r="F125" s="10"/>
      <c r="G125" s="10"/>
      <c r="H125" s="10"/>
      <c r="I125" s="10" t="str">
        <f>IF(pts_traje!$I125&lt;&gt;0,(ROUND(pts_traje!$I125+(pts_traje!$I125*0.02*pts_traje!$H125/1000),0)),"")</f>
        <v/>
      </c>
      <c r="J125" s="10"/>
    </row>
    <row r="126">
      <c r="A126" s="1" t="str">
        <f>IFNA(right(VLOOKUP(pts_traje!$A126,trj!$B$2:$D1000,3,FALSE),4),"")</f>
        <v/>
      </c>
      <c r="B126" s="10"/>
      <c r="C126" s="10"/>
      <c r="D126" s="1" t="str">
        <f>IFNA(VLOOKUP(pts_traje!$D126,FIX!$A$2:$D1000,4,FALSE),"")</f>
        <v/>
      </c>
      <c r="E126" s="10"/>
      <c r="F126" s="10"/>
      <c r="G126" s="10"/>
      <c r="H126" s="10"/>
      <c r="I126" s="10" t="str">
        <f>IF(pts_traje!$I126&lt;&gt;0,(ROUND(pts_traje!$I126+(pts_traje!$I126*0.02*pts_traje!$H126/1000),0)),"")</f>
        <v/>
      </c>
      <c r="J126" s="10"/>
    </row>
    <row r="127">
      <c r="A127" s="1" t="str">
        <f>IFNA(right(VLOOKUP(pts_traje!$A127,trj!$B$2:$D1000,3,FALSE),4),"")</f>
        <v/>
      </c>
      <c r="B127" s="10"/>
      <c r="C127" s="10"/>
      <c r="D127" s="1" t="str">
        <f>IFNA(VLOOKUP(pts_traje!$D127,FIX!$A$2:$D1000,4,FALSE),"")</f>
        <v/>
      </c>
      <c r="E127" s="10"/>
      <c r="F127" s="10"/>
      <c r="G127" s="10"/>
      <c r="H127" s="10"/>
      <c r="I127" s="10" t="str">
        <f>IF(pts_traje!$I127&lt;&gt;0,(ROUND(pts_traje!$I127+(pts_traje!$I127*0.02*pts_traje!$H127/1000),0)),"")</f>
        <v/>
      </c>
      <c r="J127" s="10"/>
    </row>
    <row r="128">
      <c r="A128" s="1" t="str">
        <f>IFNA(right(VLOOKUP(pts_traje!$A128,trj!$B$2:$D1000,3,FALSE),4),"")</f>
        <v/>
      </c>
      <c r="B128" s="10"/>
      <c r="C128" s="10"/>
      <c r="D128" s="1" t="str">
        <f>IFNA(VLOOKUP(pts_traje!$D128,FIX!$A$2:$D1000,4,FALSE),"")</f>
        <v/>
      </c>
      <c r="E128" s="10"/>
      <c r="F128" s="10"/>
      <c r="G128" s="10"/>
      <c r="H128" s="10"/>
      <c r="I128" s="10" t="str">
        <f>IF(pts_traje!$I128&lt;&gt;0,(ROUND(pts_traje!$I128+(pts_traje!$I128*0.02*pts_traje!$H128/1000),0)),"")</f>
        <v/>
      </c>
      <c r="J128" s="10"/>
    </row>
    <row r="129">
      <c r="A129" s="1" t="str">
        <f>IFNA(right(VLOOKUP(pts_traje!$A129,trj!$B$2:$D1000,3,FALSE),4),"")</f>
        <v/>
      </c>
      <c r="B129" s="10"/>
      <c r="C129" s="10"/>
      <c r="D129" s="1" t="str">
        <f>IFNA(VLOOKUP(pts_traje!$D129,FIX!$A$2:$D1000,4,FALSE),"")</f>
        <v/>
      </c>
      <c r="E129" s="10"/>
      <c r="F129" s="10"/>
      <c r="G129" s="10"/>
      <c r="H129" s="10"/>
      <c r="I129" s="10" t="str">
        <f>IF(pts_traje!$I129&lt;&gt;0,(ROUND(pts_traje!$I129+(pts_traje!$I129*0.02*pts_traje!$H129/1000),0)),"")</f>
        <v/>
      </c>
      <c r="J129" s="10"/>
    </row>
    <row r="130">
      <c r="A130" s="1" t="str">
        <f>IFNA(right(VLOOKUP(pts_traje!$A130,trj!$B$2:$D1000,3,FALSE),4),"")</f>
        <v/>
      </c>
      <c r="B130" s="10"/>
      <c r="C130" s="10"/>
      <c r="D130" s="1" t="str">
        <f>IFNA(VLOOKUP(pts_traje!$D130,FIX!$A$2:$D1000,4,FALSE),"")</f>
        <v/>
      </c>
      <c r="E130" s="10"/>
      <c r="F130" s="10"/>
      <c r="G130" s="10"/>
      <c r="H130" s="10"/>
      <c r="I130" s="10" t="str">
        <f>IF(pts_traje!$I130&lt;&gt;0,(ROUND(pts_traje!$I130+(pts_traje!$I130*0.02*pts_traje!$H130/1000),0)),"")</f>
        <v/>
      </c>
      <c r="J130" s="10"/>
    </row>
    <row r="131">
      <c r="A131" s="1" t="str">
        <f>IFNA(right(VLOOKUP(pts_traje!$A131,trj!$B$2:$D1000,3,FALSE),4),"")</f>
        <v/>
      </c>
      <c r="B131" s="10"/>
      <c r="C131" s="10"/>
      <c r="D131" s="1" t="str">
        <f>IFNA(VLOOKUP(pts_traje!$D131,FIX!$A$2:$D1000,4,FALSE),"")</f>
        <v/>
      </c>
      <c r="E131" s="10"/>
      <c r="F131" s="10"/>
      <c r="G131" s="10"/>
      <c r="H131" s="10"/>
      <c r="I131" s="10" t="str">
        <f>IF(pts_traje!$I131&lt;&gt;0,(ROUND(pts_traje!$I131+(pts_traje!$I131*0.02*pts_traje!$H131/1000),0)),"")</f>
        <v/>
      </c>
      <c r="J131" s="10"/>
    </row>
    <row r="132">
      <c r="A132" s="1" t="str">
        <f>IFNA(right(VLOOKUP(pts_traje!$A132,trj!$B$2:$D1000,3,FALSE),4),"")</f>
        <v/>
      </c>
      <c r="B132" s="10"/>
      <c r="C132" s="10"/>
      <c r="D132" s="1" t="str">
        <f>IFNA(VLOOKUP(pts_traje!$D132,FIX!$A$2:$D1000,4,FALSE),"")</f>
        <v/>
      </c>
      <c r="E132" s="10"/>
      <c r="F132" s="10"/>
      <c r="G132" s="10"/>
      <c r="H132" s="10"/>
      <c r="I132" s="10" t="str">
        <f>IF(pts_traje!$I132&lt;&gt;0,(ROUND(pts_traje!$I132+(pts_traje!$I132*0.02*pts_traje!$H132/1000),0)),"")</f>
        <v/>
      </c>
      <c r="J132" s="10"/>
    </row>
    <row r="133">
      <c r="A133" s="1" t="str">
        <f>IFNA(right(VLOOKUP(pts_traje!$A133,trj!$B$2:$D1000,3,FALSE),4),"")</f>
        <v/>
      </c>
      <c r="B133" s="10"/>
      <c r="C133" s="10"/>
      <c r="D133" s="1" t="str">
        <f>IFNA(VLOOKUP(pts_traje!$D133,FIX!$A$2:$D1000,4,FALSE),"")</f>
        <v/>
      </c>
      <c r="E133" s="10"/>
      <c r="F133" s="10"/>
      <c r="G133" s="10"/>
      <c r="H133" s="10"/>
      <c r="I133" s="10" t="str">
        <f>IF(pts_traje!$I133&lt;&gt;0,(ROUND(pts_traje!$I133+(pts_traje!$I133*0.02*pts_traje!$H133/1000),0)),"")</f>
        <v/>
      </c>
      <c r="J133" s="10"/>
    </row>
    <row r="134">
      <c r="A134" s="1" t="str">
        <f>IFNA(right(VLOOKUP(pts_traje!$A134,trj!$B$2:$D1000,3,FALSE),4),"")</f>
        <v/>
      </c>
      <c r="B134" s="10"/>
      <c r="C134" s="10"/>
      <c r="D134" s="1" t="str">
        <f>IFNA(VLOOKUP(pts_traje!$D134,FIX!$A$2:$D1000,4,FALSE),"")</f>
        <v/>
      </c>
      <c r="E134" s="10"/>
      <c r="F134" s="10"/>
      <c r="G134" s="10"/>
      <c r="H134" s="10"/>
      <c r="I134" s="10" t="str">
        <f>IF(pts_traje!$I134&lt;&gt;0,(ROUND(pts_traje!$I134+(pts_traje!$I134*0.02*pts_traje!$H134/1000),0)),"")</f>
        <v/>
      </c>
      <c r="J134" s="10"/>
    </row>
    <row r="135">
      <c r="A135" s="1" t="str">
        <f>IFNA(right(VLOOKUP(pts_traje!$A135,trj!$B$2:$D1000,3,FALSE),4),"")</f>
        <v/>
      </c>
      <c r="B135" s="10"/>
      <c r="C135" s="10"/>
      <c r="D135" s="1" t="str">
        <f>IFNA(VLOOKUP(pts_traje!$D135,FIX!$A$2:$D1000,4,FALSE),"")</f>
        <v/>
      </c>
      <c r="E135" s="10"/>
      <c r="F135" s="10"/>
      <c r="G135" s="10"/>
      <c r="H135" s="10"/>
      <c r="I135" s="10" t="str">
        <f>IF(pts_traje!$I135&lt;&gt;0,(ROUND(pts_traje!$I135+(pts_traje!$I135*0.02*pts_traje!$H135/1000),0)),"")</f>
        <v/>
      </c>
      <c r="J135" s="10"/>
    </row>
    <row r="136">
      <c r="A136" s="1" t="str">
        <f>IFNA(right(VLOOKUP(pts_traje!$A136,trj!$B$2:$D1000,3,FALSE),4),"")</f>
        <v/>
      </c>
      <c r="B136" s="10"/>
      <c r="C136" s="10"/>
      <c r="D136" s="1" t="str">
        <f>IFNA(VLOOKUP(pts_traje!$D136,FIX!$A$2:$D1000,4,FALSE),"")</f>
        <v/>
      </c>
      <c r="E136" s="10"/>
      <c r="F136" s="10"/>
      <c r="G136" s="10"/>
      <c r="H136" s="10"/>
      <c r="I136" s="10" t="str">
        <f>IF(pts_traje!$I136&lt;&gt;0,(ROUND(pts_traje!$I136+(pts_traje!$I136*0.02*pts_traje!$H136/1000),0)),"")</f>
        <v/>
      </c>
      <c r="J136" s="10"/>
    </row>
    <row r="137">
      <c r="A137" s="1" t="str">
        <f>IFNA(right(VLOOKUP(pts_traje!$A137,trj!$B$2:$D1000,3,FALSE),4),"")</f>
        <v/>
      </c>
      <c r="B137" s="10"/>
      <c r="C137" s="10"/>
      <c r="D137" s="1" t="str">
        <f>IFNA(VLOOKUP(pts_traje!$D137,FIX!$A$2:$D1000,4,FALSE),"")</f>
        <v/>
      </c>
      <c r="E137" s="10"/>
      <c r="F137" s="10"/>
      <c r="G137" s="10"/>
      <c r="H137" s="10"/>
      <c r="I137" s="10" t="str">
        <f>IF(pts_traje!$I137&lt;&gt;0,(ROUND(pts_traje!$I137+(pts_traje!$I137*0.02*pts_traje!$H137/1000),0)),"")</f>
        <v/>
      </c>
      <c r="J137" s="10"/>
    </row>
    <row r="138">
      <c r="A138" s="1" t="str">
        <f>IFNA(right(VLOOKUP(pts_traje!$A138,trj!$B$2:$D1000,3,FALSE),4),"")</f>
        <v/>
      </c>
      <c r="B138" s="10"/>
      <c r="C138" s="10"/>
      <c r="D138" s="1" t="str">
        <f>IFNA(VLOOKUP(pts_traje!$D138,FIX!$A$2:$D1000,4,FALSE),"")</f>
        <v/>
      </c>
      <c r="E138" s="10"/>
      <c r="F138" s="10"/>
      <c r="G138" s="10"/>
      <c r="H138" s="10"/>
      <c r="I138" s="10" t="str">
        <f>IF(pts_traje!$I138&lt;&gt;0,(ROUND(pts_traje!$I138+(pts_traje!$I138*0.02*pts_traje!$H138/1000),0)),"")</f>
        <v/>
      </c>
      <c r="J138" s="10"/>
    </row>
    <row r="139">
      <c r="A139" s="1" t="str">
        <f>IFNA(right(VLOOKUP(pts_traje!$A139,trj!$B$2:$D1000,3,FALSE),4),"")</f>
        <v/>
      </c>
      <c r="B139" s="10"/>
      <c r="C139" s="10"/>
      <c r="D139" s="1" t="str">
        <f>IFNA(VLOOKUP(pts_traje!$D139,FIX!$A$2:$D1000,4,FALSE),"")</f>
        <v/>
      </c>
      <c r="E139" s="10"/>
      <c r="F139" s="10"/>
      <c r="G139" s="10"/>
      <c r="H139" s="10"/>
      <c r="I139" s="10" t="str">
        <f>IF(pts_traje!$I139&lt;&gt;0,(ROUND(pts_traje!$I139+(pts_traje!$I139*0.02*pts_traje!$H139/1000),0)),"")</f>
        <v/>
      </c>
      <c r="J139" s="10"/>
    </row>
    <row r="140">
      <c r="A140" s="1" t="str">
        <f>IFNA(right(VLOOKUP(pts_traje!$A140,trj!$B$2:$D1000,3,FALSE),4),"")</f>
        <v/>
      </c>
      <c r="B140" s="10"/>
      <c r="C140" s="10"/>
      <c r="D140" s="1" t="str">
        <f>IFNA(VLOOKUP(pts_traje!$D140,FIX!$A$2:$D1000,4,FALSE),"")</f>
        <v/>
      </c>
      <c r="E140" s="10"/>
      <c r="F140" s="10"/>
      <c r="G140" s="10"/>
      <c r="H140" s="10"/>
      <c r="I140" s="10" t="str">
        <f>IF(pts_traje!$I140&lt;&gt;0,(ROUND(pts_traje!$I140+(pts_traje!$I140*0.02*pts_traje!$H140/1000),0)),"")</f>
        <v/>
      </c>
      <c r="J140" s="10"/>
    </row>
    <row r="141">
      <c r="A141" s="1" t="str">
        <f>IFNA(right(VLOOKUP(pts_traje!$A141,trj!$B$2:$D1000,3,FALSE),4),"")</f>
        <v/>
      </c>
      <c r="B141" s="10"/>
      <c r="C141" s="10"/>
      <c r="D141" s="1" t="str">
        <f>IFNA(VLOOKUP(pts_traje!$D141,FIX!$A$2:$D1000,4,FALSE),"")</f>
        <v/>
      </c>
      <c r="E141" s="10"/>
      <c r="F141" s="10"/>
      <c r="G141" s="10"/>
      <c r="H141" s="10"/>
      <c r="I141" s="10" t="str">
        <f>IF(pts_traje!$I141&lt;&gt;0,(ROUND(pts_traje!$I141+(pts_traje!$I141*0.02*pts_traje!$H141/1000),0)),"")</f>
        <v/>
      </c>
      <c r="J141" s="10"/>
    </row>
    <row r="142">
      <c r="A142" s="1" t="str">
        <f>IFNA(right(VLOOKUP(pts_traje!$A142,trj!$B$2:$D1000,3,FALSE),4),"")</f>
        <v/>
      </c>
      <c r="B142" s="10"/>
      <c r="C142" s="10"/>
      <c r="D142" s="1" t="str">
        <f>IFNA(VLOOKUP(pts_traje!$D142,FIX!$A$2:$D1000,4,FALSE),"")</f>
        <v/>
      </c>
      <c r="E142" s="10"/>
      <c r="F142" s="10"/>
      <c r="G142" s="10"/>
      <c r="H142" s="10"/>
      <c r="I142" s="10" t="str">
        <f>IF(pts_traje!$I142&lt;&gt;0,(ROUND(pts_traje!$I142+(pts_traje!$I142*0.02*pts_traje!$H142/1000),0)),"")</f>
        <v/>
      </c>
      <c r="J142" s="10"/>
    </row>
    <row r="143">
      <c r="A143" s="1" t="str">
        <f>IFNA(right(VLOOKUP(pts_traje!$A143,trj!$B$2:$D1000,3,FALSE),4),"")</f>
        <v/>
      </c>
      <c r="B143" s="10"/>
      <c r="C143" s="10"/>
      <c r="D143" s="1" t="str">
        <f>IFNA(VLOOKUP(pts_traje!$D143,FIX!$A$2:$D1000,4,FALSE),"")</f>
        <v/>
      </c>
      <c r="E143" s="10"/>
      <c r="F143" s="10"/>
      <c r="G143" s="10"/>
      <c r="H143" s="10"/>
      <c r="I143" s="10" t="str">
        <f>IF(pts_traje!$I143&lt;&gt;0,(ROUND(pts_traje!$I143+(pts_traje!$I143*0.02*pts_traje!$H143/1000),0)),"")</f>
        <v/>
      </c>
      <c r="J143" s="10"/>
    </row>
    <row r="144">
      <c r="A144" s="1" t="str">
        <f>IFNA(right(VLOOKUP(pts_traje!$A144,trj!$B$2:$D1000,3,FALSE),4),"")</f>
        <v/>
      </c>
      <c r="B144" s="10"/>
      <c r="C144" s="10"/>
      <c r="D144" s="1" t="str">
        <f>IFNA(VLOOKUP(pts_traje!$D144,FIX!$A$2:$D1000,4,FALSE),"")</f>
        <v/>
      </c>
      <c r="E144" s="10"/>
      <c r="F144" s="10"/>
      <c r="G144" s="10"/>
      <c r="H144" s="10"/>
      <c r="I144" s="10" t="str">
        <f>IF(pts_traje!$I144&lt;&gt;0,(ROUND(pts_traje!$I144+(pts_traje!$I144*0.02*pts_traje!$H144/1000),0)),"")</f>
        <v/>
      </c>
      <c r="J144" s="10"/>
    </row>
    <row r="145">
      <c r="A145" s="1" t="str">
        <f>IFNA(right(VLOOKUP(pts_traje!$A145,trj!$B$2:$D1000,3,FALSE),4),"")</f>
        <v/>
      </c>
      <c r="B145" s="10"/>
      <c r="C145" s="10"/>
      <c r="D145" s="1" t="str">
        <f>IFNA(VLOOKUP(pts_traje!$D145,FIX!$A$2:$D1000,4,FALSE),"")</f>
        <v/>
      </c>
      <c r="E145" s="10"/>
      <c r="F145" s="10"/>
      <c r="G145" s="10"/>
      <c r="H145" s="10"/>
      <c r="I145" s="10" t="str">
        <f>IF(pts_traje!$I145&lt;&gt;0,(ROUND(pts_traje!$I145+(pts_traje!$I145*0.02*pts_traje!$H145/1000),0)),"")</f>
        <v/>
      </c>
      <c r="J145" s="10"/>
    </row>
    <row r="146">
      <c r="A146" s="1" t="str">
        <f>IFNA(right(VLOOKUP(pts_traje!$A146,trj!$B$2:$D1000,3,FALSE),4),"")</f>
        <v/>
      </c>
      <c r="B146" s="10"/>
      <c r="C146" s="10"/>
      <c r="D146" s="1" t="str">
        <f>IFNA(VLOOKUP(pts_traje!$D146,FIX!$A$2:$D1000,4,FALSE),"")</f>
        <v/>
      </c>
      <c r="E146" s="10"/>
      <c r="F146" s="10"/>
      <c r="G146" s="10"/>
      <c r="H146" s="10"/>
      <c r="I146" s="10" t="str">
        <f>IF(pts_traje!$I146&lt;&gt;0,(ROUND(pts_traje!$I146+(pts_traje!$I146*0.02*pts_traje!$H146/1000),0)),"")</f>
        <v/>
      </c>
      <c r="J146" s="10"/>
    </row>
    <row r="147">
      <c r="A147" s="1" t="str">
        <f>IFNA(right(VLOOKUP(pts_traje!$A147,trj!$B$2:$D1000,3,FALSE),4),"")</f>
        <v/>
      </c>
      <c r="B147" s="10"/>
      <c r="C147" s="10"/>
      <c r="D147" s="1" t="str">
        <f>IFNA(VLOOKUP(pts_traje!$D147,FIX!$A$2:$D1000,4,FALSE),"")</f>
        <v/>
      </c>
      <c r="E147" s="10"/>
      <c r="F147" s="10"/>
      <c r="G147" s="10"/>
      <c r="H147" s="10"/>
      <c r="I147" s="10" t="str">
        <f>IF(pts_traje!$I147&lt;&gt;0,(ROUND(pts_traje!$I147+(pts_traje!$I147*0.02*pts_traje!$H147/1000),0)),"")</f>
        <v/>
      </c>
      <c r="J147" s="10"/>
    </row>
    <row r="148">
      <c r="A148" s="1" t="str">
        <f>IFNA(right(VLOOKUP(pts_traje!$A148,trj!$B$2:$D1000,3,FALSE),4),"")</f>
        <v/>
      </c>
      <c r="B148" s="10"/>
      <c r="C148" s="10"/>
      <c r="D148" s="1" t="str">
        <f>IFNA(VLOOKUP(pts_traje!$D148,FIX!$A$2:$D1000,4,FALSE),"")</f>
        <v/>
      </c>
      <c r="E148" s="10"/>
      <c r="F148" s="10"/>
      <c r="G148" s="10"/>
      <c r="H148" s="10"/>
      <c r="I148" s="10" t="str">
        <f>IF(pts_traje!$I148&lt;&gt;0,(ROUND(pts_traje!$I148+(pts_traje!$I148*0.02*pts_traje!$H148/1000),0)),"")</f>
        <v/>
      </c>
      <c r="J148" s="10"/>
    </row>
    <row r="149">
      <c r="A149" s="1" t="str">
        <f>IFNA(right(VLOOKUP(pts_traje!$A149,trj!$B$2:$D1000,3,FALSE),4),"")</f>
        <v/>
      </c>
      <c r="B149" s="10"/>
      <c r="C149" s="10"/>
      <c r="D149" s="1" t="str">
        <f>IFNA(VLOOKUP(pts_traje!$D149,FIX!$A$2:$D1000,4,FALSE),"")</f>
        <v/>
      </c>
      <c r="E149" s="10"/>
      <c r="F149" s="10"/>
      <c r="G149" s="10"/>
      <c r="H149" s="10"/>
      <c r="I149" s="10" t="str">
        <f>IF(pts_traje!$I149&lt;&gt;0,(ROUND(pts_traje!$I149+(pts_traje!$I149*0.02*pts_traje!$H149/1000),0)),"")</f>
        <v/>
      </c>
      <c r="J149" s="10"/>
    </row>
    <row r="150">
      <c r="A150" s="1" t="str">
        <f>IFNA(right(VLOOKUP(pts_traje!$A150,trj!$B$2:$D1000,3,FALSE),4),"")</f>
        <v/>
      </c>
      <c r="B150" s="10"/>
      <c r="C150" s="10"/>
      <c r="D150" s="1" t="str">
        <f>IFNA(VLOOKUP(pts_traje!$D150,FIX!$A$2:$D1000,4,FALSE),"")</f>
        <v/>
      </c>
      <c r="E150" s="10"/>
      <c r="F150" s="10"/>
      <c r="G150" s="10"/>
      <c r="H150" s="10"/>
      <c r="I150" s="10" t="str">
        <f>IF(pts_traje!$I150&lt;&gt;0,(ROUND(pts_traje!$I150+(pts_traje!$I150*0.02*pts_traje!$H150/1000),0)),"")</f>
        <v/>
      </c>
      <c r="J150" s="10"/>
    </row>
    <row r="151">
      <c r="A151" s="1" t="str">
        <f>IFNA(right(VLOOKUP(pts_traje!$A151,trj!$B$2:$D1000,3,FALSE),4),"")</f>
        <v/>
      </c>
      <c r="B151" s="10"/>
      <c r="C151" s="10"/>
      <c r="D151" s="1" t="str">
        <f>IFNA(VLOOKUP(pts_traje!$D151,FIX!$A$2:$D1000,4,FALSE),"")</f>
        <v/>
      </c>
      <c r="E151" s="10"/>
      <c r="F151" s="10"/>
      <c r="G151" s="10"/>
      <c r="H151" s="10"/>
      <c r="I151" s="10" t="str">
        <f>IF(pts_traje!$I151&lt;&gt;0,(ROUND(pts_traje!$I151+(pts_traje!$I151*0.02*pts_traje!$H151/1000),0)),"")</f>
        <v/>
      </c>
      <c r="J151" s="10"/>
    </row>
    <row r="152">
      <c r="A152" s="1" t="str">
        <f>IFNA(right(VLOOKUP(pts_traje!$A152,trj!$B$2:$D1000,3,FALSE),4),"")</f>
        <v/>
      </c>
      <c r="B152" s="10"/>
      <c r="C152" s="10"/>
      <c r="D152" s="1" t="str">
        <f>IFNA(VLOOKUP(pts_traje!$D152,FIX!$A$2:$D1000,4,FALSE),"")</f>
        <v/>
      </c>
      <c r="E152" s="10"/>
      <c r="F152" s="10"/>
      <c r="G152" s="10"/>
      <c r="H152" s="10"/>
      <c r="I152" s="10" t="str">
        <f>IF(pts_traje!$I152&lt;&gt;0,(ROUND(pts_traje!$I152+(pts_traje!$I152*0.02*pts_traje!$H152/1000),0)),"")</f>
        <v/>
      </c>
      <c r="J152" s="10"/>
    </row>
    <row r="153">
      <c r="A153" s="1" t="str">
        <f>IFNA(right(VLOOKUP(pts_traje!$A153,trj!$B$2:$D1000,3,FALSE),4),"")</f>
        <v/>
      </c>
      <c r="B153" s="10"/>
      <c r="C153" s="10"/>
      <c r="D153" s="1" t="str">
        <f>IFNA(VLOOKUP(pts_traje!$D153,FIX!$A$2:$D1000,4,FALSE),"")</f>
        <v/>
      </c>
      <c r="E153" s="10"/>
      <c r="F153" s="10"/>
      <c r="G153" s="10"/>
      <c r="H153" s="10"/>
      <c r="I153" s="10" t="str">
        <f>IF(pts_traje!$I153&lt;&gt;0,(ROUND(pts_traje!$I153+(pts_traje!$I153*0.02*pts_traje!$H153/1000),0)),"")</f>
        <v/>
      </c>
      <c r="J153" s="10"/>
    </row>
    <row r="154">
      <c r="A154" s="1" t="str">
        <f>IFNA(right(VLOOKUP(pts_traje!$A154,trj!$B$2:$D1000,3,FALSE),4),"")</f>
        <v/>
      </c>
      <c r="B154" s="10"/>
      <c r="C154" s="10"/>
      <c r="D154" s="1" t="str">
        <f>IFNA(VLOOKUP(pts_traje!$D154,FIX!$A$2:$D1000,4,FALSE),"")</f>
        <v/>
      </c>
      <c r="E154" s="10"/>
      <c r="F154" s="10"/>
      <c r="G154" s="10"/>
      <c r="H154" s="10"/>
      <c r="I154" s="10" t="str">
        <f>IF(pts_traje!$I154&lt;&gt;0,(ROUND(pts_traje!$I154+(pts_traje!$I154*0.02*pts_traje!$H154/1000),0)),"")</f>
        <v/>
      </c>
      <c r="J154" s="10"/>
    </row>
    <row r="155">
      <c r="A155" s="1" t="str">
        <f>IFNA(right(VLOOKUP(pts_traje!$A155,trj!$B$2:$D1000,3,FALSE),4),"")</f>
        <v/>
      </c>
      <c r="B155" s="10"/>
      <c r="C155" s="10"/>
      <c r="D155" s="1" t="str">
        <f>IFNA(VLOOKUP(pts_traje!$D155,FIX!$A$2:$D1000,4,FALSE),"")</f>
        <v/>
      </c>
      <c r="E155" s="10"/>
      <c r="F155" s="10"/>
      <c r="G155" s="10"/>
      <c r="H155" s="10"/>
      <c r="I155" s="10" t="str">
        <f>IF(pts_traje!$I155&lt;&gt;0,(ROUND(pts_traje!$I155+(pts_traje!$I155*0.02*pts_traje!$H155/1000),0)),"")</f>
        <v/>
      </c>
      <c r="J155" s="10"/>
    </row>
    <row r="156">
      <c r="A156" s="1" t="str">
        <f>IFNA(right(VLOOKUP(pts_traje!$A156,trj!$B$2:$D1000,3,FALSE),4),"")</f>
        <v/>
      </c>
      <c r="B156" s="10"/>
      <c r="C156" s="10"/>
      <c r="D156" s="1" t="str">
        <f>IFNA(VLOOKUP(pts_traje!$D156,FIX!$A$2:$D1000,4,FALSE),"")</f>
        <v/>
      </c>
      <c r="E156" s="10"/>
      <c r="F156" s="10"/>
      <c r="G156" s="10"/>
      <c r="H156" s="10"/>
      <c r="I156" s="10" t="str">
        <f>IF(pts_traje!$I156&lt;&gt;0,(ROUND(pts_traje!$I156+(pts_traje!$I156*0.02*pts_traje!$H156/1000),0)),"")</f>
        <v/>
      </c>
      <c r="J156" s="10"/>
    </row>
    <row r="157">
      <c r="A157" s="1" t="str">
        <f>IFNA(right(VLOOKUP(pts_traje!$A157,trj!$B$2:$D1000,3,FALSE),4),"")</f>
        <v/>
      </c>
      <c r="B157" s="10"/>
      <c r="C157" s="10"/>
      <c r="D157" s="1" t="str">
        <f>IFNA(VLOOKUP(pts_traje!$D157,FIX!$A$2:$D1000,4,FALSE),"")</f>
        <v/>
      </c>
      <c r="E157" s="10"/>
      <c r="F157" s="10"/>
      <c r="G157" s="10"/>
      <c r="H157" s="10"/>
      <c r="I157" s="10" t="str">
        <f>IF(pts_traje!$I157&lt;&gt;0,(ROUND(pts_traje!$I157+(pts_traje!$I157*0.02*pts_traje!$H157/1000),0)),"")</f>
        <v/>
      </c>
      <c r="J157" s="10"/>
    </row>
    <row r="158">
      <c r="A158" s="1" t="str">
        <f>IFNA(right(VLOOKUP(pts_traje!$A158,trj!$B$2:$D1000,3,FALSE),4),"")</f>
        <v/>
      </c>
      <c r="B158" s="10"/>
      <c r="C158" s="10"/>
      <c r="D158" s="1" t="str">
        <f>IFNA(VLOOKUP(pts_traje!$D158,FIX!$A$2:$D1000,4,FALSE),"")</f>
        <v/>
      </c>
      <c r="E158" s="10"/>
      <c r="F158" s="10"/>
      <c r="G158" s="10"/>
      <c r="H158" s="10"/>
      <c r="I158" s="10" t="str">
        <f>IF(pts_traje!$I158&lt;&gt;0,(ROUND(pts_traje!$I158+(pts_traje!$I158*0.02*pts_traje!$H158/1000),0)),"")</f>
        <v/>
      </c>
      <c r="J158" s="10"/>
    </row>
    <row r="159">
      <c r="A159" s="1" t="str">
        <f>IFNA(right(VLOOKUP(pts_traje!$A159,trj!$B$2:$D1000,3,FALSE),4),"")</f>
        <v/>
      </c>
      <c r="B159" s="10"/>
      <c r="C159" s="10"/>
      <c r="D159" s="1" t="str">
        <f>IFNA(VLOOKUP(pts_traje!$D159,FIX!$A$2:$D1000,4,FALSE),"")</f>
        <v/>
      </c>
      <c r="E159" s="10"/>
      <c r="F159" s="10"/>
      <c r="G159" s="10"/>
      <c r="H159" s="10"/>
      <c r="I159" s="10" t="str">
        <f>IF(pts_traje!$I159&lt;&gt;0,(ROUND(pts_traje!$I159+(pts_traje!$I159*0.02*pts_traje!$H159/1000),0)),"")</f>
        <v/>
      </c>
      <c r="J159" s="10"/>
    </row>
    <row r="160">
      <c r="A160" s="1" t="str">
        <f>IFNA(right(VLOOKUP(pts_traje!$A160,trj!$B$2:$D1000,3,FALSE),4),"")</f>
        <v/>
      </c>
      <c r="B160" s="10"/>
      <c r="C160" s="10"/>
      <c r="D160" s="1" t="str">
        <f>IFNA(VLOOKUP(pts_traje!$D160,FIX!$A$2:$D1000,4,FALSE),"")</f>
        <v/>
      </c>
      <c r="E160" s="10"/>
      <c r="F160" s="10"/>
      <c r="G160" s="10"/>
      <c r="H160" s="10"/>
      <c r="I160" s="10" t="str">
        <f>IF(pts_traje!$I160&lt;&gt;0,(ROUND(pts_traje!$I160+(pts_traje!$I160*0.02*pts_traje!$H160/1000),0)),"")</f>
        <v/>
      </c>
      <c r="J160" s="10"/>
    </row>
    <row r="161">
      <c r="A161" s="1" t="str">
        <f>IFNA(right(VLOOKUP(pts_traje!$A161,trj!$B$2:$D1000,3,FALSE),4),"")</f>
        <v/>
      </c>
      <c r="B161" s="10"/>
      <c r="C161" s="10"/>
      <c r="D161" s="1" t="str">
        <f>IFNA(VLOOKUP(pts_traje!$D161,FIX!$A$2:$D1000,4,FALSE),"")</f>
        <v/>
      </c>
      <c r="E161" s="10"/>
      <c r="F161" s="10"/>
      <c r="G161" s="10"/>
      <c r="H161" s="10"/>
      <c r="I161" s="10" t="str">
        <f>IF(pts_traje!$I161&lt;&gt;0,(ROUND(pts_traje!$I161+(pts_traje!$I161*0.02*pts_traje!$H161/1000),0)),"")</f>
        <v/>
      </c>
      <c r="J161" s="10"/>
    </row>
    <row r="162">
      <c r="A162" s="1" t="str">
        <f>IFNA(right(VLOOKUP(pts_traje!$A162,trj!$B$2:$D1000,3,FALSE),4),"")</f>
        <v/>
      </c>
      <c r="B162" s="10"/>
      <c r="C162" s="10"/>
      <c r="D162" s="1" t="str">
        <f>IFNA(VLOOKUP(pts_traje!$D162,FIX!$A$2:$D1000,4,FALSE),"")</f>
        <v/>
      </c>
      <c r="E162" s="10"/>
      <c r="F162" s="10"/>
      <c r="G162" s="10"/>
      <c r="H162" s="10"/>
      <c r="I162" s="10" t="str">
        <f>IF(pts_traje!$I162&lt;&gt;0,(ROUND(pts_traje!$I162+(pts_traje!$I162*0.02*pts_traje!$H162/1000),0)),"")</f>
        <v/>
      </c>
      <c r="J162" s="10"/>
    </row>
    <row r="163">
      <c r="A163" s="1" t="str">
        <f>IFNA(right(VLOOKUP(pts_traje!$A163,trj!$B$2:$D1000,3,FALSE),4),"")</f>
        <v/>
      </c>
      <c r="B163" s="10"/>
      <c r="C163" s="10"/>
      <c r="D163" s="1" t="str">
        <f>IFNA(VLOOKUP(pts_traje!$D163,FIX!$A$2:$D1000,4,FALSE),"")</f>
        <v/>
      </c>
      <c r="E163" s="10"/>
      <c r="F163" s="10"/>
      <c r="G163" s="10"/>
      <c r="H163" s="10"/>
      <c r="I163" s="10" t="str">
        <f>IF(pts_traje!$I163&lt;&gt;0,(ROUND(pts_traje!$I163+(pts_traje!$I163*0.02*pts_traje!$H163/1000),0)),"")</f>
        <v/>
      </c>
      <c r="J163" s="10"/>
    </row>
    <row r="164">
      <c r="A164" s="1" t="str">
        <f>IFNA(right(VLOOKUP(pts_traje!$A164,trj!$B$2:$D1000,3,FALSE),4),"")</f>
        <v/>
      </c>
      <c r="B164" s="10"/>
      <c r="C164" s="10"/>
      <c r="D164" s="1" t="str">
        <f>IFNA(VLOOKUP(pts_traje!$D164,FIX!$A$2:$D1000,4,FALSE),"")</f>
        <v/>
      </c>
      <c r="E164" s="10"/>
      <c r="F164" s="10"/>
      <c r="G164" s="10"/>
      <c r="H164" s="10"/>
      <c r="I164" s="10" t="str">
        <f>IF(pts_traje!$I164&lt;&gt;0,(ROUND(pts_traje!$I164+(pts_traje!$I164*0.02*pts_traje!$H164/1000),0)),"")</f>
        <v/>
      </c>
      <c r="J164" s="10"/>
    </row>
    <row r="165">
      <c r="A165" s="1" t="str">
        <f>IFNA(right(VLOOKUP(pts_traje!$A165,trj!$B$2:$D1000,3,FALSE),4),"")</f>
        <v/>
      </c>
      <c r="B165" s="10"/>
      <c r="C165" s="10"/>
      <c r="D165" s="1" t="str">
        <f>IFNA(VLOOKUP(pts_traje!$D165,FIX!$A$2:$D1000,4,FALSE),"")</f>
        <v/>
      </c>
      <c r="E165" s="10"/>
      <c r="F165" s="10"/>
      <c r="G165" s="10"/>
      <c r="H165" s="10"/>
      <c r="I165" s="10" t="str">
        <f>IF(pts_traje!$I165&lt;&gt;0,(ROUND(pts_traje!$I165+(pts_traje!$I165*0.02*pts_traje!$H165/1000),0)),"")</f>
        <v/>
      </c>
      <c r="J165" s="10"/>
    </row>
    <row r="166">
      <c r="A166" s="1" t="str">
        <f>IFNA(right(VLOOKUP(pts_traje!$A166,trj!$B$2:$D1000,3,FALSE),4),"")</f>
        <v/>
      </c>
      <c r="B166" s="10"/>
      <c r="C166" s="10"/>
      <c r="D166" s="1" t="str">
        <f>IFNA(VLOOKUP(pts_traje!$D166,FIX!$A$2:$D1000,4,FALSE),"")</f>
        <v/>
      </c>
      <c r="E166" s="10"/>
      <c r="F166" s="10"/>
      <c r="G166" s="10"/>
      <c r="H166" s="10"/>
      <c r="I166" s="10" t="str">
        <f>IF(pts_traje!$I166&lt;&gt;0,(ROUND(pts_traje!$I166+(pts_traje!$I166*0.02*pts_traje!$H166/1000),0)),"")</f>
        <v/>
      </c>
      <c r="J166" s="10"/>
    </row>
    <row r="167">
      <c r="A167" s="1" t="str">
        <f>IFNA(right(VLOOKUP(pts_traje!$A167,trj!$B$2:$D1000,3,FALSE),4),"")</f>
        <v/>
      </c>
      <c r="B167" s="10"/>
      <c r="C167" s="10"/>
      <c r="D167" s="1" t="str">
        <f>IFNA(VLOOKUP(pts_traje!$D167,FIX!$A$2:$D1000,4,FALSE),"")</f>
        <v/>
      </c>
      <c r="E167" s="10"/>
      <c r="F167" s="10"/>
      <c r="G167" s="10"/>
      <c r="H167" s="10"/>
      <c r="I167" s="10" t="str">
        <f>IF(pts_traje!$I167&lt;&gt;0,(ROUND(pts_traje!$I167+(pts_traje!$I167*0.02*pts_traje!$H167/1000),0)),"")</f>
        <v/>
      </c>
      <c r="J167" s="10"/>
    </row>
    <row r="168">
      <c r="A168" s="1" t="str">
        <f>IFNA(right(VLOOKUP(pts_traje!$A168,trj!$B$2:$D1000,3,FALSE),4),"")</f>
        <v/>
      </c>
      <c r="B168" s="10"/>
      <c r="C168" s="10"/>
      <c r="D168" s="1" t="str">
        <f>IFNA(VLOOKUP(pts_traje!$D168,FIX!$A$2:$D1000,4,FALSE),"")</f>
        <v/>
      </c>
      <c r="E168" s="10"/>
      <c r="F168" s="10"/>
      <c r="G168" s="10"/>
      <c r="H168" s="10"/>
      <c r="I168" s="10" t="str">
        <f>IF(pts_traje!$I168&lt;&gt;0,(ROUND(pts_traje!$I168+(pts_traje!$I168*0.02*pts_traje!$H168/1000),0)),"")</f>
        <v/>
      </c>
      <c r="J168" s="10"/>
    </row>
    <row r="169">
      <c r="A169" s="1" t="str">
        <f>IFNA(right(VLOOKUP(pts_traje!$A169,trj!$B$2:$D1000,3,FALSE),4),"")</f>
        <v/>
      </c>
      <c r="B169" s="10"/>
      <c r="C169" s="10"/>
      <c r="D169" s="1" t="str">
        <f>IFNA(VLOOKUP(pts_traje!$D169,FIX!$A$2:$D1000,4,FALSE),"")</f>
        <v/>
      </c>
      <c r="E169" s="10"/>
      <c r="F169" s="10"/>
      <c r="G169" s="10"/>
      <c r="H169" s="10"/>
      <c r="I169" s="10" t="str">
        <f>IF(pts_traje!$I169&lt;&gt;0,(ROUND(pts_traje!$I169+(pts_traje!$I169*0.02*pts_traje!$H169/1000),0)),"")</f>
        <v/>
      </c>
      <c r="J169" s="10"/>
    </row>
    <row r="170">
      <c r="A170" s="1" t="str">
        <f>IFNA(right(VLOOKUP(pts_traje!$A170,trj!$B$2:$D1000,3,FALSE),4),"")</f>
        <v/>
      </c>
      <c r="B170" s="10"/>
      <c r="C170" s="10"/>
      <c r="D170" s="1" t="str">
        <f>IFNA(VLOOKUP(pts_traje!$D170,FIX!$A$2:$D1000,4,FALSE),"")</f>
        <v/>
      </c>
      <c r="E170" s="10"/>
      <c r="F170" s="10"/>
      <c r="G170" s="10"/>
      <c r="H170" s="10"/>
      <c r="I170" s="10" t="str">
        <f>IF(pts_traje!$I170&lt;&gt;0,(ROUND(pts_traje!$I170+(pts_traje!$I170*0.02*pts_traje!$H170/1000),0)),"")</f>
        <v/>
      </c>
      <c r="J170" s="10"/>
    </row>
    <row r="171">
      <c r="A171" s="1" t="str">
        <f>IFNA(right(VLOOKUP(pts_traje!$A171,trj!$B$2:$D1000,3,FALSE),4),"")</f>
        <v/>
      </c>
      <c r="B171" s="10"/>
      <c r="C171" s="10"/>
      <c r="D171" s="1" t="str">
        <f>IFNA(VLOOKUP(pts_traje!$D171,FIX!$A$2:$D1000,4,FALSE),"")</f>
        <v/>
      </c>
      <c r="E171" s="10"/>
      <c r="F171" s="10"/>
      <c r="G171" s="10"/>
      <c r="H171" s="10"/>
      <c r="I171" s="10" t="str">
        <f>IF(pts_traje!$I171&lt;&gt;0,(ROUND(pts_traje!$I171+(pts_traje!$I171*0.02*pts_traje!$H171/1000),0)),"")</f>
        <v/>
      </c>
      <c r="J171" s="10"/>
    </row>
    <row r="172">
      <c r="A172" s="1" t="str">
        <f>IFNA(right(VLOOKUP(pts_traje!$A172,trj!$B$2:$D1000,3,FALSE),4),"")</f>
        <v/>
      </c>
      <c r="B172" s="10"/>
      <c r="C172" s="10"/>
      <c r="D172" s="1" t="str">
        <f>IFNA(VLOOKUP(pts_traje!$D172,FIX!$A$2:$D1000,4,FALSE),"")</f>
        <v/>
      </c>
      <c r="E172" s="10"/>
      <c r="F172" s="10"/>
      <c r="G172" s="10"/>
      <c r="H172" s="10"/>
      <c r="I172" s="10" t="str">
        <f>IF(pts_traje!$I172&lt;&gt;0,(ROUND(pts_traje!$I172+(pts_traje!$I172*0.02*pts_traje!$H172/1000),0)),"")</f>
        <v/>
      </c>
      <c r="J172" s="10"/>
    </row>
    <row r="173">
      <c r="A173" s="1" t="str">
        <f>IFNA(right(VLOOKUP(pts_traje!$A173,trj!$B$2:$D1000,3,FALSE),4),"")</f>
        <v/>
      </c>
      <c r="B173" s="10"/>
      <c r="C173" s="10"/>
      <c r="D173" s="1" t="str">
        <f>IFNA(VLOOKUP(pts_traje!$D173,FIX!$A$2:$D1000,4,FALSE),"")</f>
        <v/>
      </c>
      <c r="E173" s="10"/>
      <c r="F173" s="10"/>
      <c r="G173" s="10"/>
      <c r="H173" s="10"/>
      <c r="I173" s="10" t="str">
        <f>IF(pts_traje!$I173&lt;&gt;0,(ROUND(pts_traje!$I173+(pts_traje!$I173*0.02*pts_traje!$H173/1000),0)),"")</f>
        <v/>
      </c>
      <c r="J173" s="10"/>
    </row>
    <row r="174">
      <c r="A174" s="1" t="str">
        <f>IFNA(right(VLOOKUP(pts_traje!$A174,trj!$B$2:$D1000,3,FALSE),4),"")</f>
        <v/>
      </c>
      <c r="B174" s="10"/>
      <c r="C174" s="10"/>
      <c r="D174" s="1" t="str">
        <f>IFNA(VLOOKUP(pts_traje!$D174,FIX!$A$2:$D1000,4,FALSE),"")</f>
        <v/>
      </c>
      <c r="E174" s="10"/>
      <c r="F174" s="10"/>
      <c r="G174" s="10"/>
      <c r="H174" s="10"/>
      <c r="I174" s="10" t="str">
        <f>IF(pts_traje!$I174&lt;&gt;0,(ROUND(pts_traje!$I174+(pts_traje!$I174*0.02*pts_traje!$H174/1000),0)),"")</f>
        <v/>
      </c>
      <c r="J174" s="10"/>
    </row>
    <row r="175">
      <c r="A175" s="1" t="str">
        <f>IFNA(right(VLOOKUP(pts_traje!$A175,trj!$B$2:$D1000,3,FALSE),4),"")</f>
        <v/>
      </c>
      <c r="B175" s="10"/>
      <c r="C175" s="10"/>
      <c r="D175" s="1" t="str">
        <f>IFNA(VLOOKUP(pts_traje!$D175,FIX!$A$2:$D1000,4,FALSE),"")</f>
        <v/>
      </c>
      <c r="E175" s="10"/>
      <c r="F175" s="10"/>
      <c r="G175" s="10"/>
      <c r="H175" s="10"/>
      <c r="I175" s="10" t="str">
        <f>IF(pts_traje!$I175&lt;&gt;0,(ROUND(pts_traje!$I175+(pts_traje!$I175*0.02*pts_traje!$H175/1000),0)),"")</f>
        <v/>
      </c>
      <c r="J175" s="10"/>
    </row>
    <row r="176">
      <c r="A176" s="1" t="str">
        <f>IFNA(right(VLOOKUP(pts_traje!$A176,trj!$B$2:$D1000,3,FALSE),4),"")</f>
        <v/>
      </c>
      <c r="B176" s="10"/>
      <c r="C176" s="10"/>
      <c r="D176" s="1" t="str">
        <f>IFNA(VLOOKUP(pts_traje!$D176,FIX!$A$2:$D1000,4,FALSE),"")</f>
        <v/>
      </c>
      <c r="E176" s="10"/>
      <c r="F176" s="10"/>
      <c r="G176" s="10"/>
      <c r="H176" s="10"/>
      <c r="I176" s="10" t="str">
        <f>IF(pts_traje!$I176&lt;&gt;0,(ROUND(pts_traje!$I176+(pts_traje!$I176*0.02*pts_traje!$H176/1000),0)),"")</f>
        <v/>
      </c>
      <c r="J176" s="10"/>
    </row>
    <row r="177">
      <c r="A177" s="1" t="str">
        <f>IFNA(right(VLOOKUP(pts_traje!$A177,trj!$B$2:$D1000,3,FALSE),4),"")</f>
        <v/>
      </c>
      <c r="B177" s="10"/>
      <c r="C177" s="10"/>
      <c r="D177" s="1" t="str">
        <f>IFNA(VLOOKUP(pts_traje!$D177,FIX!$A$2:$D1000,4,FALSE),"")</f>
        <v/>
      </c>
      <c r="E177" s="10"/>
      <c r="F177" s="10"/>
      <c r="G177" s="10"/>
      <c r="H177" s="10"/>
      <c r="I177" s="10" t="str">
        <f>IF(pts_traje!$I177&lt;&gt;0,(ROUND(pts_traje!$I177+(pts_traje!$I177*0.02*pts_traje!$H177/1000),0)),"")</f>
        <v/>
      </c>
      <c r="J177" s="10"/>
    </row>
    <row r="178">
      <c r="A178" s="1" t="str">
        <f>IFNA(right(VLOOKUP(pts_traje!$A178,trj!$B$2:$D1000,3,FALSE),4),"")</f>
        <v/>
      </c>
      <c r="B178" s="10"/>
      <c r="C178" s="10"/>
      <c r="D178" s="1" t="str">
        <f>IFNA(VLOOKUP(pts_traje!$D178,FIX!$A$2:$D1000,4,FALSE),"")</f>
        <v/>
      </c>
      <c r="E178" s="10"/>
      <c r="F178" s="10"/>
      <c r="G178" s="10"/>
      <c r="H178" s="10"/>
      <c r="I178" s="10" t="str">
        <f>IF(pts_traje!$I178&lt;&gt;0,(ROUND(pts_traje!$I178+(pts_traje!$I178*0.02*pts_traje!$H178/1000),0)),"")</f>
        <v/>
      </c>
      <c r="J178" s="10"/>
    </row>
    <row r="179">
      <c r="A179" s="1" t="str">
        <f>IFNA(right(VLOOKUP(pts_traje!$A179,trj!$B$2:$D1000,3,FALSE),4),"")</f>
        <v/>
      </c>
      <c r="B179" s="10"/>
      <c r="C179" s="10"/>
      <c r="D179" s="1" t="str">
        <f>IFNA(VLOOKUP(pts_traje!$D179,FIX!$A$2:$D1000,4,FALSE),"")</f>
        <v/>
      </c>
      <c r="E179" s="10"/>
      <c r="F179" s="10"/>
      <c r="G179" s="10"/>
      <c r="H179" s="10"/>
      <c r="I179" s="10" t="str">
        <f>IF(pts_traje!$I179&lt;&gt;0,(ROUND(pts_traje!$I179+(pts_traje!$I179*0.02*pts_traje!$H179/1000),0)),"")</f>
        <v/>
      </c>
      <c r="J179" s="10"/>
    </row>
    <row r="180">
      <c r="A180" s="1" t="str">
        <f>IFNA(right(VLOOKUP(pts_traje!$A180,trj!$B$2:$D1000,3,FALSE),4),"")</f>
        <v/>
      </c>
      <c r="B180" s="10"/>
      <c r="C180" s="10"/>
      <c r="D180" s="1" t="str">
        <f>IFNA(VLOOKUP(pts_traje!$D180,FIX!$A$2:$D1000,4,FALSE),"")</f>
        <v/>
      </c>
      <c r="E180" s="10"/>
      <c r="F180" s="10"/>
      <c r="G180" s="10"/>
      <c r="H180" s="10"/>
      <c r="I180" s="10" t="str">
        <f>IF(pts_traje!$I180&lt;&gt;0,(ROUND(pts_traje!$I180+(pts_traje!$I180*0.02*pts_traje!$H180/1000),0)),"")</f>
        <v/>
      </c>
      <c r="J180" s="10"/>
    </row>
    <row r="181">
      <c r="A181" s="1" t="str">
        <f>IFNA(right(VLOOKUP(pts_traje!$A181,trj!$B$2:$D1000,3,FALSE),4),"")</f>
        <v/>
      </c>
      <c r="B181" s="10"/>
      <c r="C181" s="10"/>
      <c r="D181" s="1" t="str">
        <f>IFNA(VLOOKUP(pts_traje!$D181,FIX!$A$2:$D1000,4,FALSE),"")</f>
        <v/>
      </c>
      <c r="E181" s="10"/>
      <c r="F181" s="10"/>
      <c r="G181" s="10"/>
      <c r="H181" s="10"/>
      <c r="I181" s="10" t="str">
        <f>IF(pts_traje!$I181&lt;&gt;0,(ROUND(pts_traje!$I181+(pts_traje!$I181*0.02*pts_traje!$H181/1000),0)),"")</f>
        <v/>
      </c>
      <c r="J181" s="10"/>
    </row>
    <row r="182">
      <c r="A182" s="1" t="str">
        <f>IFNA(right(VLOOKUP(pts_traje!$A182,trj!$B$2:$D1000,3,FALSE),4),"")</f>
        <v/>
      </c>
      <c r="B182" s="10"/>
      <c r="C182" s="10"/>
      <c r="D182" s="1" t="str">
        <f>IFNA(VLOOKUP(pts_traje!$D182,FIX!$A$2:$D1000,4,FALSE),"")</f>
        <v/>
      </c>
      <c r="E182" s="10"/>
      <c r="F182" s="10"/>
      <c r="G182" s="10"/>
      <c r="H182" s="10"/>
      <c r="I182" s="10" t="str">
        <f>IF(pts_traje!$I182&lt;&gt;0,(ROUND(pts_traje!$I182+(pts_traje!$I182*0.02*pts_traje!$H182/1000),0)),"")</f>
        <v/>
      </c>
      <c r="J182" s="10"/>
    </row>
    <row r="183">
      <c r="A183" s="1" t="str">
        <f>IFNA(right(VLOOKUP(pts_traje!$A183,trj!$B$2:$D1000,3,FALSE),4),"")</f>
        <v/>
      </c>
      <c r="B183" s="10"/>
      <c r="C183" s="10"/>
      <c r="D183" s="1" t="str">
        <f>IFNA(VLOOKUP(pts_traje!$D183,FIX!$A$2:$D1000,4,FALSE),"")</f>
        <v/>
      </c>
      <c r="E183" s="10"/>
      <c r="F183" s="10"/>
      <c r="G183" s="10"/>
      <c r="H183" s="10"/>
      <c r="I183" s="10" t="str">
        <f>IF(pts_traje!$I183&lt;&gt;0,(ROUND(pts_traje!$I183+(pts_traje!$I183*0.02*pts_traje!$H183/1000),0)),"")</f>
        <v/>
      </c>
      <c r="J183" s="10"/>
    </row>
    <row r="184">
      <c r="A184" s="1" t="str">
        <f>IFNA(right(VLOOKUP(pts_traje!$A184,trj!$B$2:$D1000,3,FALSE),4),"")</f>
        <v/>
      </c>
      <c r="B184" s="10"/>
      <c r="C184" s="10"/>
      <c r="D184" s="1" t="str">
        <f>IFNA(VLOOKUP(pts_traje!$D184,FIX!$A$2:$D1000,4,FALSE),"")</f>
        <v/>
      </c>
      <c r="E184" s="10"/>
      <c r="F184" s="10"/>
      <c r="G184" s="10"/>
      <c r="H184" s="10"/>
      <c r="I184" s="10" t="str">
        <f>IF(pts_traje!$I184&lt;&gt;0,(ROUND(pts_traje!$I184+(pts_traje!$I184*0.02*pts_traje!$H184/1000),0)),"")</f>
        <v/>
      </c>
      <c r="J184" s="10"/>
    </row>
    <row r="185">
      <c r="A185" s="1" t="str">
        <f>IFNA(right(VLOOKUP(pts_traje!$A185,trj!$B$2:$D1000,3,FALSE),4),"")</f>
        <v/>
      </c>
      <c r="B185" s="10"/>
      <c r="C185" s="10"/>
      <c r="D185" s="1" t="str">
        <f>IFNA(VLOOKUP(pts_traje!$D185,FIX!$A$2:$D1000,4,FALSE),"")</f>
        <v/>
      </c>
      <c r="E185" s="10"/>
      <c r="F185" s="10"/>
      <c r="G185" s="10"/>
      <c r="H185" s="10"/>
      <c r="I185" s="10" t="str">
        <f>IF(pts_traje!$I185&lt;&gt;0,(ROUND(pts_traje!$I185+(pts_traje!$I185*0.02*pts_traje!$H185/1000),0)),"")</f>
        <v/>
      </c>
      <c r="J185" s="10"/>
    </row>
    <row r="186">
      <c r="A186" s="1" t="str">
        <f>IFNA(right(VLOOKUP(pts_traje!$A186,trj!$B$2:$D1000,3,FALSE),4),"")</f>
        <v/>
      </c>
      <c r="B186" s="10"/>
      <c r="C186" s="10"/>
      <c r="D186" s="1" t="str">
        <f>IFNA(VLOOKUP(pts_traje!$D186,FIX!$A$2:$D1000,4,FALSE),"")</f>
        <v/>
      </c>
      <c r="E186" s="10"/>
      <c r="F186" s="10"/>
      <c r="G186" s="10"/>
      <c r="H186" s="10"/>
      <c r="I186" s="10" t="str">
        <f>IF(pts_traje!$I186&lt;&gt;0,(ROUND(pts_traje!$I186+(pts_traje!$I186*0.02*pts_traje!$H186/1000),0)),"")</f>
        <v/>
      </c>
      <c r="J186" s="10"/>
    </row>
    <row r="187">
      <c r="A187" s="1" t="str">
        <f>IFNA(right(VLOOKUP(pts_traje!$A187,trj!$B$2:$D1000,3,FALSE),4),"")</f>
        <v/>
      </c>
      <c r="B187" s="10"/>
      <c r="C187" s="10"/>
      <c r="D187" s="1" t="str">
        <f>IFNA(VLOOKUP(pts_traje!$D187,FIX!$A$2:$D1000,4,FALSE),"")</f>
        <v/>
      </c>
      <c r="E187" s="10"/>
      <c r="F187" s="10"/>
      <c r="G187" s="10"/>
      <c r="H187" s="10"/>
      <c r="I187" s="10" t="str">
        <f>IF(pts_traje!$I187&lt;&gt;0,(ROUND(pts_traje!$I187+(pts_traje!$I187*0.02*pts_traje!$H187/1000),0)),"")</f>
        <v/>
      </c>
      <c r="J187" s="10"/>
    </row>
    <row r="188">
      <c r="A188" s="1" t="str">
        <f>IFNA(right(VLOOKUP(pts_traje!$A188,trj!$B$2:$D1000,3,FALSE),4),"")</f>
        <v/>
      </c>
      <c r="B188" s="10"/>
      <c r="C188" s="10"/>
      <c r="D188" s="1" t="str">
        <f>IFNA(VLOOKUP(pts_traje!$D188,FIX!$A$2:$D1000,4,FALSE),"")</f>
        <v/>
      </c>
      <c r="E188" s="10"/>
      <c r="F188" s="10"/>
      <c r="G188" s="10"/>
      <c r="H188" s="10"/>
      <c r="I188" s="10" t="str">
        <f>IF(pts_traje!$I188&lt;&gt;0,(ROUND(pts_traje!$I188+(pts_traje!$I188*0.02*pts_traje!$H188/1000),0)),"")</f>
        <v/>
      </c>
      <c r="J188" s="10"/>
    </row>
    <row r="189">
      <c r="A189" s="1" t="str">
        <f>IFNA(right(VLOOKUP(pts_traje!$A189,trj!$B$2:$D1000,3,FALSE),4),"")</f>
        <v/>
      </c>
      <c r="B189" s="10"/>
      <c r="C189" s="10"/>
      <c r="D189" s="1" t="str">
        <f>IFNA(VLOOKUP(pts_traje!$D189,FIX!$A$2:$D1000,4,FALSE),"")</f>
        <v/>
      </c>
      <c r="E189" s="10"/>
      <c r="F189" s="10"/>
      <c r="G189" s="10"/>
      <c r="H189" s="10"/>
      <c r="I189" s="10" t="str">
        <f>IF(pts_traje!$I189&lt;&gt;0,(ROUND(pts_traje!$I189+(pts_traje!$I189*0.02*pts_traje!$H189/1000),0)),"")</f>
        <v/>
      </c>
      <c r="J189" s="10"/>
    </row>
    <row r="190">
      <c r="A190" s="1" t="str">
        <f>IFNA(right(VLOOKUP(pts_traje!$A190,trj!$B$2:$D1000,3,FALSE),4),"")</f>
        <v/>
      </c>
      <c r="B190" s="10"/>
      <c r="C190" s="10"/>
      <c r="D190" s="1" t="str">
        <f>IFNA(VLOOKUP(pts_traje!$D190,FIX!$A$2:$D1000,4,FALSE),"")</f>
        <v/>
      </c>
      <c r="E190" s="10"/>
      <c r="F190" s="10"/>
      <c r="G190" s="10"/>
      <c r="H190" s="10"/>
      <c r="I190" s="10" t="str">
        <f>IF(pts_traje!$I190&lt;&gt;0,(ROUND(pts_traje!$I190+(pts_traje!$I190*0.02*pts_traje!$H190/1000),0)),"")</f>
        <v/>
      </c>
      <c r="J190" s="10"/>
    </row>
    <row r="191">
      <c r="A191" s="1" t="str">
        <f>IFNA(right(VLOOKUP(pts_traje!$A191,trj!$B$2:$D1000,3,FALSE),4),"")</f>
        <v/>
      </c>
      <c r="B191" s="10"/>
      <c r="C191" s="10"/>
      <c r="D191" s="1" t="str">
        <f>IFNA(VLOOKUP(pts_traje!$D191,FIX!$A$2:$D1000,4,FALSE),"")</f>
        <v/>
      </c>
      <c r="E191" s="10"/>
      <c r="F191" s="10"/>
      <c r="G191" s="10"/>
      <c r="H191" s="10"/>
      <c r="I191" s="10" t="str">
        <f>IF(pts_traje!$I191&lt;&gt;0,(ROUND(pts_traje!$I191+(pts_traje!$I191*0.02*pts_traje!$H191/1000),0)),"")</f>
        <v/>
      </c>
      <c r="J191" s="10"/>
    </row>
    <row r="192">
      <c r="A192" s="1" t="str">
        <f>IFNA(right(VLOOKUP(pts_traje!$A192,trj!$B$2:$D1000,3,FALSE),4),"")</f>
        <v/>
      </c>
      <c r="B192" s="10"/>
      <c r="C192" s="10"/>
      <c r="D192" s="1" t="str">
        <f>IFNA(VLOOKUP(pts_traje!$D192,FIX!$A$2:$D1000,4,FALSE),"")</f>
        <v/>
      </c>
      <c r="E192" s="10"/>
      <c r="F192" s="10"/>
      <c r="G192" s="10"/>
      <c r="H192" s="10"/>
      <c r="I192" s="10" t="str">
        <f>IF(pts_traje!$I192&lt;&gt;0,(ROUND(pts_traje!$I192+(pts_traje!$I192*0.02*pts_traje!$H192/1000),0)),"")</f>
        <v/>
      </c>
      <c r="J192" s="10"/>
    </row>
    <row r="193">
      <c r="A193" s="1" t="str">
        <f>IFNA(right(VLOOKUP(pts_traje!$A193,trj!$B$2:$D1000,3,FALSE),4),"")</f>
        <v/>
      </c>
      <c r="B193" s="10"/>
      <c r="C193" s="10"/>
      <c r="D193" s="1" t="str">
        <f>IFNA(VLOOKUP(pts_traje!$D193,FIX!$A$2:$D1000,4,FALSE),"")</f>
        <v/>
      </c>
      <c r="E193" s="10"/>
      <c r="F193" s="10"/>
      <c r="G193" s="10"/>
      <c r="H193" s="10"/>
      <c r="I193" s="10" t="str">
        <f>IF(pts_traje!$I193&lt;&gt;0,(ROUND(pts_traje!$I193+(pts_traje!$I193*0.02*pts_traje!$H193/1000),0)),"")</f>
        <v/>
      </c>
      <c r="J193" s="10"/>
    </row>
    <row r="194">
      <c r="A194" s="1" t="str">
        <f>IFNA(right(VLOOKUP(pts_traje!$A194,trj!$B$2:$D1000,3,FALSE),4),"")</f>
        <v/>
      </c>
      <c r="B194" s="10"/>
      <c r="C194" s="10"/>
      <c r="D194" s="1" t="str">
        <f>IFNA(VLOOKUP(pts_traje!$D194,FIX!$A$2:$D1000,4,FALSE),"")</f>
        <v/>
      </c>
      <c r="E194" s="10"/>
      <c r="F194" s="10"/>
      <c r="G194" s="10"/>
      <c r="H194" s="10"/>
      <c r="I194" s="10" t="str">
        <f>IF(pts_traje!$I194&lt;&gt;0,(ROUND(pts_traje!$I194+(pts_traje!$I194*0.02*pts_traje!$H194/1000),0)),"")</f>
        <v/>
      </c>
      <c r="J194" s="10"/>
    </row>
    <row r="195">
      <c r="A195" s="1" t="str">
        <f>IFNA(right(VLOOKUP(pts_traje!$A195,trj!$B$2:$D1000,3,FALSE),4),"")</f>
        <v/>
      </c>
      <c r="B195" s="10"/>
      <c r="C195" s="10"/>
      <c r="D195" s="1" t="str">
        <f>IFNA(VLOOKUP(pts_traje!$D195,FIX!$A$2:$D1000,4,FALSE),"")</f>
        <v/>
      </c>
      <c r="E195" s="10"/>
      <c r="F195" s="10"/>
      <c r="G195" s="10"/>
      <c r="H195" s="10"/>
      <c r="I195" s="10" t="str">
        <f>IF(pts_traje!$I195&lt;&gt;0,(ROUND(pts_traje!$I195+(pts_traje!$I195*0.02*pts_traje!$H195/1000),0)),"")</f>
        <v/>
      </c>
      <c r="J195" s="10"/>
    </row>
    <row r="196">
      <c r="A196" s="1" t="str">
        <f>IFNA(right(VLOOKUP(pts_traje!$A196,trj!$B$2:$D1000,3,FALSE),4),"")</f>
        <v/>
      </c>
      <c r="B196" s="10"/>
      <c r="C196" s="10"/>
      <c r="D196" s="1" t="str">
        <f>IFNA(VLOOKUP(pts_traje!$D196,FIX!$A$2:$D1000,4,FALSE),"")</f>
        <v/>
      </c>
      <c r="E196" s="10"/>
      <c r="F196" s="10"/>
      <c r="G196" s="10"/>
      <c r="H196" s="10"/>
      <c r="I196" s="10" t="str">
        <f>IF(pts_traje!$I196&lt;&gt;0,(ROUND(pts_traje!$I196+(pts_traje!$I196*0.02*pts_traje!$H196/1000),0)),"")</f>
        <v/>
      </c>
      <c r="J196" s="10"/>
    </row>
    <row r="197">
      <c r="A197" s="1" t="str">
        <f>IFNA(right(VLOOKUP(pts_traje!$A197,trj!$B$2:$D1000,3,FALSE),4),"")</f>
        <v/>
      </c>
      <c r="B197" s="10"/>
      <c r="C197" s="10"/>
      <c r="D197" s="1" t="str">
        <f>IFNA(VLOOKUP(pts_traje!$D197,FIX!$A$2:$D1000,4,FALSE),"")</f>
        <v/>
      </c>
      <c r="E197" s="10"/>
      <c r="F197" s="10"/>
      <c r="G197" s="10"/>
      <c r="H197" s="10"/>
      <c r="I197" s="10" t="str">
        <f>IF(pts_traje!$I197&lt;&gt;0,(ROUND(pts_traje!$I197+(pts_traje!$I197*0.02*pts_traje!$H197/1000),0)),"")</f>
        <v/>
      </c>
      <c r="J197" s="10"/>
    </row>
    <row r="198">
      <c r="A198" s="1" t="str">
        <f>IFNA(right(VLOOKUP(pts_traje!$A198,trj!$B$2:$D1000,3,FALSE),4),"")</f>
        <v/>
      </c>
      <c r="B198" s="10"/>
      <c r="C198" s="10"/>
      <c r="D198" s="1" t="str">
        <f>IFNA(VLOOKUP(pts_traje!$D198,FIX!$A$2:$D1000,4,FALSE),"")</f>
        <v/>
      </c>
      <c r="E198" s="10"/>
      <c r="F198" s="10"/>
      <c r="G198" s="10"/>
      <c r="H198" s="10"/>
      <c r="I198" s="10" t="str">
        <f>IF(pts_traje!$I198&lt;&gt;0,(ROUND(pts_traje!$I198+(pts_traje!$I198*0.02*pts_traje!$H198/1000),0)),"")</f>
        <v/>
      </c>
      <c r="J198" s="10"/>
    </row>
    <row r="199">
      <c r="A199" s="1" t="str">
        <f>IFNA(right(VLOOKUP(pts_traje!$A199,trj!$B$2:$D1000,3,FALSE),4),"")</f>
        <v/>
      </c>
      <c r="B199" s="10"/>
      <c r="C199" s="10"/>
      <c r="D199" s="1" t="str">
        <f>IFNA(VLOOKUP(pts_traje!$D199,FIX!$A$2:$D1000,4,FALSE),"")</f>
        <v/>
      </c>
      <c r="E199" s="10"/>
      <c r="F199" s="10"/>
      <c r="G199" s="10"/>
      <c r="H199" s="10"/>
      <c r="I199" s="10" t="str">
        <f>IF(pts_traje!$I199&lt;&gt;0,(ROUND(pts_traje!$I199+(pts_traje!$I199*0.02*pts_traje!$H199/1000),0)),"")</f>
        <v/>
      </c>
      <c r="J199" s="10"/>
    </row>
    <row r="200">
      <c r="A200" s="1" t="str">
        <f>IFNA(right(VLOOKUP(pts_traje!$A200,trj!$B$2:$D1000,3,FALSE),4),"")</f>
        <v/>
      </c>
      <c r="B200" s="10"/>
      <c r="C200" s="10"/>
      <c r="D200" s="1" t="str">
        <f>IFNA(VLOOKUP(pts_traje!$D200,FIX!$A$2:$D1000,4,FALSE),"")</f>
        <v/>
      </c>
      <c r="E200" s="10"/>
      <c r="F200" s="10"/>
      <c r="G200" s="10"/>
      <c r="H200" s="10"/>
      <c r="I200" s="10" t="str">
        <f>IF(pts_traje!$I200&lt;&gt;0,(ROUND(pts_traje!$I200+(pts_traje!$I200*0.02*pts_traje!$H200/1000),0)),"")</f>
        <v/>
      </c>
      <c r="J200" s="10"/>
    </row>
    <row r="201">
      <c r="A201" s="1" t="str">
        <f>IFNA(right(VLOOKUP(pts_traje!$A201,trj!$B$2:$D1000,3,FALSE),4),"")</f>
        <v/>
      </c>
      <c r="B201" s="10"/>
      <c r="C201" s="10"/>
      <c r="D201" s="1" t="str">
        <f>IFNA(VLOOKUP(pts_traje!$D201,FIX!$A$2:$D1000,4,FALSE),"")</f>
        <v/>
      </c>
      <c r="E201" s="10"/>
      <c r="F201" s="10"/>
      <c r="G201" s="10"/>
      <c r="H201" s="10"/>
      <c r="I201" s="10" t="str">
        <f>IF(pts_traje!$I201&lt;&gt;0,(ROUND(pts_traje!$I201+(pts_traje!$I201*0.02*pts_traje!$H201/1000),0)),"")</f>
        <v/>
      </c>
      <c r="J201" s="10"/>
    </row>
    <row r="202">
      <c r="A202" s="1" t="str">
        <f>IFNA(right(VLOOKUP(pts_traje!$A202,trj!$B$2:$D1000,3,FALSE),4),"")</f>
        <v/>
      </c>
      <c r="B202" s="10"/>
      <c r="C202" s="10"/>
      <c r="D202" s="1" t="str">
        <f>IFNA(VLOOKUP(pts_traje!$D202,FIX!$A$2:$D1000,4,FALSE),"")</f>
        <v/>
      </c>
      <c r="E202" s="10"/>
      <c r="F202" s="10"/>
      <c r="G202" s="10"/>
      <c r="H202" s="10"/>
      <c r="I202" s="10" t="str">
        <f>IF(pts_traje!$I202&lt;&gt;0,(ROUND(pts_traje!$I202+(pts_traje!$I202*0.02*pts_traje!$H202/1000),0)),"")</f>
        <v/>
      </c>
      <c r="J202" s="10"/>
    </row>
    <row r="203">
      <c r="A203" s="1" t="str">
        <f>IFNA(right(VLOOKUP(pts_traje!$A203,trj!$B$2:$D1000,3,FALSE),4),"")</f>
        <v/>
      </c>
      <c r="B203" s="10"/>
      <c r="C203" s="10"/>
      <c r="D203" s="1" t="str">
        <f>IFNA(VLOOKUP(pts_traje!$D203,FIX!$A$2:$D1000,4,FALSE),"")</f>
        <v/>
      </c>
      <c r="E203" s="10"/>
      <c r="F203" s="10"/>
      <c r="G203" s="10"/>
      <c r="H203" s="10"/>
      <c r="I203" s="10" t="str">
        <f>IF(pts_traje!$I203&lt;&gt;0,(ROUND(pts_traje!$I203+(pts_traje!$I203*0.02*pts_traje!$H203/1000),0)),"")</f>
        <v/>
      </c>
      <c r="J203" s="10"/>
    </row>
    <row r="204">
      <c r="A204" s="1" t="str">
        <f>IFNA(right(VLOOKUP(pts_traje!$A204,trj!$B$2:$D1000,3,FALSE),4),"")</f>
        <v/>
      </c>
      <c r="B204" s="10"/>
      <c r="C204" s="10"/>
      <c r="D204" s="1" t="str">
        <f>IFNA(VLOOKUP(pts_traje!$D204,FIX!$A$2:$D1000,4,FALSE),"")</f>
        <v/>
      </c>
      <c r="E204" s="10"/>
      <c r="F204" s="10"/>
      <c r="G204" s="10"/>
      <c r="H204" s="10"/>
      <c r="I204" s="10" t="str">
        <f>IF(pts_traje!$I204&lt;&gt;0,(ROUND(pts_traje!$I204+(pts_traje!$I204*0.02*pts_traje!$H204/1000),0)),"")</f>
        <v/>
      </c>
      <c r="J204" s="10"/>
    </row>
    <row r="205">
      <c r="A205" s="1" t="str">
        <f>IFNA(right(VLOOKUP(pts_traje!$A205,trj!$B$2:$D1000,3,FALSE),4),"")</f>
        <v/>
      </c>
      <c r="B205" s="10"/>
      <c r="C205" s="10"/>
      <c r="D205" s="1" t="str">
        <f>IFNA(VLOOKUP(pts_traje!$D205,FIX!$A$2:$D1000,4,FALSE),"")</f>
        <v/>
      </c>
      <c r="E205" s="10"/>
      <c r="F205" s="10"/>
      <c r="G205" s="10"/>
      <c r="H205" s="10"/>
      <c r="I205" s="10" t="str">
        <f>IF(pts_traje!$I205&lt;&gt;0,(ROUND(pts_traje!$I205+(pts_traje!$I205*0.02*pts_traje!$H205/1000),0)),"")</f>
        <v/>
      </c>
      <c r="J205" s="10"/>
    </row>
    <row r="206">
      <c r="A206" s="1" t="str">
        <f>IFNA(right(VLOOKUP(pts_traje!$A206,trj!$B$2:$D1000,3,FALSE),4),"")</f>
        <v/>
      </c>
      <c r="B206" s="10"/>
      <c r="C206" s="10"/>
      <c r="D206" s="1" t="str">
        <f>IFNA(VLOOKUP(pts_traje!$D206,FIX!$A$2:$D1000,4,FALSE),"")</f>
        <v/>
      </c>
      <c r="E206" s="10"/>
      <c r="F206" s="10"/>
      <c r="G206" s="10"/>
      <c r="H206" s="10"/>
      <c r="I206" s="10" t="str">
        <f>IF(pts_traje!$I206&lt;&gt;0,(ROUND(pts_traje!$I206+(pts_traje!$I206*0.02*pts_traje!$H206/1000),0)),"")</f>
        <v/>
      </c>
      <c r="J206" s="10"/>
    </row>
    <row r="207">
      <c r="A207" s="1" t="str">
        <f>IFNA(right(VLOOKUP(pts_traje!$A207,trj!$B$2:$D1000,3,FALSE),4),"")</f>
        <v/>
      </c>
      <c r="B207" s="10"/>
      <c r="C207" s="10"/>
      <c r="D207" s="1" t="str">
        <f>IFNA(VLOOKUP(pts_traje!$D207,FIX!$A$2:$D1000,4,FALSE),"")</f>
        <v/>
      </c>
      <c r="E207" s="10"/>
      <c r="F207" s="10"/>
      <c r="G207" s="10"/>
      <c r="H207" s="10"/>
      <c r="I207" s="10" t="str">
        <f>IF(pts_traje!$I207&lt;&gt;0,(ROUND(pts_traje!$I207+(pts_traje!$I207*0.02*pts_traje!$H207/1000),0)),"")</f>
        <v/>
      </c>
      <c r="J207" s="10"/>
    </row>
    <row r="208">
      <c r="A208" s="1" t="str">
        <f>IFNA(right(VLOOKUP(pts_traje!$A208,trj!$B$2:$D1000,3,FALSE),4),"")</f>
        <v/>
      </c>
      <c r="B208" s="10"/>
      <c r="C208" s="10"/>
      <c r="D208" s="1" t="str">
        <f>IFNA(VLOOKUP(pts_traje!$D208,FIX!$A$2:$D1000,4,FALSE),"")</f>
        <v/>
      </c>
      <c r="E208" s="10"/>
      <c r="F208" s="10"/>
      <c r="G208" s="10"/>
      <c r="H208" s="10"/>
      <c r="I208" s="10" t="str">
        <f>IF(pts_traje!$I208&lt;&gt;0,(ROUND(pts_traje!$I208+(pts_traje!$I208*0.02*pts_traje!$H208/1000),0)),"")</f>
        <v/>
      </c>
      <c r="J208" s="10"/>
    </row>
    <row r="209">
      <c r="A209" s="1" t="str">
        <f>IFNA(right(VLOOKUP(pts_traje!$A209,trj!$B$2:$D1000,3,FALSE),4),"")</f>
        <v/>
      </c>
      <c r="B209" s="10"/>
      <c r="C209" s="10"/>
      <c r="D209" s="1" t="str">
        <f>IFNA(VLOOKUP(pts_traje!$D209,FIX!$A$2:$D1000,4,FALSE),"")</f>
        <v/>
      </c>
      <c r="E209" s="10"/>
      <c r="F209" s="10"/>
      <c r="G209" s="10"/>
      <c r="H209" s="10"/>
      <c r="I209" s="10" t="str">
        <f>IF(pts_traje!$I209&lt;&gt;0,(ROUND(pts_traje!$I209+(pts_traje!$I209*0.02*pts_traje!$H209/1000),0)),"")</f>
        <v/>
      </c>
      <c r="J209" s="10"/>
    </row>
    <row r="210">
      <c r="A210" s="1" t="str">
        <f>IFNA(right(VLOOKUP(pts_traje!$A210,trj!$B$2:$D1000,3,FALSE),4),"")</f>
        <v/>
      </c>
      <c r="B210" s="10"/>
      <c r="C210" s="10"/>
      <c r="D210" s="1" t="str">
        <f>IFNA(VLOOKUP(pts_traje!$D210,FIX!$A$2:$D1000,4,FALSE),"")</f>
        <v/>
      </c>
      <c r="E210" s="10"/>
      <c r="F210" s="10"/>
      <c r="G210" s="10"/>
      <c r="H210" s="10"/>
      <c r="I210" s="10" t="str">
        <f>IF(pts_traje!$I210&lt;&gt;0,(ROUND(pts_traje!$I210+(pts_traje!$I210*0.02*pts_traje!$H210/1000),0)),"")</f>
        <v/>
      </c>
      <c r="J210" s="10"/>
    </row>
    <row r="211">
      <c r="A211" s="1" t="str">
        <f>IFNA(right(VLOOKUP(pts_traje!$A211,trj!$B$2:$D1000,3,FALSE),4),"")</f>
        <v/>
      </c>
      <c r="B211" s="10"/>
      <c r="C211" s="10"/>
      <c r="D211" s="1" t="str">
        <f>IFNA(VLOOKUP(pts_traje!$D211,FIX!$A$2:$D1000,4,FALSE),"")</f>
        <v/>
      </c>
      <c r="E211" s="10"/>
      <c r="F211" s="10"/>
      <c r="G211" s="10"/>
      <c r="H211" s="10"/>
      <c r="I211" s="10" t="str">
        <f>IF(pts_traje!$I211&lt;&gt;0,(ROUND(pts_traje!$I211+(pts_traje!$I211*0.02*pts_traje!$H211/1000),0)),"")</f>
        <v/>
      </c>
      <c r="J211" s="10"/>
    </row>
    <row r="212">
      <c r="A212" s="1" t="str">
        <f>IFNA(right(VLOOKUP(pts_traje!$A212,trj!$B$2:$D1000,3,FALSE),4),"")</f>
        <v/>
      </c>
      <c r="B212" s="10"/>
      <c r="C212" s="10"/>
      <c r="D212" s="1" t="str">
        <f>IFNA(VLOOKUP(pts_traje!$D212,FIX!$A$2:$D1000,4,FALSE),"")</f>
        <v/>
      </c>
      <c r="E212" s="10"/>
      <c r="F212" s="10"/>
      <c r="G212" s="10"/>
      <c r="H212" s="10"/>
      <c r="I212" s="10" t="str">
        <f>IF(pts_traje!$I212&lt;&gt;0,(ROUND(pts_traje!$I212+(pts_traje!$I212*0.02*pts_traje!$H212/1000),0)),"")</f>
        <v/>
      </c>
      <c r="J212" s="10"/>
    </row>
    <row r="213">
      <c r="A213" s="1" t="str">
        <f>IFNA(right(VLOOKUP(pts_traje!$A213,trj!$B$2:$D1000,3,FALSE),4),"")</f>
        <v/>
      </c>
      <c r="B213" s="10"/>
      <c r="C213" s="10"/>
      <c r="D213" s="1" t="str">
        <f>IFNA(VLOOKUP(pts_traje!$D213,FIX!$A$2:$D1000,4,FALSE),"")</f>
        <v/>
      </c>
      <c r="E213" s="10"/>
      <c r="F213" s="10"/>
      <c r="G213" s="10"/>
      <c r="H213" s="10"/>
      <c r="I213" s="10" t="str">
        <f>IF(pts_traje!$I213&lt;&gt;0,(ROUND(pts_traje!$I213+(pts_traje!$I213*0.02*pts_traje!$H213/1000),0)),"")</f>
        <v/>
      </c>
      <c r="J213" s="10"/>
    </row>
    <row r="214">
      <c r="A214" s="1" t="str">
        <f>IFNA(right(VLOOKUP(pts_traje!$A214,trj!$B$2:$D1000,3,FALSE),4),"")</f>
        <v/>
      </c>
      <c r="B214" s="10"/>
      <c r="C214" s="10"/>
      <c r="D214" s="1" t="str">
        <f>IFNA(VLOOKUP(pts_traje!$D214,FIX!$A$2:$D1000,4,FALSE),"")</f>
        <v/>
      </c>
      <c r="E214" s="10"/>
      <c r="F214" s="10"/>
      <c r="G214" s="10"/>
      <c r="H214" s="10"/>
      <c r="I214" s="10" t="str">
        <f>IF(pts_traje!$I214&lt;&gt;0,(ROUND(pts_traje!$I214+(pts_traje!$I214*0.02*pts_traje!$H214/1000),0)),"")</f>
        <v/>
      </c>
      <c r="J214" s="10"/>
    </row>
    <row r="215">
      <c r="A215" s="1" t="str">
        <f>IFNA(right(VLOOKUP(pts_traje!$A215,trj!$B$2:$D1000,3,FALSE),4),"")</f>
        <v/>
      </c>
      <c r="B215" s="10"/>
      <c r="C215" s="10"/>
      <c r="D215" s="1" t="str">
        <f>IFNA(VLOOKUP(pts_traje!$D215,FIX!$A$2:$D1000,4,FALSE),"")</f>
        <v/>
      </c>
      <c r="E215" s="10"/>
      <c r="F215" s="10"/>
      <c r="G215" s="10"/>
      <c r="H215" s="10"/>
      <c r="I215" s="10" t="str">
        <f>IF(pts_traje!$I215&lt;&gt;0,(ROUND(pts_traje!$I215+(pts_traje!$I215*0.02*pts_traje!$H215/1000),0)),"")</f>
        <v/>
      </c>
      <c r="J215" s="10"/>
    </row>
    <row r="216">
      <c r="A216" s="1" t="str">
        <f>IFNA(right(VLOOKUP(pts_traje!$A216,trj!$B$2:$D1000,3,FALSE),4),"")</f>
        <v/>
      </c>
      <c r="B216" s="10"/>
      <c r="C216" s="10"/>
      <c r="D216" s="1" t="str">
        <f>IFNA(VLOOKUP(pts_traje!$D216,FIX!$A$2:$D1000,4,FALSE),"")</f>
        <v/>
      </c>
      <c r="E216" s="10"/>
      <c r="F216" s="10"/>
      <c r="G216" s="10"/>
      <c r="H216" s="10"/>
      <c r="I216" s="10" t="str">
        <f>IF(pts_traje!$I216&lt;&gt;0,(ROUND(pts_traje!$I216+(pts_traje!$I216*0.02*pts_traje!$H216/1000),0)),"")</f>
        <v/>
      </c>
      <c r="J216" s="10"/>
    </row>
    <row r="217">
      <c r="A217" s="1" t="str">
        <f>IFNA(right(VLOOKUP(pts_traje!$A217,trj!$B$2:$D1000,3,FALSE),4),"")</f>
        <v/>
      </c>
      <c r="B217" s="10"/>
      <c r="C217" s="10"/>
      <c r="D217" s="1" t="str">
        <f>IFNA(VLOOKUP(pts_traje!$D217,FIX!$A$2:$D1000,4,FALSE),"")</f>
        <v/>
      </c>
      <c r="E217" s="10"/>
      <c r="F217" s="10"/>
      <c r="G217" s="10"/>
      <c r="H217" s="10"/>
      <c r="I217" s="10" t="str">
        <f>IF(pts_traje!$I217&lt;&gt;0,(ROUND(pts_traje!$I217+(pts_traje!$I217*0.02*pts_traje!$H217/1000),0)),"")</f>
        <v/>
      </c>
      <c r="J217" s="10"/>
    </row>
    <row r="218">
      <c r="A218" s="1" t="str">
        <f>IFNA(right(VLOOKUP(pts_traje!$A218,trj!$B$2:$D1000,3,FALSE),4),"")</f>
        <v/>
      </c>
      <c r="B218" s="10"/>
      <c r="C218" s="10"/>
      <c r="D218" s="1" t="str">
        <f>IFNA(VLOOKUP(pts_traje!$D218,FIX!$A$2:$D1000,4,FALSE),"")</f>
        <v/>
      </c>
      <c r="E218" s="10"/>
      <c r="F218" s="10"/>
      <c r="G218" s="10"/>
      <c r="H218" s="10"/>
      <c r="I218" s="10" t="str">
        <f>IF(pts_traje!$I218&lt;&gt;0,(ROUND(pts_traje!$I218+(pts_traje!$I218*0.02*pts_traje!$H218/1000),0)),"")</f>
        <v/>
      </c>
      <c r="J218" s="10"/>
    </row>
    <row r="219">
      <c r="A219" s="1" t="str">
        <f>IFNA(right(VLOOKUP(pts_traje!$A219,trj!$B$2:$D1000,3,FALSE),4),"")</f>
        <v/>
      </c>
      <c r="B219" s="10"/>
      <c r="C219" s="10"/>
      <c r="D219" s="1" t="str">
        <f>IFNA(VLOOKUP(pts_traje!$D219,FIX!$A$2:$D1000,4,FALSE),"")</f>
        <v/>
      </c>
      <c r="E219" s="10"/>
      <c r="F219" s="10"/>
      <c r="G219" s="10"/>
      <c r="H219" s="10"/>
      <c r="I219" s="10" t="str">
        <f>IF(pts_traje!$I219&lt;&gt;0,(ROUND(pts_traje!$I219+(pts_traje!$I219*0.02*pts_traje!$H219/1000),0)),"")</f>
        <v/>
      </c>
      <c r="J219" s="10"/>
    </row>
    <row r="220">
      <c r="A220" s="1" t="str">
        <f>IFNA(right(VLOOKUP(pts_traje!$A220,trj!$B$2:$D1000,3,FALSE),4),"")</f>
        <v/>
      </c>
      <c r="B220" s="10"/>
      <c r="C220" s="10"/>
      <c r="D220" s="1" t="str">
        <f>IFNA(VLOOKUP(pts_traje!$D220,FIX!$A$2:$D1000,4,FALSE),"")</f>
        <v/>
      </c>
      <c r="E220" s="10"/>
      <c r="F220" s="10"/>
      <c r="G220" s="10"/>
      <c r="H220" s="10"/>
      <c r="I220" s="10" t="str">
        <f>IF(pts_traje!$I220&lt;&gt;0,(ROUND(pts_traje!$I220+(pts_traje!$I220*0.02*pts_traje!$H220/1000),0)),"")</f>
        <v/>
      </c>
      <c r="J220" s="10"/>
    </row>
    <row r="221">
      <c r="A221" s="1" t="str">
        <f>IFNA(right(VLOOKUP(pts_traje!$A221,trj!$B$2:$D1000,3,FALSE),4),"")</f>
        <v/>
      </c>
      <c r="B221" s="10"/>
      <c r="C221" s="10"/>
      <c r="D221" s="1" t="str">
        <f>IFNA(VLOOKUP(pts_traje!$D221,FIX!$A$2:$D1000,4,FALSE),"")</f>
        <v/>
      </c>
      <c r="E221" s="10"/>
      <c r="F221" s="10"/>
      <c r="G221" s="10"/>
      <c r="H221" s="10"/>
      <c r="I221" s="10" t="str">
        <f>IF(pts_traje!$I221&lt;&gt;0,(ROUND(pts_traje!$I221+(pts_traje!$I221*0.02*pts_traje!$H221/1000),0)),"")</f>
        <v/>
      </c>
      <c r="J221" s="10"/>
    </row>
    <row r="222">
      <c r="A222" s="1" t="str">
        <f>IFNA(right(VLOOKUP(pts_traje!$A222,trj!$B$2:$D1000,3,FALSE),4),"")</f>
        <v/>
      </c>
      <c r="B222" s="10"/>
      <c r="C222" s="10"/>
      <c r="D222" s="1" t="str">
        <f>IFNA(VLOOKUP(pts_traje!$D222,FIX!$A$2:$D1000,4,FALSE),"")</f>
        <v/>
      </c>
      <c r="E222" s="10"/>
      <c r="F222" s="10"/>
      <c r="G222" s="10"/>
      <c r="H222" s="10"/>
      <c r="I222" s="10" t="str">
        <f>IF(pts_traje!$I222&lt;&gt;0,(ROUND(pts_traje!$I222+(pts_traje!$I222*0.02*pts_traje!$H222/1000),0)),"")</f>
        <v/>
      </c>
      <c r="J222" s="10"/>
    </row>
    <row r="223">
      <c r="A223" s="1" t="str">
        <f>IFNA(right(VLOOKUP(pts_traje!$A223,trj!$B$2:$D1000,3,FALSE),4),"")</f>
        <v/>
      </c>
      <c r="B223" s="10"/>
      <c r="C223" s="10"/>
      <c r="D223" s="1" t="str">
        <f>IFNA(VLOOKUP(pts_traje!$D223,FIX!$A$2:$D1000,4,FALSE),"")</f>
        <v/>
      </c>
      <c r="E223" s="10"/>
      <c r="F223" s="10"/>
      <c r="G223" s="10"/>
      <c r="H223" s="10"/>
      <c r="I223" s="10" t="str">
        <f>IF(pts_traje!$I223&lt;&gt;0,(ROUND(pts_traje!$I223+(pts_traje!$I223*0.02*pts_traje!$H223/1000),0)),"")</f>
        <v/>
      </c>
      <c r="J223" s="10"/>
    </row>
    <row r="224">
      <c r="A224" s="1" t="str">
        <f>IFNA(right(VLOOKUP(pts_traje!$A224,trj!$B$2:$D1000,3,FALSE),4),"")</f>
        <v/>
      </c>
      <c r="B224" s="10"/>
      <c r="C224" s="10"/>
      <c r="D224" s="1" t="str">
        <f>IFNA(VLOOKUP(pts_traje!$D224,FIX!$A$2:$D1000,4,FALSE),"")</f>
        <v/>
      </c>
      <c r="E224" s="10"/>
      <c r="F224" s="10"/>
      <c r="G224" s="10"/>
      <c r="H224" s="10"/>
      <c r="I224" s="10" t="str">
        <f>IF(pts_traje!$I224&lt;&gt;0,(ROUND(pts_traje!$I224+(pts_traje!$I224*0.02*pts_traje!$H224/1000),0)),"")</f>
        <v/>
      </c>
      <c r="J224" s="10"/>
    </row>
    <row r="225">
      <c r="A225" s="1" t="str">
        <f>IFNA(right(VLOOKUP(pts_traje!$A225,trj!$B$2:$D1000,3,FALSE),4),"")</f>
        <v/>
      </c>
      <c r="B225" s="10"/>
      <c r="C225" s="10"/>
      <c r="D225" s="1" t="str">
        <f>IFNA(VLOOKUP(pts_traje!$D225,FIX!$A$2:$D1000,4,FALSE),"")</f>
        <v/>
      </c>
      <c r="E225" s="10"/>
      <c r="F225" s="10"/>
      <c r="G225" s="10"/>
      <c r="H225" s="10"/>
      <c r="I225" s="10" t="str">
        <f>IF(pts_traje!$I225&lt;&gt;0,(ROUND(pts_traje!$I225+(pts_traje!$I225*0.02*pts_traje!$H225/1000),0)),"")</f>
        <v/>
      </c>
      <c r="J225" s="10"/>
    </row>
    <row r="226">
      <c r="A226" s="1" t="str">
        <f>IFNA(right(VLOOKUP(pts_traje!$A226,trj!$B$2:$D1000,3,FALSE),4),"")</f>
        <v/>
      </c>
      <c r="B226" s="10"/>
      <c r="C226" s="10"/>
      <c r="D226" s="1" t="str">
        <f>IFNA(VLOOKUP(pts_traje!$D226,FIX!$A$2:$D1000,4,FALSE),"")</f>
        <v/>
      </c>
      <c r="E226" s="10"/>
      <c r="F226" s="10"/>
      <c r="G226" s="10"/>
      <c r="H226" s="10"/>
      <c r="I226" s="10" t="str">
        <f>IF(pts_traje!$I226&lt;&gt;0,(ROUND(pts_traje!$I226+(pts_traje!$I226*0.02*pts_traje!$H226/1000),0)),"")</f>
        <v/>
      </c>
      <c r="J226" s="10"/>
    </row>
    <row r="227">
      <c r="A227" s="1" t="str">
        <f>IFNA(right(VLOOKUP(pts_traje!$A227,trj!$B$2:$D1000,3,FALSE),4),"")</f>
        <v/>
      </c>
      <c r="B227" s="10"/>
      <c r="C227" s="10"/>
      <c r="D227" s="1" t="str">
        <f>IFNA(VLOOKUP(pts_traje!$D227,FIX!$A$2:$D1000,4,FALSE),"")</f>
        <v/>
      </c>
      <c r="E227" s="10"/>
      <c r="F227" s="10"/>
      <c r="G227" s="10"/>
      <c r="H227" s="10"/>
      <c r="I227" s="10" t="str">
        <f>IF(pts_traje!$I227&lt;&gt;0,(ROUND(pts_traje!$I227+(pts_traje!$I227*0.02*pts_traje!$H227/1000),0)),"")</f>
        <v/>
      </c>
      <c r="J227" s="10"/>
    </row>
    <row r="228">
      <c r="A228" s="1" t="str">
        <f>IFNA(right(VLOOKUP(pts_traje!$A228,trj!$B$2:$D1000,3,FALSE),4),"")</f>
        <v/>
      </c>
      <c r="B228" s="10"/>
      <c r="C228" s="10"/>
      <c r="D228" s="1" t="str">
        <f>IFNA(VLOOKUP(pts_traje!$D228,FIX!$A$2:$D1000,4,FALSE),"")</f>
        <v/>
      </c>
      <c r="E228" s="10"/>
      <c r="F228" s="10"/>
      <c r="G228" s="10"/>
      <c r="H228" s="10"/>
      <c r="I228" s="10" t="str">
        <f>IF(pts_traje!$I228&lt;&gt;0,(ROUND(pts_traje!$I228+(pts_traje!$I228*0.02*pts_traje!$H228/1000),0)),"")</f>
        <v/>
      </c>
      <c r="J228" s="10"/>
    </row>
    <row r="229">
      <c r="A229" s="1" t="str">
        <f>IFNA(right(VLOOKUP(pts_traje!$A229,trj!$B$2:$D1000,3,FALSE),4),"")</f>
        <v/>
      </c>
      <c r="B229" s="10"/>
      <c r="C229" s="10"/>
      <c r="D229" s="1" t="str">
        <f>IFNA(VLOOKUP(pts_traje!$D229,FIX!$A$2:$D1000,4,FALSE),"")</f>
        <v/>
      </c>
      <c r="E229" s="10"/>
      <c r="F229" s="10"/>
      <c r="G229" s="10"/>
      <c r="H229" s="10"/>
      <c r="I229" s="10" t="str">
        <f>IF(pts_traje!$I229&lt;&gt;0,(ROUND(pts_traje!$I229+(pts_traje!$I229*0.02*pts_traje!$H229/1000),0)),"")</f>
        <v/>
      </c>
      <c r="J229" s="10"/>
    </row>
    <row r="230">
      <c r="A230" s="1" t="str">
        <f>IFNA(right(VLOOKUP(pts_traje!$A230,trj!$B$2:$D1000,3,FALSE),4),"")</f>
        <v/>
      </c>
      <c r="B230" s="10"/>
      <c r="C230" s="10"/>
      <c r="D230" s="1" t="str">
        <f>IFNA(VLOOKUP(pts_traje!$D230,FIX!$A$2:$D1000,4,FALSE),"")</f>
        <v/>
      </c>
      <c r="E230" s="10"/>
      <c r="F230" s="10"/>
      <c r="G230" s="10"/>
      <c r="H230" s="10"/>
      <c r="I230" s="10" t="str">
        <f>IF(pts_traje!$I230&lt;&gt;0,(ROUND(pts_traje!$I230+(pts_traje!$I230*0.02*pts_traje!$H230/1000),0)),"")</f>
        <v/>
      </c>
      <c r="J230" s="10"/>
    </row>
    <row r="231">
      <c r="A231" s="1" t="str">
        <f>IFNA(right(VLOOKUP(pts_traje!$A231,trj!$B$2:$D1000,3,FALSE),4),"")</f>
        <v/>
      </c>
      <c r="B231" s="10"/>
      <c r="C231" s="10"/>
      <c r="D231" s="1" t="str">
        <f>IFNA(VLOOKUP(pts_traje!$D231,FIX!$A$2:$D1000,4,FALSE),"")</f>
        <v/>
      </c>
      <c r="E231" s="10"/>
      <c r="F231" s="10"/>
      <c r="G231" s="10"/>
      <c r="H231" s="10"/>
      <c r="I231" s="10" t="str">
        <f>IF(pts_traje!$I231&lt;&gt;0,(ROUND(pts_traje!$I231+(pts_traje!$I231*0.02*pts_traje!$H231/1000),0)),"")</f>
        <v/>
      </c>
      <c r="J231" s="10"/>
    </row>
    <row r="232">
      <c r="A232" s="1" t="str">
        <f>IFNA(right(VLOOKUP(pts_traje!$A232,trj!$B$2:$D1000,3,FALSE),4),"")</f>
        <v/>
      </c>
      <c r="B232" s="10"/>
      <c r="C232" s="10"/>
      <c r="D232" s="1" t="str">
        <f>IFNA(VLOOKUP(pts_traje!$D232,FIX!$A$2:$D1000,4,FALSE),"")</f>
        <v/>
      </c>
      <c r="E232" s="10"/>
      <c r="F232" s="10"/>
      <c r="G232" s="10"/>
      <c r="H232" s="10"/>
      <c r="I232" s="10" t="str">
        <f>IF(pts_traje!$I232&lt;&gt;0,(ROUND(pts_traje!$I232+(pts_traje!$I232*0.02*pts_traje!$H232/1000),0)),"")</f>
        <v/>
      </c>
      <c r="J232" s="10"/>
    </row>
    <row r="233">
      <c r="A233" s="1" t="str">
        <f>IFNA(right(VLOOKUP(pts_traje!$A233,trj!$B$2:$D1000,3,FALSE),4),"")</f>
        <v/>
      </c>
      <c r="B233" s="10"/>
      <c r="C233" s="10"/>
      <c r="D233" s="1" t="str">
        <f>IFNA(VLOOKUP(pts_traje!$D233,FIX!$A$2:$D1000,4,FALSE),"")</f>
        <v/>
      </c>
      <c r="E233" s="10"/>
      <c r="F233" s="10"/>
      <c r="G233" s="10"/>
      <c r="H233" s="10"/>
      <c r="I233" s="10" t="str">
        <f>IF(pts_traje!$I233&lt;&gt;0,(ROUND(pts_traje!$I233+(pts_traje!$I233*0.02*pts_traje!$H233/1000),0)),"")</f>
        <v/>
      </c>
      <c r="J233" s="10"/>
    </row>
    <row r="234">
      <c r="A234" s="1" t="str">
        <f>IFNA(right(VLOOKUP(pts_traje!$A234,trj!$B$2:$D1000,3,FALSE),4),"")</f>
        <v/>
      </c>
      <c r="B234" s="10"/>
      <c r="C234" s="10"/>
      <c r="D234" s="1" t="str">
        <f>IFNA(VLOOKUP(pts_traje!$D234,FIX!$A$2:$D1000,4,FALSE),"")</f>
        <v/>
      </c>
      <c r="E234" s="10"/>
      <c r="F234" s="10"/>
      <c r="G234" s="10"/>
      <c r="H234" s="10"/>
      <c r="I234" s="10" t="str">
        <f>IF(pts_traje!$I234&lt;&gt;0,(ROUND(pts_traje!$I234+(pts_traje!$I234*0.02*pts_traje!$H234/1000),0)),"")</f>
        <v/>
      </c>
      <c r="J234" s="10"/>
    </row>
    <row r="235">
      <c r="A235" s="1" t="str">
        <f>IFNA(right(VLOOKUP(pts_traje!$A235,trj!$B$2:$D1000,3,FALSE),4),"")</f>
        <v/>
      </c>
      <c r="B235" s="10"/>
      <c r="C235" s="10"/>
      <c r="D235" s="1" t="str">
        <f>IFNA(VLOOKUP(pts_traje!$D235,FIX!$A$2:$D1000,4,FALSE),"")</f>
        <v/>
      </c>
      <c r="E235" s="10"/>
      <c r="F235" s="10"/>
      <c r="G235" s="10"/>
      <c r="H235" s="10"/>
      <c r="I235" s="10" t="str">
        <f>IF(pts_traje!$I235&lt;&gt;0,(ROUND(pts_traje!$I235+(pts_traje!$I235*0.02*pts_traje!$H235/1000),0)),"")</f>
        <v/>
      </c>
      <c r="J235" s="10"/>
    </row>
    <row r="236">
      <c r="A236" s="1" t="str">
        <f>IFNA(right(VLOOKUP(pts_traje!$A236,trj!$B$2:$D1000,3,FALSE),4),"")</f>
        <v/>
      </c>
      <c r="B236" s="10"/>
      <c r="C236" s="10"/>
      <c r="D236" s="1" t="str">
        <f>IFNA(VLOOKUP(pts_traje!$D236,FIX!$A$2:$D1000,4,FALSE),"")</f>
        <v/>
      </c>
      <c r="E236" s="10"/>
      <c r="F236" s="10"/>
      <c r="G236" s="10"/>
      <c r="H236" s="10"/>
      <c r="I236" s="10" t="str">
        <f>IF(pts_traje!$I236&lt;&gt;0,(ROUND(pts_traje!$I236+(pts_traje!$I236*0.02*pts_traje!$H236/1000),0)),"")</f>
        <v/>
      </c>
      <c r="J236" s="10"/>
    </row>
    <row r="237">
      <c r="A237" s="1" t="str">
        <f>IFNA(right(VLOOKUP(pts_traje!$A237,trj!$B$2:$D1000,3,FALSE),4),"")</f>
        <v/>
      </c>
      <c r="B237" s="10"/>
      <c r="C237" s="10"/>
      <c r="D237" s="1" t="str">
        <f>IFNA(VLOOKUP(pts_traje!$D237,FIX!$A$2:$D1000,4,FALSE),"")</f>
        <v/>
      </c>
      <c r="E237" s="10"/>
      <c r="F237" s="10"/>
      <c r="G237" s="10"/>
      <c r="H237" s="10"/>
      <c r="I237" s="10" t="str">
        <f>IF(pts_traje!$I237&lt;&gt;0,(ROUND(pts_traje!$I237+(pts_traje!$I237*0.02*pts_traje!$H237/1000),0)),"")</f>
        <v/>
      </c>
      <c r="J237" s="10"/>
    </row>
    <row r="238">
      <c r="A238" s="1" t="str">
        <f>IFNA(right(VLOOKUP(pts_traje!$A238,trj!$B$2:$D1000,3,FALSE),4),"")</f>
        <v/>
      </c>
      <c r="B238" s="10"/>
      <c r="C238" s="10"/>
      <c r="D238" s="1" t="str">
        <f>IFNA(VLOOKUP(pts_traje!$D238,FIX!$A$2:$D1000,4,FALSE),"")</f>
        <v/>
      </c>
      <c r="E238" s="10"/>
      <c r="F238" s="10"/>
      <c r="G238" s="10"/>
      <c r="H238" s="10"/>
      <c r="I238" s="10" t="str">
        <f>IF(pts_traje!$I238&lt;&gt;0,(ROUND(pts_traje!$I238+(pts_traje!$I238*0.02*pts_traje!$H238/1000),0)),"")</f>
        <v/>
      </c>
      <c r="J238" s="10"/>
    </row>
    <row r="239">
      <c r="A239" s="1" t="str">
        <f>IFNA(right(VLOOKUP(pts_traje!$A239,trj!$B$2:$D1000,3,FALSE),4),"")</f>
        <v/>
      </c>
      <c r="B239" s="10"/>
      <c r="C239" s="10"/>
      <c r="D239" s="1" t="str">
        <f>IFNA(VLOOKUP(pts_traje!$D239,FIX!$A$2:$D1000,4,FALSE),"")</f>
        <v/>
      </c>
      <c r="E239" s="10"/>
      <c r="F239" s="10"/>
      <c r="G239" s="10"/>
      <c r="H239" s="10"/>
      <c r="I239" s="10" t="str">
        <f>IF(pts_traje!$I239&lt;&gt;0,(ROUND(pts_traje!$I239+(pts_traje!$I239*0.02*pts_traje!$H239/1000),0)),"")</f>
        <v/>
      </c>
      <c r="J239" s="10"/>
    </row>
    <row r="240">
      <c r="A240" s="1" t="str">
        <f>IFNA(right(VLOOKUP(pts_traje!$A240,trj!$B$2:$D1000,3,FALSE),4),"")</f>
        <v/>
      </c>
      <c r="B240" s="10"/>
      <c r="C240" s="10"/>
      <c r="D240" s="1" t="str">
        <f>IFNA(VLOOKUP(pts_traje!$D240,FIX!$A$2:$D1000,4,FALSE),"")</f>
        <v/>
      </c>
      <c r="E240" s="10"/>
      <c r="F240" s="10"/>
      <c r="G240" s="10"/>
      <c r="H240" s="10"/>
      <c r="I240" s="10" t="str">
        <f>IF(pts_traje!$I240&lt;&gt;0,(ROUND(pts_traje!$I240+(pts_traje!$I240*0.02*pts_traje!$H240/1000),0)),"")</f>
        <v/>
      </c>
      <c r="J240" s="10"/>
    </row>
    <row r="241">
      <c r="A241" s="1" t="str">
        <f>IFNA(right(VLOOKUP(pts_traje!$A241,trj!$B$2:$D1000,3,FALSE),4),"")</f>
        <v/>
      </c>
      <c r="B241" s="10"/>
      <c r="C241" s="10"/>
      <c r="D241" s="1" t="str">
        <f>IFNA(VLOOKUP(pts_traje!$D241,FIX!$A$2:$D1000,4,FALSE),"")</f>
        <v/>
      </c>
      <c r="E241" s="10"/>
      <c r="F241" s="10"/>
      <c r="G241" s="10"/>
      <c r="H241" s="10"/>
      <c r="I241" s="10" t="str">
        <f>IF(pts_traje!$I241&lt;&gt;0,(ROUND(pts_traje!$I241+(pts_traje!$I241*0.02*pts_traje!$H241/1000),0)),"")</f>
        <v/>
      </c>
      <c r="J241" s="10"/>
    </row>
    <row r="242">
      <c r="A242" s="1" t="str">
        <f>IFNA(right(VLOOKUP(pts_traje!$A242,trj!$B$2:$D1000,3,FALSE),4),"")</f>
        <v/>
      </c>
      <c r="B242" s="10"/>
      <c r="C242" s="10"/>
      <c r="D242" s="1" t="str">
        <f>IFNA(VLOOKUP(pts_traje!$D242,FIX!$A$2:$D1000,4,FALSE),"")</f>
        <v/>
      </c>
      <c r="E242" s="10"/>
      <c r="F242" s="10"/>
      <c r="G242" s="10"/>
      <c r="H242" s="10"/>
      <c r="I242" s="10" t="str">
        <f>IF(pts_traje!$I242&lt;&gt;0,(ROUND(pts_traje!$I242+(pts_traje!$I242*0.02*pts_traje!$H242/1000),0)),"")</f>
        <v/>
      </c>
      <c r="J242" s="10"/>
    </row>
    <row r="243">
      <c r="A243" s="1" t="str">
        <f>IFNA(right(VLOOKUP(pts_traje!$A243,trj!$B$2:$D1000,3,FALSE),4),"")</f>
        <v/>
      </c>
      <c r="B243" s="10"/>
      <c r="C243" s="10"/>
      <c r="D243" s="1" t="str">
        <f>IFNA(VLOOKUP(pts_traje!$D243,FIX!$A$2:$D1000,4,FALSE),"")</f>
        <v/>
      </c>
      <c r="E243" s="10"/>
      <c r="F243" s="10"/>
      <c r="G243" s="10"/>
      <c r="H243" s="10"/>
      <c r="I243" s="10" t="str">
        <f>IF(pts_traje!$I243&lt;&gt;0,(ROUND(pts_traje!$I243+(pts_traje!$I243*0.02*pts_traje!$H243/1000),0)),"")</f>
        <v/>
      </c>
      <c r="J243" s="10"/>
    </row>
    <row r="244">
      <c r="A244" s="1" t="str">
        <f>IFNA(right(VLOOKUP(pts_traje!$A244,trj!$B$2:$D1000,3,FALSE),4),"")</f>
        <v/>
      </c>
      <c r="B244" s="10"/>
      <c r="C244" s="10"/>
      <c r="D244" s="1" t="str">
        <f>IFNA(VLOOKUP(pts_traje!$D244,FIX!$A$2:$D1000,4,FALSE),"")</f>
        <v/>
      </c>
      <c r="E244" s="10"/>
      <c r="F244" s="10"/>
      <c r="G244" s="10"/>
      <c r="H244" s="10"/>
      <c r="I244" s="10" t="str">
        <f>IF(pts_traje!$I244&lt;&gt;0,(ROUND(pts_traje!$I244+(pts_traje!$I244*0.02*pts_traje!$H244/1000),0)),"")</f>
        <v/>
      </c>
      <c r="J244" s="10"/>
    </row>
    <row r="245">
      <c r="A245" s="1" t="str">
        <f>IFNA(right(VLOOKUP(pts_traje!$A245,trj!$B$2:$D1000,3,FALSE),4),"")</f>
        <v/>
      </c>
      <c r="B245" s="10"/>
      <c r="C245" s="10"/>
      <c r="D245" s="1" t="str">
        <f>IFNA(VLOOKUP(pts_traje!$D245,FIX!$A$2:$D1000,4,FALSE),"")</f>
        <v/>
      </c>
      <c r="E245" s="10"/>
      <c r="F245" s="10"/>
      <c r="G245" s="10"/>
      <c r="H245" s="10"/>
      <c r="I245" s="10" t="str">
        <f>IF(pts_traje!$I245&lt;&gt;0,(ROUND(pts_traje!$I245+(pts_traje!$I245*0.02*pts_traje!$H245/1000),0)),"")</f>
        <v/>
      </c>
      <c r="J245" s="10"/>
    </row>
    <row r="246">
      <c r="A246" s="1" t="str">
        <f>IFNA(right(VLOOKUP(pts_traje!$A246,trj!$B$2:$D1000,3,FALSE),4),"")</f>
        <v/>
      </c>
      <c r="B246" s="10"/>
      <c r="C246" s="10"/>
      <c r="D246" s="1" t="str">
        <f>IFNA(VLOOKUP(pts_traje!$D246,FIX!$A$2:$D1000,4,FALSE),"")</f>
        <v/>
      </c>
      <c r="E246" s="10"/>
      <c r="F246" s="10"/>
      <c r="G246" s="10"/>
      <c r="H246" s="10"/>
      <c r="I246" s="10" t="str">
        <f>IF(pts_traje!$I246&lt;&gt;0,(ROUND(pts_traje!$I246+(pts_traje!$I246*0.02*pts_traje!$H246/1000),0)),"")</f>
        <v/>
      </c>
      <c r="J246" s="10"/>
    </row>
    <row r="247">
      <c r="A247" s="1" t="str">
        <f>IFNA(right(VLOOKUP(pts_traje!$A247,trj!$B$2:$D1000,3,FALSE),4),"")</f>
        <v/>
      </c>
      <c r="B247" s="10"/>
      <c r="C247" s="10"/>
      <c r="D247" s="1" t="str">
        <f>IFNA(VLOOKUP(pts_traje!$D247,FIX!$A$2:$D1000,4,FALSE),"")</f>
        <v/>
      </c>
      <c r="E247" s="10"/>
      <c r="F247" s="10"/>
      <c r="G247" s="10"/>
      <c r="H247" s="10"/>
      <c r="I247" s="10" t="str">
        <f>IF(pts_traje!$I247&lt;&gt;0,(ROUND(pts_traje!$I247+(pts_traje!$I247*0.02*pts_traje!$H247/1000),0)),"")</f>
        <v/>
      </c>
      <c r="J247" s="10"/>
    </row>
    <row r="248">
      <c r="A248" s="1" t="str">
        <f>IFNA(right(VLOOKUP(pts_traje!$A248,trj!$B$2:$D1000,3,FALSE),4),"")</f>
        <v/>
      </c>
      <c r="B248" s="10"/>
      <c r="C248" s="10"/>
      <c r="D248" s="1" t="str">
        <f>IFNA(VLOOKUP(pts_traje!$D248,FIX!$A$2:$D1000,4,FALSE),"")</f>
        <v/>
      </c>
      <c r="E248" s="10"/>
      <c r="F248" s="10"/>
      <c r="G248" s="10"/>
      <c r="H248" s="10"/>
      <c r="I248" s="10" t="str">
        <f>IF(pts_traje!$I248&lt;&gt;0,(ROUND(pts_traje!$I248+(pts_traje!$I248*0.02*pts_traje!$H248/1000),0)),"")</f>
        <v/>
      </c>
      <c r="J248" s="10"/>
    </row>
    <row r="249">
      <c r="A249" s="1" t="str">
        <f>IFNA(right(VLOOKUP(pts_traje!$A249,trj!$B$2:$D1000,3,FALSE),4),"")</f>
        <v/>
      </c>
      <c r="B249" s="10"/>
      <c r="C249" s="10"/>
      <c r="D249" s="1" t="str">
        <f>IFNA(VLOOKUP(pts_traje!$D249,FIX!$A$2:$D1000,4,FALSE),"")</f>
        <v/>
      </c>
      <c r="E249" s="10"/>
      <c r="F249" s="10"/>
      <c r="G249" s="10"/>
      <c r="H249" s="10"/>
      <c r="I249" s="10" t="str">
        <f>IF(pts_traje!$I249&lt;&gt;0,(ROUND(pts_traje!$I249+(pts_traje!$I249*0.02*pts_traje!$H249/1000),0)),"")</f>
        <v/>
      </c>
      <c r="J249" s="10"/>
    </row>
    <row r="250">
      <c r="A250" s="1" t="str">
        <f>IFNA(right(VLOOKUP(pts_traje!$A250,trj!$B$2:$D1000,3,FALSE),4),"")</f>
        <v/>
      </c>
      <c r="B250" s="10"/>
      <c r="C250" s="10"/>
      <c r="D250" s="1" t="str">
        <f>IFNA(VLOOKUP(pts_traje!$D250,FIX!$A$2:$D1000,4,FALSE),"")</f>
        <v/>
      </c>
      <c r="E250" s="10"/>
      <c r="F250" s="10"/>
      <c r="G250" s="10"/>
      <c r="H250" s="10"/>
      <c r="I250" s="10" t="str">
        <f>IF(pts_traje!$I250&lt;&gt;0,(ROUND(pts_traje!$I250+(pts_traje!$I250*0.02*pts_traje!$H250/1000),0)),"")</f>
        <v/>
      </c>
      <c r="J250" s="10"/>
    </row>
    <row r="251">
      <c r="A251" s="1" t="str">
        <f>IFNA(right(VLOOKUP(pts_traje!$A251,trj!$B$2:$D1000,3,FALSE),4),"")</f>
        <v/>
      </c>
      <c r="B251" s="10"/>
      <c r="C251" s="10"/>
      <c r="D251" s="1" t="str">
        <f>IFNA(VLOOKUP(pts_traje!$D251,FIX!$A$2:$D1000,4,FALSE),"")</f>
        <v/>
      </c>
      <c r="E251" s="10"/>
      <c r="F251" s="10"/>
      <c r="G251" s="10"/>
      <c r="H251" s="10"/>
      <c r="I251" s="10" t="str">
        <f>IF(pts_traje!$I251&lt;&gt;0,(ROUND(pts_traje!$I251+(pts_traje!$I251*0.02*pts_traje!$H251/1000),0)),"")</f>
        <v/>
      </c>
      <c r="J251" s="10"/>
    </row>
    <row r="252">
      <c r="A252" s="1" t="str">
        <f>IFNA(right(VLOOKUP(pts_traje!$A252,trj!$B$2:$D1000,3,FALSE),4),"")</f>
        <v/>
      </c>
      <c r="B252" s="10"/>
      <c r="C252" s="10"/>
      <c r="D252" s="1" t="str">
        <f>IFNA(VLOOKUP(pts_traje!$D252,FIX!$A$2:$D1000,4,FALSE),"")</f>
        <v/>
      </c>
      <c r="E252" s="10"/>
      <c r="F252" s="10"/>
      <c r="G252" s="10"/>
      <c r="H252" s="10"/>
      <c r="I252" s="10" t="str">
        <f>IF(pts_traje!$I252&lt;&gt;0,(ROUND(pts_traje!$I252+(pts_traje!$I252*0.02*pts_traje!$H252/1000),0)),"")</f>
        <v/>
      </c>
      <c r="J252" s="10"/>
    </row>
    <row r="253">
      <c r="A253" s="1" t="str">
        <f>IFNA(right(VLOOKUP(pts_traje!$A253,trj!$B$2:$D1000,3,FALSE),4),"")</f>
        <v/>
      </c>
      <c r="B253" s="10"/>
      <c r="C253" s="10"/>
      <c r="D253" s="1" t="str">
        <f>IFNA(VLOOKUP(pts_traje!$D253,FIX!$A$2:$D1000,4,FALSE),"")</f>
        <v/>
      </c>
      <c r="E253" s="10"/>
      <c r="F253" s="10"/>
      <c r="G253" s="10"/>
      <c r="H253" s="10"/>
      <c r="I253" s="10" t="str">
        <f>IF(pts_traje!$I253&lt;&gt;0,(ROUND(pts_traje!$I253+(pts_traje!$I253*0.02*pts_traje!$H253/1000),0)),"")</f>
        <v/>
      </c>
      <c r="J253" s="10"/>
    </row>
    <row r="254">
      <c r="A254" s="1" t="str">
        <f>IFNA(right(VLOOKUP(pts_traje!$A254,trj!$B$2:$D1000,3,FALSE),4),"")</f>
        <v/>
      </c>
      <c r="B254" s="10"/>
      <c r="C254" s="10"/>
      <c r="D254" s="1" t="str">
        <f>IFNA(VLOOKUP(pts_traje!$D254,FIX!$A$2:$D1000,4,FALSE),"")</f>
        <v/>
      </c>
      <c r="E254" s="10"/>
      <c r="F254" s="10"/>
      <c r="G254" s="10"/>
      <c r="H254" s="10"/>
      <c r="I254" s="10" t="str">
        <f>IF(pts_traje!$I254&lt;&gt;0,(ROUND(pts_traje!$I254+(pts_traje!$I254*0.02*pts_traje!$H254/1000),0)),"")</f>
        <v/>
      </c>
      <c r="J254" s="10"/>
    </row>
    <row r="255">
      <c r="A255" s="1" t="str">
        <f>IFNA(right(VLOOKUP(pts_traje!$A255,trj!$B$2:$D1000,3,FALSE),4),"")</f>
        <v/>
      </c>
      <c r="B255" s="10"/>
      <c r="C255" s="10"/>
      <c r="D255" s="1" t="str">
        <f>IFNA(VLOOKUP(pts_traje!$D255,FIX!$A$2:$D1000,4,FALSE),"")</f>
        <v/>
      </c>
      <c r="E255" s="10"/>
      <c r="F255" s="10"/>
      <c r="G255" s="10"/>
      <c r="H255" s="10"/>
      <c r="I255" s="10" t="str">
        <f>IF(pts_traje!$I255&lt;&gt;0,(ROUND(pts_traje!$I255+(pts_traje!$I255*0.02*pts_traje!$H255/1000),0)),"")</f>
        <v/>
      </c>
      <c r="J255" s="10"/>
    </row>
    <row r="256">
      <c r="A256" s="1" t="str">
        <f>IFNA(right(VLOOKUP(pts_traje!$A256,trj!$B$2:$D1000,3,FALSE),4),"")</f>
        <v/>
      </c>
      <c r="B256" s="10"/>
      <c r="C256" s="10"/>
      <c r="D256" s="1" t="str">
        <f>IFNA(VLOOKUP(pts_traje!$D256,FIX!$A$2:$D1000,4,FALSE),"")</f>
        <v/>
      </c>
      <c r="E256" s="10"/>
      <c r="F256" s="10"/>
      <c r="G256" s="10"/>
      <c r="H256" s="10"/>
      <c r="I256" s="10" t="str">
        <f>IF(pts_traje!$I256&lt;&gt;0,(ROUND(pts_traje!$I256+(pts_traje!$I256*0.02*pts_traje!$H256/1000),0)),"")</f>
        <v/>
      </c>
      <c r="J256" s="10"/>
    </row>
    <row r="257">
      <c r="A257" s="1" t="str">
        <f>IFNA(right(VLOOKUP(pts_traje!$A257,trj!$B$2:$D1000,3,FALSE),4),"")</f>
        <v/>
      </c>
      <c r="B257" s="10"/>
      <c r="C257" s="10"/>
      <c r="D257" s="1" t="str">
        <f>IFNA(VLOOKUP(pts_traje!$D257,FIX!$A$2:$D1000,4,FALSE),"")</f>
        <v/>
      </c>
      <c r="E257" s="10"/>
      <c r="F257" s="10"/>
      <c r="G257" s="10"/>
      <c r="H257" s="10"/>
      <c r="I257" s="10" t="str">
        <f>IF(pts_traje!$I257&lt;&gt;0,(ROUND(pts_traje!$I257+(pts_traje!$I257*0.02*pts_traje!$H257/1000),0)),"")</f>
        <v/>
      </c>
      <c r="J257" s="10"/>
    </row>
    <row r="258">
      <c r="A258" s="1" t="str">
        <f>IFNA(right(VLOOKUP(pts_traje!$A258,trj!$B$2:$D1000,3,FALSE),4),"")</f>
        <v/>
      </c>
      <c r="B258" s="10"/>
      <c r="C258" s="10"/>
      <c r="D258" s="1" t="str">
        <f>IFNA(VLOOKUP(pts_traje!$D258,FIX!$A$2:$D1000,4,FALSE),"")</f>
        <v/>
      </c>
      <c r="E258" s="10"/>
      <c r="F258" s="10"/>
      <c r="G258" s="10"/>
      <c r="H258" s="10"/>
      <c r="I258" s="10" t="str">
        <f>IF(pts_traje!$I258&lt;&gt;0,(ROUND(pts_traje!$I258+(pts_traje!$I258*0.02*pts_traje!$H258/1000),0)),"")</f>
        <v/>
      </c>
      <c r="J258" s="10"/>
    </row>
    <row r="259">
      <c r="A259" s="1" t="str">
        <f>IFNA(right(VLOOKUP(pts_traje!$A259,trj!$B$2:$D1000,3,FALSE),4),"")</f>
        <v/>
      </c>
      <c r="B259" s="10"/>
      <c r="C259" s="10"/>
      <c r="D259" s="1" t="str">
        <f>IFNA(VLOOKUP(pts_traje!$D259,FIX!$A$2:$D1000,4,FALSE),"")</f>
        <v/>
      </c>
      <c r="E259" s="10"/>
      <c r="F259" s="10"/>
      <c r="G259" s="10"/>
      <c r="H259" s="10"/>
      <c r="I259" s="10" t="str">
        <f>IF(pts_traje!$I259&lt;&gt;0,(ROUND(pts_traje!$I259+(pts_traje!$I259*0.02*pts_traje!$H259/1000),0)),"")</f>
        <v/>
      </c>
      <c r="J259" s="10"/>
    </row>
    <row r="260">
      <c r="A260" s="1" t="str">
        <f>IFNA(right(VLOOKUP(pts_traje!$A260,trj!$B$2:$D1000,3,FALSE),4),"")</f>
        <v/>
      </c>
      <c r="B260" s="10"/>
      <c r="C260" s="10"/>
      <c r="D260" s="1" t="str">
        <f>IFNA(VLOOKUP(pts_traje!$D260,FIX!$A$2:$D1000,4,FALSE),"")</f>
        <v/>
      </c>
      <c r="E260" s="10"/>
      <c r="F260" s="10"/>
      <c r="G260" s="10"/>
      <c r="H260" s="10"/>
      <c r="I260" s="10" t="str">
        <f>IF(pts_traje!$I260&lt;&gt;0,(ROUND(pts_traje!$I260+(pts_traje!$I260*0.02*pts_traje!$H260/1000),0)),"")</f>
        <v/>
      </c>
      <c r="J260" s="10"/>
    </row>
    <row r="261">
      <c r="A261" s="1" t="str">
        <f>IFNA(right(VLOOKUP(pts_traje!$A261,trj!$B$2:$D1000,3,FALSE),4),"")</f>
        <v/>
      </c>
      <c r="B261" s="10"/>
      <c r="C261" s="10"/>
      <c r="D261" s="1" t="str">
        <f>IFNA(VLOOKUP(pts_traje!$D261,FIX!$A$2:$D1000,4,FALSE),"")</f>
        <v/>
      </c>
      <c r="E261" s="10"/>
      <c r="F261" s="10"/>
      <c r="G261" s="10"/>
      <c r="H261" s="10"/>
      <c r="I261" s="10" t="str">
        <f>IF(pts_traje!$I261&lt;&gt;0,(ROUND(pts_traje!$I261+(pts_traje!$I261*0.02*pts_traje!$H261/1000),0)),"")</f>
        <v/>
      </c>
      <c r="J261" s="10"/>
    </row>
    <row r="262">
      <c r="A262" s="1" t="str">
        <f>IFNA(right(VLOOKUP(pts_traje!$A262,trj!$B$2:$D1000,3,FALSE),4),"")</f>
        <v/>
      </c>
      <c r="B262" s="10"/>
      <c r="C262" s="10"/>
      <c r="D262" s="1" t="str">
        <f>IFNA(VLOOKUP(pts_traje!$D262,FIX!$A$2:$D1000,4,FALSE),"")</f>
        <v/>
      </c>
      <c r="E262" s="10"/>
      <c r="F262" s="10"/>
      <c r="G262" s="10"/>
      <c r="H262" s="10"/>
      <c r="I262" s="10" t="str">
        <f>IF(pts_traje!$I262&lt;&gt;0,(ROUND(pts_traje!$I262+(pts_traje!$I262*0.02*pts_traje!$H262/1000),0)),"")</f>
        <v/>
      </c>
      <c r="J262" s="10"/>
    </row>
    <row r="263">
      <c r="A263" s="1" t="str">
        <f>IFNA(right(VLOOKUP(pts_traje!$A263,trj!$B$2:$D1000,3,FALSE),4),"")</f>
        <v/>
      </c>
      <c r="B263" s="10"/>
      <c r="C263" s="10"/>
      <c r="D263" s="1" t="str">
        <f>IFNA(VLOOKUP(pts_traje!$D263,FIX!$A$2:$D1000,4,FALSE),"")</f>
        <v/>
      </c>
      <c r="E263" s="10"/>
      <c r="F263" s="10"/>
      <c r="G263" s="10"/>
      <c r="H263" s="10"/>
      <c r="I263" s="10" t="str">
        <f>IF(pts_traje!$I263&lt;&gt;0,(ROUND(pts_traje!$I263+(pts_traje!$I263*0.02*pts_traje!$H263/1000),0)),"")</f>
        <v/>
      </c>
      <c r="J263" s="10"/>
    </row>
    <row r="264">
      <c r="A264" s="1" t="str">
        <f>IFNA(right(VLOOKUP(pts_traje!$A264,trj!$B$2:$D1000,3,FALSE),4),"")</f>
        <v/>
      </c>
      <c r="B264" s="10"/>
      <c r="C264" s="10"/>
      <c r="D264" s="1" t="str">
        <f>IFNA(VLOOKUP(pts_traje!$D264,FIX!$A$2:$D1000,4,FALSE),"")</f>
        <v/>
      </c>
      <c r="E264" s="10"/>
      <c r="F264" s="10"/>
      <c r="G264" s="10"/>
      <c r="H264" s="10"/>
      <c r="I264" s="10" t="str">
        <f>IF(pts_traje!$I264&lt;&gt;0,(ROUND(pts_traje!$I264+(pts_traje!$I264*0.02*pts_traje!$H264/1000),0)),"")</f>
        <v/>
      </c>
      <c r="J264" s="10"/>
    </row>
    <row r="265">
      <c r="A265" s="1" t="str">
        <f>IFNA(right(VLOOKUP(pts_traje!$A265,trj!$B$2:$D1000,3,FALSE),4),"")</f>
        <v/>
      </c>
      <c r="B265" s="10"/>
      <c r="C265" s="10"/>
      <c r="D265" s="1" t="str">
        <f>IFNA(VLOOKUP(pts_traje!$D265,FIX!$A$2:$D1000,4,FALSE),"")</f>
        <v/>
      </c>
      <c r="E265" s="10"/>
      <c r="F265" s="10"/>
      <c r="G265" s="10"/>
      <c r="H265" s="10"/>
      <c r="I265" s="10" t="str">
        <f>IF(pts_traje!$I265&lt;&gt;0,(ROUND(pts_traje!$I265+(pts_traje!$I265*0.02*pts_traje!$H265/1000),0)),"")</f>
        <v/>
      </c>
      <c r="J265" s="10"/>
    </row>
    <row r="266">
      <c r="A266" s="1" t="str">
        <f>IFNA(right(VLOOKUP(pts_traje!$A266,trj!$B$2:$D1000,3,FALSE),4),"")</f>
        <v/>
      </c>
      <c r="B266" s="10"/>
      <c r="C266" s="10"/>
      <c r="D266" s="1" t="str">
        <f>IFNA(VLOOKUP(pts_traje!$D266,FIX!$A$2:$D1000,4,FALSE),"")</f>
        <v/>
      </c>
      <c r="E266" s="10"/>
      <c r="F266" s="10"/>
      <c r="G266" s="10"/>
      <c r="H266" s="10"/>
      <c r="I266" s="10" t="str">
        <f>IF(pts_traje!$I266&lt;&gt;0,(ROUND(pts_traje!$I266+(pts_traje!$I266*0.02*pts_traje!$H266/1000),0)),"")</f>
        <v/>
      </c>
      <c r="J266" s="10"/>
    </row>
    <row r="267">
      <c r="A267" s="1" t="str">
        <f>IFNA(right(VLOOKUP(pts_traje!$A267,trj!$B$2:$D1000,3,FALSE),4),"")</f>
        <v/>
      </c>
      <c r="B267" s="10"/>
      <c r="C267" s="10"/>
      <c r="D267" s="1" t="str">
        <f>IFNA(VLOOKUP(pts_traje!$D267,FIX!$A$2:$D1000,4,FALSE),"")</f>
        <v/>
      </c>
      <c r="E267" s="10"/>
      <c r="F267" s="10"/>
      <c r="G267" s="10"/>
      <c r="H267" s="10"/>
      <c r="I267" s="10" t="str">
        <f>IF(pts_traje!$I267&lt;&gt;0,(ROUND(pts_traje!$I267+(pts_traje!$I267*0.02*pts_traje!$H267/1000),0)),"")</f>
        <v/>
      </c>
      <c r="J267" s="10"/>
    </row>
    <row r="268">
      <c r="A268" s="1" t="str">
        <f>IFNA(right(VLOOKUP(pts_traje!$A268,trj!$B$2:$D1000,3,FALSE),4),"")</f>
        <v/>
      </c>
      <c r="B268" s="10"/>
      <c r="C268" s="10"/>
      <c r="D268" s="1" t="str">
        <f>IFNA(VLOOKUP(pts_traje!$D268,FIX!$A$2:$D1000,4,FALSE),"")</f>
        <v/>
      </c>
      <c r="E268" s="10"/>
      <c r="F268" s="10"/>
      <c r="G268" s="10"/>
      <c r="H268" s="10"/>
      <c r="I268" s="10" t="str">
        <f>IF(pts_traje!$I268&lt;&gt;0,(ROUND(pts_traje!$I268+(pts_traje!$I268*0.02*pts_traje!$H268/1000),0)),"")</f>
        <v/>
      </c>
      <c r="J268" s="10"/>
    </row>
    <row r="269">
      <c r="A269" s="1" t="str">
        <f>IFNA(right(VLOOKUP(pts_traje!$A269,trj!$B$2:$D1000,3,FALSE),4),"")</f>
        <v/>
      </c>
      <c r="B269" s="10"/>
      <c r="C269" s="10"/>
      <c r="D269" s="1" t="str">
        <f>IFNA(VLOOKUP(pts_traje!$D269,FIX!$A$2:$D1000,4,FALSE),"")</f>
        <v/>
      </c>
      <c r="E269" s="10"/>
      <c r="F269" s="10"/>
      <c r="G269" s="10"/>
      <c r="H269" s="10"/>
      <c r="I269" s="10" t="str">
        <f>IF(pts_traje!$I269&lt;&gt;0,(ROUND(pts_traje!$I269+(pts_traje!$I269*0.02*pts_traje!$H269/1000),0)),"")</f>
        <v/>
      </c>
      <c r="J269" s="10"/>
    </row>
    <row r="270">
      <c r="A270" s="1" t="str">
        <f>IFNA(right(VLOOKUP(pts_traje!$A270,trj!$B$2:$D1000,3,FALSE),4),"")</f>
        <v/>
      </c>
      <c r="B270" s="10"/>
      <c r="C270" s="10"/>
      <c r="D270" s="1" t="str">
        <f>IFNA(VLOOKUP(pts_traje!$D270,FIX!$A$2:$D1000,4,FALSE),"")</f>
        <v/>
      </c>
      <c r="E270" s="10"/>
      <c r="F270" s="10"/>
      <c r="G270" s="10"/>
      <c r="H270" s="10"/>
      <c r="I270" s="10" t="str">
        <f>IF(pts_traje!$I270&lt;&gt;0,(ROUND(pts_traje!$I270+(pts_traje!$I270*0.02*pts_traje!$H270/1000),0)),"")</f>
        <v/>
      </c>
      <c r="J270" s="10"/>
    </row>
    <row r="271">
      <c r="A271" s="1" t="str">
        <f>IFNA(right(VLOOKUP(pts_traje!$A271,trj!$B$2:$D1000,3,FALSE),4),"")</f>
        <v/>
      </c>
      <c r="B271" s="10"/>
      <c r="C271" s="10"/>
      <c r="D271" s="1" t="str">
        <f>IFNA(VLOOKUP(pts_traje!$D271,FIX!$A$2:$D1000,4,FALSE),"")</f>
        <v/>
      </c>
      <c r="E271" s="10"/>
      <c r="F271" s="10"/>
      <c r="G271" s="10"/>
      <c r="H271" s="10"/>
      <c r="I271" s="10" t="str">
        <f>IF(pts_traje!$I271&lt;&gt;0,(ROUND(pts_traje!$I271+(pts_traje!$I271*0.02*pts_traje!$H271/1000),0)),"")</f>
        <v/>
      </c>
      <c r="J271" s="10"/>
    </row>
    <row r="272">
      <c r="A272" s="1" t="str">
        <f>IFNA(right(VLOOKUP(pts_traje!$A272,trj!$B$2:$D1000,3,FALSE),4),"")</f>
        <v/>
      </c>
      <c r="B272" s="10"/>
      <c r="C272" s="10"/>
      <c r="D272" s="1" t="str">
        <f>IFNA(VLOOKUP(pts_traje!$D272,FIX!$A$2:$D1000,4,FALSE),"")</f>
        <v/>
      </c>
      <c r="E272" s="10"/>
      <c r="F272" s="10"/>
      <c r="G272" s="10"/>
      <c r="H272" s="10"/>
      <c r="I272" s="10" t="str">
        <f>IF(pts_traje!$I272&lt;&gt;0,(ROUND(pts_traje!$I272+(pts_traje!$I272*0.02*pts_traje!$H272/1000),0)),"")</f>
        <v/>
      </c>
      <c r="J272" s="10"/>
    </row>
    <row r="273">
      <c r="A273" s="1" t="str">
        <f>IFNA(right(VLOOKUP(pts_traje!$A273,trj!$B$2:$D1000,3,FALSE),4),"")</f>
        <v/>
      </c>
      <c r="B273" s="10"/>
      <c r="C273" s="10"/>
      <c r="D273" s="1" t="str">
        <f>IFNA(VLOOKUP(pts_traje!$D273,FIX!$A$2:$D1000,4,FALSE),"")</f>
        <v/>
      </c>
      <c r="E273" s="10"/>
      <c r="F273" s="10"/>
      <c r="G273" s="10"/>
      <c r="H273" s="10"/>
      <c r="I273" s="10" t="str">
        <f>IF(pts_traje!$I273&lt;&gt;0,(ROUND(pts_traje!$I273+(pts_traje!$I273*0.02*pts_traje!$H273/1000),0)),"")</f>
        <v/>
      </c>
      <c r="J273" s="10"/>
    </row>
    <row r="274">
      <c r="A274" s="1" t="str">
        <f>IFNA(right(VLOOKUP(pts_traje!$A274,trj!$B$2:$D1000,3,FALSE),4),"")</f>
        <v/>
      </c>
      <c r="B274" s="10"/>
      <c r="C274" s="10"/>
      <c r="D274" s="1" t="str">
        <f>IFNA(VLOOKUP(pts_traje!$D274,FIX!$A$2:$D1000,4,FALSE),"")</f>
        <v/>
      </c>
      <c r="E274" s="10"/>
      <c r="F274" s="10"/>
      <c r="G274" s="10"/>
      <c r="H274" s="10"/>
      <c r="I274" s="10" t="str">
        <f>IF(pts_traje!$I274&lt;&gt;0,(ROUND(pts_traje!$I274+(pts_traje!$I274*0.02*pts_traje!$H274/1000),0)),"")</f>
        <v/>
      </c>
      <c r="J274" s="10"/>
    </row>
    <row r="275">
      <c r="A275" s="1" t="str">
        <f>IFNA(right(VLOOKUP(pts_traje!$A275,trj!$B$2:$D1000,3,FALSE),4),"")</f>
        <v/>
      </c>
      <c r="B275" s="10"/>
      <c r="C275" s="10"/>
      <c r="D275" s="1" t="str">
        <f>IFNA(VLOOKUP(pts_traje!$D275,FIX!$A$2:$D1000,4,FALSE),"")</f>
        <v/>
      </c>
      <c r="E275" s="10"/>
      <c r="F275" s="10"/>
      <c r="G275" s="10"/>
      <c r="H275" s="10"/>
      <c r="I275" s="10" t="str">
        <f>IF(pts_traje!$I275&lt;&gt;0,(ROUND(pts_traje!$I275+(pts_traje!$I275*0.02*pts_traje!$H275/1000),0)),"")</f>
        <v/>
      </c>
      <c r="J275" s="10"/>
    </row>
    <row r="276">
      <c r="A276" s="1" t="str">
        <f>IFNA(right(VLOOKUP(pts_traje!$A276,trj!$B$2:$D1000,3,FALSE),4),"")</f>
        <v/>
      </c>
      <c r="B276" s="10"/>
      <c r="C276" s="10"/>
      <c r="D276" s="1" t="str">
        <f>IFNA(VLOOKUP(pts_traje!$D276,FIX!$A$2:$D1000,4,FALSE),"")</f>
        <v/>
      </c>
      <c r="E276" s="10"/>
      <c r="F276" s="10"/>
      <c r="G276" s="10"/>
      <c r="H276" s="10"/>
      <c r="I276" s="10" t="str">
        <f>IF(pts_traje!$I276&lt;&gt;0,(ROUND(pts_traje!$I276+(pts_traje!$I276*0.02*pts_traje!$H276/1000),0)),"")</f>
        <v/>
      </c>
      <c r="J276" s="10"/>
    </row>
    <row r="277">
      <c r="A277" s="1" t="str">
        <f>IFNA(right(VLOOKUP(pts_traje!$A277,trj!$B$2:$D1000,3,FALSE),4),"")</f>
        <v/>
      </c>
      <c r="B277" s="10"/>
      <c r="C277" s="10"/>
      <c r="D277" s="1" t="str">
        <f>IFNA(VLOOKUP(pts_traje!$D277,FIX!$A$2:$D1000,4,FALSE),"")</f>
        <v/>
      </c>
      <c r="E277" s="10"/>
      <c r="F277" s="10"/>
      <c r="G277" s="10"/>
      <c r="H277" s="10"/>
      <c r="I277" s="10" t="str">
        <f>IF(pts_traje!$I277&lt;&gt;0,(ROUND(pts_traje!$I277+(pts_traje!$I277*0.02*pts_traje!$H277/1000),0)),"")</f>
        <v/>
      </c>
      <c r="J277" s="10"/>
    </row>
    <row r="278">
      <c r="A278" s="1" t="str">
        <f>IFNA(right(VLOOKUP(pts_traje!$A278,trj!$B$2:$D1000,3,FALSE),4),"")</f>
        <v/>
      </c>
      <c r="B278" s="10"/>
      <c r="C278" s="10"/>
      <c r="D278" s="1" t="str">
        <f>IFNA(VLOOKUP(pts_traje!$D278,FIX!$A$2:$D1000,4,FALSE),"")</f>
        <v/>
      </c>
      <c r="E278" s="10"/>
      <c r="F278" s="10"/>
      <c r="G278" s="10"/>
      <c r="H278" s="10"/>
      <c r="I278" s="10" t="str">
        <f>IF(pts_traje!$I278&lt;&gt;0,(ROUND(pts_traje!$I278+(pts_traje!$I278*0.02*pts_traje!$H278/1000),0)),"")</f>
        <v/>
      </c>
      <c r="J278" s="10"/>
    </row>
    <row r="279">
      <c r="A279" s="1" t="str">
        <f>IFNA(right(VLOOKUP(pts_traje!$A279,trj!$B$2:$D1000,3,FALSE),4),"")</f>
        <v/>
      </c>
      <c r="B279" s="10"/>
      <c r="C279" s="10"/>
      <c r="D279" s="1" t="str">
        <f>IFNA(VLOOKUP(pts_traje!$D279,FIX!$A$2:$D1000,4,FALSE),"")</f>
        <v/>
      </c>
      <c r="E279" s="10"/>
      <c r="F279" s="10"/>
      <c r="G279" s="10"/>
      <c r="H279" s="10"/>
      <c r="I279" s="10" t="str">
        <f>IF(pts_traje!$I279&lt;&gt;0,(ROUND(pts_traje!$I279+(pts_traje!$I279*0.02*pts_traje!$H279/1000),0)),"")</f>
        <v/>
      </c>
      <c r="J279" s="10"/>
    </row>
    <row r="280">
      <c r="A280" s="1" t="str">
        <f>IFNA(right(VLOOKUP(pts_traje!$A280,trj!$B$2:$D1000,3,FALSE),4),"")</f>
        <v/>
      </c>
      <c r="B280" s="10"/>
      <c r="C280" s="10"/>
      <c r="D280" s="1" t="str">
        <f>IFNA(VLOOKUP(pts_traje!$D280,FIX!$A$2:$D1000,4,FALSE),"")</f>
        <v/>
      </c>
      <c r="E280" s="10"/>
      <c r="F280" s="10"/>
      <c r="G280" s="10"/>
      <c r="H280" s="10"/>
      <c r="I280" s="10" t="str">
        <f>IF(pts_traje!$I280&lt;&gt;0,(ROUND(pts_traje!$I280+(pts_traje!$I280*0.02*pts_traje!$H280/1000),0)),"")</f>
        <v/>
      </c>
      <c r="J280" s="10"/>
    </row>
    <row r="281">
      <c r="A281" s="1" t="str">
        <f>IFNA(right(VLOOKUP(pts_traje!$A281,trj!$B$2:$D1000,3,FALSE),4),"")</f>
        <v/>
      </c>
      <c r="B281" s="10"/>
      <c r="C281" s="10"/>
      <c r="D281" s="1" t="str">
        <f>IFNA(VLOOKUP(pts_traje!$D281,FIX!$A$2:$D1000,4,FALSE),"")</f>
        <v/>
      </c>
      <c r="E281" s="10"/>
      <c r="F281" s="10"/>
      <c r="G281" s="10"/>
      <c r="H281" s="10"/>
      <c r="I281" s="10" t="str">
        <f>IF(pts_traje!$I281&lt;&gt;0,(ROUND(pts_traje!$I281+(pts_traje!$I281*0.02*pts_traje!$H281/1000),0)),"")</f>
        <v/>
      </c>
      <c r="J281" s="10"/>
    </row>
    <row r="282">
      <c r="A282" s="1" t="str">
        <f>IFNA(right(VLOOKUP(pts_traje!$A282,trj!$B$2:$D1000,3,FALSE),4),"")</f>
        <v/>
      </c>
      <c r="B282" s="10"/>
      <c r="C282" s="10"/>
      <c r="D282" s="1" t="str">
        <f>IFNA(VLOOKUP(pts_traje!$D282,FIX!$A$2:$D1000,4,FALSE),"")</f>
        <v/>
      </c>
      <c r="E282" s="10"/>
      <c r="F282" s="10"/>
      <c r="G282" s="10"/>
      <c r="H282" s="10"/>
      <c r="I282" s="10" t="str">
        <f>IF(pts_traje!$I282&lt;&gt;0,(ROUND(pts_traje!$I282+(pts_traje!$I282*0.02*pts_traje!$H282/1000),0)),"")</f>
        <v/>
      </c>
      <c r="J282" s="10"/>
    </row>
    <row r="283">
      <c r="A283" s="1" t="str">
        <f>IFNA(right(VLOOKUP(pts_traje!$A283,trj!$B$2:$D1000,3,FALSE),4),"")</f>
        <v/>
      </c>
      <c r="B283" s="10"/>
      <c r="C283" s="10"/>
      <c r="D283" s="1" t="str">
        <f>IFNA(VLOOKUP(pts_traje!$D283,FIX!$A$2:$D1000,4,FALSE),"")</f>
        <v/>
      </c>
      <c r="E283" s="10"/>
      <c r="F283" s="10"/>
      <c r="G283" s="10"/>
      <c r="H283" s="10"/>
      <c r="I283" s="10" t="str">
        <f>IF(pts_traje!$I283&lt;&gt;0,(ROUND(pts_traje!$I283+(pts_traje!$I283*0.02*pts_traje!$H283/1000),0)),"")</f>
        <v/>
      </c>
      <c r="J283" s="10"/>
    </row>
    <row r="284">
      <c r="A284" s="1" t="str">
        <f>IFNA(right(VLOOKUP(pts_traje!$A284,trj!$B$2:$D1000,3,FALSE),4),"")</f>
        <v/>
      </c>
      <c r="B284" s="10"/>
      <c r="C284" s="10"/>
      <c r="D284" s="1" t="str">
        <f>IFNA(VLOOKUP(pts_traje!$D284,FIX!$A$2:$D1000,4,FALSE),"")</f>
        <v/>
      </c>
      <c r="E284" s="10"/>
      <c r="F284" s="10"/>
      <c r="G284" s="10"/>
      <c r="H284" s="10"/>
      <c r="I284" s="10" t="str">
        <f>IF(pts_traje!$I284&lt;&gt;0,(ROUND(pts_traje!$I284+(pts_traje!$I284*0.02*pts_traje!$H284/1000),0)),"")</f>
        <v/>
      </c>
      <c r="J284" s="10"/>
    </row>
    <row r="285">
      <c r="A285" s="1" t="str">
        <f>IFNA(right(VLOOKUP(pts_traje!$A285,trj!$B$2:$D1000,3,FALSE),4),"")</f>
        <v/>
      </c>
      <c r="B285" s="10"/>
      <c r="C285" s="10"/>
      <c r="D285" s="1" t="str">
        <f>IFNA(VLOOKUP(pts_traje!$D285,FIX!$A$2:$D1000,4,FALSE),"")</f>
        <v/>
      </c>
      <c r="E285" s="10"/>
      <c r="F285" s="10"/>
      <c r="G285" s="10"/>
      <c r="H285" s="10"/>
      <c r="I285" s="10" t="str">
        <f>IF(pts_traje!$I285&lt;&gt;0,(ROUND(pts_traje!$I285+(pts_traje!$I285*0.02*pts_traje!$H285/1000),0)),"")</f>
        <v/>
      </c>
      <c r="J285" s="10"/>
    </row>
    <row r="286">
      <c r="A286" s="1" t="str">
        <f>IFNA(right(VLOOKUP(pts_traje!$A286,trj!$B$2:$D1000,3,FALSE),4),"")</f>
        <v/>
      </c>
      <c r="B286" s="10"/>
      <c r="C286" s="10"/>
      <c r="D286" s="1" t="str">
        <f>IFNA(VLOOKUP(pts_traje!$D286,FIX!$A$2:$D1000,4,FALSE),"")</f>
        <v/>
      </c>
      <c r="E286" s="10"/>
      <c r="F286" s="10"/>
      <c r="G286" s="10"/>
      <c r="H286" s="10"/>
      <c r="I286" s="10" t="str">
        <f>IF(pts_traje!$I286&lt;&gt;0,(ROUND(pts_traje!$I286+(pts_traje!$I286*0.02*pts_traje!$H286/1000),0)),"")</f>
        <v/>
      </c>
      <c r="J286" s="10"/>
    </row>
    <row r="287">
      <c r="A287" s="1" t="str">
        <f>IFNA(right(VLOOKUP(pts_traje!$A287,trj!$B$2:$D1000,3,FALSE),4),"")</f>
        <v/>
      </c>
      <c r="B287" s="10"/>
      <c r="C287" s="10"/>
      <c r="D287" s="1" t="str">
        <f>IFNA(VLOOKUP(pts_traje!$D287,FIX!$A$2:$D1000,4,FALSE),"")</f>
        <v/>
      </c>
      <c r="E287" s="10"/>
      <c r="F287" s="10"/>
      <c r="G287" s="10"/>
      <c r="H287" s="10"/>
      <c r="I287" s="10" t="str">
        <f>IF(pts_traje!$I287&lt;&gt;0,(ROUND(pts_traje!$I287+(pts_traje!$I287*0.02*pts_traje!$H287/1000),0)),"")</f>
        <v/>
      </c>
      <c r="J287" s="10"/>
    </row>
    <row r="288">
      <c r="A288" s="1" t="str">
        <f>IFNA(right(VLOOKUP(pts_traje!$A288,trj!$B$2:$D1000,3,FALSE),4),"")</f>
        <v/>
      </c>
      <c r="B288" s="10"/>
      <c r="C288" s="10"/>
      <c r="D288" s="1" t="str">
        <f>IFNA(VLOOKUP(pts_traje!$D288,FIX!$A$2:$D1000,4,FALSE),"")</f>
        <v/>
      </c>
      <c r="E288" s="10"/>
      <c r="F288" s="10"/>
      <c r="G288" s="10"/>
      <c r="H288" s="10"/>
      <c r="I288" s="10" t="str">
        <f>IF(pts_traje!$I288&lt;&gt;0,(ROUND(pts_traje!$I288+(pts_traje!$I288*0.02*pts_traje!$H288/1000),0)),"")</f>
        <v/>
      </c>
      <c r="J288" s="10"/>
    </row>
    <row r="289">
      <c r="A289" s="1" t="str">
        <f>IFNA(right(VLOOKUP(pts_traje!$A289,trj!$B$2:$D1000,3,FALSE),4),"")</f>
        <v/>
      </c>
      <c r="B289" s="10"/>
      <c r="C289" s="10"/>
      <c r="D289" s="1" t="str">
        <f>IFNA(VLOOKUP(pts_traje!$D289,FIX!$A$2:$D1000,4,FALSE),"")</f>
        <v/>
      </c>
      <c r="E289" s="10"/>
      <c r="F289" s="10"/>
      <c r="G289" s="10"/>
      <c r="H289" s="10"/>
      <c r="I289" s="10" t="str">
        <f>IF(pts_traje!$I289&lt;&gt;0,(ROUND(pts_traje!$I289+(pts_traje!$I289*0.02*pts_traje!$H289/1000),0)),"")</f>
        <v/>
      </c>
      <c r="J289" s="10"/>
    </row>
    <row r="290">
      <c r="A290" s="1" t="str">
        <f>IFNA(right(VLOOKUP(pts_traje!$A290,trj!$B$2:$D1000,3,FALSE),4),"")</f>
        <v/>
      </c>
      <c r="B290" s="10"/>
      <c r="C290" s="10"/>
      <c r="D290" s="1" t="str">
        <f>IFNA(VLOOKUP(pts_traje!$D290,FIX!$A$2:$D1000,4,FALSE),"")</f>
        <v/>
      </c>
      <c r="E290" s="10"/>
      <c r="F290" s="10"/>
      <c r="G290" s="10"/>
      <c r="H290" s="10"/>
      <c r="I290" s="10" t="str">
        <f>IF(pts_traje!$I290&lt;&gt;0,(ROUND(pts_traje!$I290+(pts_traje!$I290*0.02*pts_traje!$H290/1000),0)),"")</f>
        <v/>
      </c>
      <c r="J290" s="10"/>
    </row>
    <row r="291">
      <c r="A291" s="1" t="str">
        <f>IFNA(right(VLOOKUP(pts_traje!$A291,trj!$B$2:$D1000,3,FALSE),4),"")</f>
        <v/>
      </c>
      <c r="B291" s="10"/>
      <c r="C291" s="10"/>
      <c r="D291" s="1" t="str">
        <f>IFNA(VLOOKUP(pts_traje!$D291,FIX!$A$2:$D1000,4,FALSE),"")</f>
        <v/>
      </c>
      <c r="E291" s="10"/>
      <c r="F291" s="10"/>
      <c r="G291" s="10"/>
      <c r="H291" s="10"/>
      <c r="I291" s="10" t="str">
        <f>IF(pts_traje!$I291&lt;&gt;0,(ROUND(pts_traje!$I291+(pts_traje!$I291*0.02*pts_traje!$H291/1000),0)),"")</f>
        <v/>
      </c>
      <c r="J291" s="10"/>
    </row>
    <row r="292">
      <c r="A292" s="1" t="str">
        <f>IFNA(right(VLOOKUP(pts_traje!$A292,trj!$B$2:$D1000,3,FALSE),4),"")</f>
        <v/>
      </c>
      <c r="B292" s="10"/>
      <c r="C292" s="10"/>
      <c r="D292" s="1" t="str">
        <f>IFNA(VLOOKUP(pts_traje!$D292,FIX!$A$2:$D1000,4,FALSE),"")</f>
        <v/>
      </c>
      <c r="E292" s="10"/>
      <c r="F292" s="10"/>
      <c r="G292" s="10"/>
      <c r="H292" s="10"/>
      <c r="I292" s="10" t="str">
        <f>IF(pts_traje!$I292&lt;&gt;0,(ROUND(pts_traje!$I292+(pts_traje!$I292*0.02*pts_traje!$H292/1000),0)),"")</f>
        <v/>
      </c>
      <c r="J292" s="10"/>
    </row>
    <row r="293">
      <c r="A293" s="1" t="str">
        <f>IFNA(right(VLOOKUP(pts_traje!$A293,trj!$B$2:$D1000,3,FALSE),4),"")</f>
        <v/>
      </c>
      <c r="B293" s="10"/>
      <c r="C293" s="10"/>
      <c r="D293" s="1" t="str">
        <f>IFNA(VLOOKUP(pts_traje!$D293,FIX!$A$2:$D1000,4,FALSE),"")</f>
        <v/>
      </c>
      <c r="E293" s="10"/>
      <c r="F293" s="10"/>
      <c r="G293" s="10"/>
      <c r="H293" s="10"/>
      <c r="I293" s="10" t="str">
        <f>IF(pts_traje!$I293&lt;&gt;0,(ROUND(pts_traje!$I293+(pts_traje!$I293*0.02*pts_traje!$H293/1000),0)),"")</f>
        <v/>
      </c>
      <c r="J293" s="10"/>
    </row>
    <row r="294">
      <c r="A294" s="1" t="str">
        <f>IFNA(right(VLOOKUP(pts_traje!$A294,trj!$B$2:$D1000,3,FALSE),4),"")</f>
        <v/>
      </c>
      <c r="B294" s="10"/>
      <c r="C294" s="10"/>
      <c r="D294" s="1" t="str">
        <f>IFNA(VLOOKUP(pts_traje!$D294,FIX!$A$2:$D1000,4,FALSE),"")</f>
        <v/>
      </c>
      <c r="E294" s="10"/>
      <c r="F294" s="10"/>
      <c r="G294" s="10"/>
      <c r="H294" s="10"/>
      <c r="I294" s="10" t="str">
        <f>IF(pts_traje!$I294&lt;&gt;0,(ROUND(pts_traje!$I294+(pts_traje!$I294*0.02*pts_traje!$H294/1000),0)),"")</f>
        <v/>
      </c>
      <c r="J294" s="10"/>
    </row>
    <row r="295">
      <c r="A295" s="1" t="str">
        <f>IFNA(right(VLOOKUP(pts_traje!$A295,trj!$B$2:$D1000,3,FALSE),4),"")</f>
        <v/>
      </c>
      <c r="B295" s="10"/>
      <c r="C295" s="10"/>
      <c r="D295" s="1" t="str">
        <f>IFNA(VLOOKUP(pts_traje!$D295,FIX!$A$2:$D1000,4,FALSE),"")</f>
        <v/>
      </c>
      <c r="E295" s="10"/>
      <c r="F295" s="10"/>
      <c r="G295" s="10"/>
      <c r="H295" s="10"/>
      <c r="I295" s="10" t="str">
        <f>IF(pts_traje!$I295&lt;&gt;0,(ROUND(pts_traje!$I295+(pts_traje!$I295*0.02*pts_traje!$H295/1000),0)),"")</f>
        <v/>
      </c>
      <c r="J295" s="10"/>
    </row>
    <row r="296">
      <c r="A296" s="1" t="str">
        <f>IFNA(right(VLOOKUP(pts_traje!$A296,trj!$B$2:$D1000,3,FALSE),4),"")</f>
        <v/>
      </c>
      <c r="B296" s="10"/>
      <c r="C296" s="10"/>
      <c r="D296" s="1" t="str">
        <f>IFNA(VLOOKUP(pts_traje!$D296,FIX!$A$2:$D1000,4,FALSE),"")</f>
        <v/>
      </c>
      <c r="E296" s="10"/>
      <c r="F296" s="10"/>
      <c r="G296" s="10"/>
      <c r="H296" s="10"/>
      <c r="I296" s="10" t="str">
        <f>IF(pts_traje!$I296&lt;&gt;0,(ROUND(pts_traje!$I296+(pts_traje!$I296*0.02*pts_traje!$H296/1000),0)),"")</f>
        <v/>
      </c>
      <c r="J296" s="10"/>
    </row>
    <row r="297">
      <c r="A297" s="1" t="str">
        <f>IFNA(right(VLOOKUP(pts_traje!$A297,trj!$B$2:$D1000,3,FALSE),4),"")</f>
        <v/>
      </c>
      <c r="B297" s="10"/>
      <c r="C297" s="10"/>
      <c r="D297" s="1" t="str">
        <f>IFNA(VLOOKUP(pts_traje!$D297,FIX!$A$2:$D1000,4,FALSE),"")</f>
        <v/>
      </c>
      <c r="E297" s="10"/>
      <c r="F297" s="10"/>
      <c r="G297" s="10"/>
      <c r="H297" s="10"/>
      <c r="I297" s="10" t="str">
        <f>IF(pts_traje!$I297&lt;&gt;0,(ROUND(pts_traje!$I297+(pts_traje!$I297*0.02*pts_traje!$H297/1000),0)),"")</f>
        <v/>
      </c>
      <c r="J297" s="10"/>
    </row>
    <row r="298">
      <c r="A298" s="1" t="str">
        <f>IFNA(right(VLOOKUP(pts_traje!$A298,trj!$B$2:$D1000,3,FALSE),4),"")</f>
        <v/>
      </c>
      <c r="B298" s="10"/>
      <c r="C298" s="10"/>
      <c r="D298" s="1" t="str">
        <f>IFNA(VLOOKUP(pts_traje!$D298,FIX!$A$2:$D1000,4,FALSE),"")</f>
        <v/>
      </c>
      <c r="E298" s="10"/>
      <c r="F298" s="10"/>
      <c r="G298" s="10"/>
      <c r="H298" s="10"/>
      <c r="I298" s="10" t="str">
        <f>IF(pts_traje!$I298&lt;&gt;0,(ROUND(pts_traje!$I298+(pts_traje!$I298*0.02*pts_traje!$H298/1000),0)),"")</f>
        <v/>
      </c>
      <c r="J298" s="10"/>
    </row>
    <row r="299">
      <c r="A299" s="1" t="str">
        <f>IFNA(right(VLOOKUP(pts_traje!$A299,trj!$B$2:$D1000,3,FALSE),4),"")</f>
        <v/>
      </c>
      <c r="B299" s="10"/>
      <c r="C299" s="10"/>
      <c r="D299" s="1" t="str">
        <f>IFNA(VLOOKUP(pts_traje!$D299,FIX!$A$2:$D1000,4,FALSE),"")</f>
        <v/>
      </c>
      <c r="E299" s="10"/>
      <c r="F299" s="10"/>
      <c r="G299" s="10"/>
      <c r="H299" s="10"/>
      <c r="I299" s="10" t="str">
        <f>IF(pts_traje!$I299&lt;&gt;0,(ROUND(pts_traje!$I299+(pts_traje!$I299*0.02*pts_traje!$H299/1000),0)),"")</f>
        <v/>
      </c>
      <c r="J299" s="10"/>
    </row>
    <row r="300">
      <c r="A300" s="1" t="str">
        <f>IFNA(right(VLOOKUP(pts_traje!$A300,trj!$B$2:$D1000,3,FALSE),4),"")</f>
        <v/>
      </c>
      <c r="B300" s="10"/>
      <c r="C300" s="10"/>
      <c r="D300" s="1" t="str">
        <f>IFNA(VLOOKUP(pts_traje!$D300,FIX!$A$2:$D1000,4,FALSE),"")</f>
        <v/>
      </c>
      <c r="E300" s="10"/>
      <c r="F300" s="10"/>
      <c r="G300" s="10"/>
      <c r="H300" s="10"/>
      <c r="I300" s="10" t="str">
        <f>IF(pts_traje!$I300&lt;&gt;0,(ROUND(pts_traje!$I300+(pts_traje!$I300*0.02*pts_traje!$H300/1000),0)),"")</f>
        <v/>
      </c>
      <c r="J300" s="10"/>
    </row>
    <row r="301">
      <c r="A301" s="1" t="str">
        <f>IFNA(right(VLOOKUP(pts_traje!$A301,trj!$B$2:$D1000,3,FALSE),4),"")</f>
        <v/>
      </c>
      <c r="B301" s="10"/>
      <c r="C301" s="10"/>
      <c r="D301" s="1" t="str">
        <f>IFNA(VLOOKUP(pts_traje!$D301,FIX!$A$2:$D1000,4,FALSE),"")</f>
        <v/>
      </c>
      <c r="E301" s="10"/>
      <c r="F301" s="10"/>
      <c r="G301" s="10"/>
      <c r="H301" s="10"/>
      <c r="I301" s="10" t="str">
        <f>IF(pts_traje!$I301&lt;&gt;0,(ROUND(pts_traje!$I301+(pts_traje!$I301*0.02*pts_traje!$H301/1000),0)),"")</f>
        <v/>
      </c>
      <c r="J301" s="10"/>
    </row>
    <row r="302">
      <c r="A302" s="1" t="str">
        <f>IFNA(right(VLOOKUP(pts_traje!$A302,trj!$B$2:$D1000,3,FALSE),4),"")</f>
        <v/>
      </c>
      <c r="B302" s="10"/>
      <c r="C302" s="10"/>
      <c r="D302" s="1" t="str">
        <f>IFNA(VLOOKUP(pts_traje!$D302,FIX!$A$2:$D1000,4,FALSE),"")</f>
        <v/>
      </c>
      <c r="E302" s="10"/>
      <c r="F302" s="10"/>
      <c r="G302" s="10"/>
      <c r="H302" s="10"/>
      <c r="I302" s="10" t="str">
        <f>IF(pts_traje!$I302&lt;&gt;0,(ROUND(pts_traje!$I302+(pts_traje!$I302*0.02*pts_traje!$H302/1000),0)),"")</f>
        <v/>
      </c>
      <c r="J302" s="10"/>
    </row>
    <row r="303">
      <c r="A303" s="1" t="str">
        <f>IFNA(right(VLOOKUP(pts_traje!$A303,trj!$B$2:$D1000,3,FALSE),4),"")</f>
        <v/>
      </c>
      <c r="B303" s="10"/>
      <c r="C303" s="10"/>
      <c r="D303" s="1" t="str">
        <f>IFNA(VLOOKUP(pts_traje!$D303,FIX!$A$2:$D1000,4,FALSE),"")</f>
        <v/>
      </c>
      <c r="E303" s="10"/>
      <c r="F303" s="10"/>
      <c r="G303" s="10"/>
      <c r="H303" s="10"/>
      <c r="I303" s="10" t="str">
        <f>IF(pts_traje!$I303&lt;&gt;0,(ROUND(pts_traje!$I303+(pts_traje!$I303*0.02*pts_traje!$H303/1000),0)),"")</f>
        <v/>
      </c>
      <c r="J303" s="10"/>
    </row>
    <row r="304">
      <c r="A304" s="1" t="str">
        <f>IFNA(right(VLOOKUP(pts_traje!$A304,trj!$B$2:$D1000,3,FALSE),4),"")</f>
        <v/>
      </c>
      <c r="B304" s="10"/>
      <c r="C304" s="10"/>
      <c r="D304" s="1" t="str">
        <f>IFNA(VLOOKUP(pts_traje!$D304,FIX!$A$2:$D1000,4,FALSE),"")</f>
        <v/>
      </c>
      <c r="E304" s="10"/>
      <c r="F304" s="10"/>
      <c r="G304" s="10"/>
      <c r="H304" s="10"/>
      <c r="I304" s="10" t="str">
        <f>IF(pts_traje!$I304&lt;&gt;0,(ROUND(pts_traje!$I304+(pts_traje!$I304*0.02*pts_traje!$H304/1000),0)),"")</f>
        <v/>
      </c>
      <c r="J304" s="10"/>
    </row>
    <row r="305">
      <c r="A305" s="1" t="str">
        <f>IFNA(right(VLOOKUP(pts_traje!$A305,trj!$B$2:$D1000,3,FALSE),4),"")</f>
        <v/>
      </c>
      <c r="B305" s="10"/>
      <c r="C305" s="10"/>
      <c r="D305" s="1" t="str">
        <f>IFNA(VLOOKUP(pts_traje!$D305,FIX!$A$2:$D1000,4,FALSE),"")</f>
        <v/>
      </c>
      <c r="E305" s="10"/>
      <c r="F305" s="10"/>
      <c r="G305" s="10"/>
      <c r="H305" s="10"/>
      <c r="I305" s="10" t="str">
        <f>IF(pts_traje!$I305&lt;&gt;0,(ROUND(pts_traje!$I305+(pts_traje!$I305*0.02*pts_traje!$H305/1000),0)),"")</f>
        <v/>
      </c>
      <c r="J305" s="10"/>
    </row>
    <row r="306">
      <c r="A306" s="1" t="str">
        <f>IFNA(right(VLOOKUP(pts_traje!$A306,trj!$B$2:$D1000,3,FALSE),4),"")</f>
        <v/>
      </c>
      <c r="B306" s="10"/>
      <c r="C306" s="10"/>
      <c r="D306" s="1" t="str">
        <f>IFNA(VLOOKUP(pts_traje!$D306,FIX!$A$2:$D1000,4,FALSE),"")</f>
        <v/>
      </c>
      <c r="E306" s="10"/>
      <c r="F306" s="10"/>
      <c r="G306" s="10"/>
      <c r="H306" s="10"/>
      <c r="I306" s="10" t="str">
        <f>IF(pts_traje!$I306&lt;&gt;0,(ROUND(pts_traje!$I306+(pts_traje!$I306*0.02*pts_traje!$H306/1000),0)),"")</f>
        <v/>
      </c>
      <c r="J306" s="10"/>
    </row>
    <row r="307">
      <c r="A307" s="1" t="str">
        <f>IFNA(right(VLOOKUP(pts_traje!$A307,trj!$B$2:$D1000,3,FALSE),4),"")</f>
        <v/>
      </c>
      <c r="B307" s="10"/>
      <c r="C307" s="10"/>
      <c r="D307" s="1" t="str">
        <f>IFNA(VLOOKUP(pts_traje!$D307,FIX!$A$2:$D1000,4,FALSE),"")</f>
        <v/>
      </c>
      <c r="E307" s="10"/>
      <c r="F307" s="10"/>
      <c r="G307" s="10"/>
      <c r="H307" s="10"/>
      <c r="I307" s="10" t="str">
        <f>IF(pts_traje!$I307&lt;&gt;0,(ROUND(pts_traje!$I307+(pts_traje!$I307*0.02*pts_traje!$H307/1000),0)),"")</f>
        <v/>
      </c>
      <c r="J307" s="10"/>
    </row>
    <row r="308">
      <c r="A308" s="1" t="str">
        <f>IFNA(right(VLOOKUP(pts_traje!$A308,trj!$B$2:$D1000,3,FALSE),4),"")</f>
        <v/>
      </c>
      <c r="B308" s="10"/>
      <c r="C308" s="10"/>
      <c r="D308" s="1" t="str">
        <f>IFNA(VLOOKUP(pts_traje!$D308,FIX!$A$2:$D1000,4,FALSE),"")</f>
        <v/>
      </c>
      <c r="E308" s="10"/>
      <c r="F308" s="10"/>
      <c r="G308" s="10"/>
      <c r="H308" s="10"/>
      <c r="I308" s="10" t="str">
        <f>IF(pts_traje!$I308&lt;&gt;0,(ROUND(pts_traje!$I308+(pts_traje!$I308*0.02*pts_traje!$H308/1000),0)),"")</f>
        <v/>
      </c>
      <c r="J308" s="10"/>
    </row>
    <row r="309">
      <c r="A309" s="1" t="str">
        <f>IFNA(right(VLOOKUP(pts_traje!$A309,trj!$B$2:$D1000,3,FALSE),4),"")</f>
        <v/>
      </c>
      <c r="B309" s="10"/>
      <c r="C309" s="10"/>
      <c r="D309" s="1" t="str">
        <f>IFNA(VLOOKUP(pts_traje!$D309,FIX!$A$2:$D1000,4,FALSE),"")</f>
        <v/>
      </c>
      <c r="E309" s="10"/>
      <c r="F309" s="10"/>
      <c r="G309" s="10"/>
      <c r="H309" s="10"/>
      <c r="I309" s="10" t="str">
        <f>IF(pts_traje!$I309&lt;&gt;0,(ROUND(pts_traje!$I309+(pts_traje!$I309*0.02*pts_traje!$H309/1000),0)),"")</f>
        <v/>
      </c>
      <c r="J309" s="10"/>
    </row>
    <row r="310">
      <c r="A310" s="1" t="str">
        <f>IFNA(right(VLOOKUP(pts_traje!$A310,trj!$B$2:$D1000,3,FALSE),4),"")</f>
        <v/>
      </c>
      <c r="B310" s="10"/>
      <c r="C310" s="10"/>
      <c r="D310" s="1" t="str">
        <f>IFNA(VLOOKUP(pts_traje!$D310,FIX!$A$2:$D1000,4,FALSE),"")</f>
        <v/>
      </c>
      <c r="E310" s="10"/>
      <c r="F310" s="10"/>
      <c r="G310" s="10"/>
      <c r="H310" s="10"/>
      <c r="I310" s="10" t="str">
        <f>IF(pts_traje!$I310&lt;&gt;0,(ROUND(pts_traje!$I310+(pts_traje!$I310*0.02*pts_traje!$H310/1000),0)),"")</f>
        <v/>
      </c>
      <c r="J310" s="10"/>
    </row>
    <row r="311">
      <c r="A311" s="1" t="str">
        <f>IFNA(right(VLOOKUP(pts_traje!$A311,trj!$B$2:$D1000,3,FALSE),4),"")</f>
        <v/>
      </c>
      <c r="B311" s="10"/>
      <c r="C311" s="10"/>
      <c r="D311" s="1" t="str">
        <f>IFNA(VLOOKUP(pts_traje!$D311,FIX!$A$2:$D1000,4,FALSE),"")</f>
        <v/>
      </c>
      <c r="E311" s="10"/>
      <c r="F311" s="10"/>
      <c r="G311" s="10"/>
      <c r="H311" s="10"/>
      <c r="I311" s="10" t="str">
        <f>IF(pts_traje!$I311&lt;&gt;0,(ROUND(pts_traje!$I311+(pts_traje!$I311*0.02*pts_traje!$H311/1000),0)),"")</f>
        <v/>
      </c>
      <c r="J311" s="10"/>
    </row>
    <row r="312">
      <c r="A312" s="1" t="str">
        <f>IFNA(right(VLOOKUP(pts_traje!$A312,trj!$B$2:$D1000,3,FALSE),4),"")</f>
        <v/>
      </c>
      <c r="B312" s="10"/>
      <c r="C312" s="10"/>
      <c r="D312" s="1" t="str">
        <f>IFNA(VLOOKUP(pts_traje!$D312,FIX!$A$2:$D1000,4,FALSE),"")</f>
        <v/>
      </c>
      <c r="E312" s="10"/>
      <c r="F312" s="10"/>
      <c r="G312" s="10"/>
      <c r="H312" s="10"/>
      <c r="I312" s="10" t="str">
        <f>IF(pts_traje!$I312&lt;&gt;0,(ROUND(pts_traje!$I312+(pts_traje!$I312*0.02*pts_traje!$H312/1000),0)),"")</f>
        <v/>
      </c>
      <c r="J312" s="10"/>
    </row>
    <row r="313">
      <c r="A313" s="1" t="str">
        <f>IFNA(right(VLOOKUP(pts_traje!$A313,trj!$B$2:$D1000,3,FALSE),4),"")</f>
        <v/>
      </c>
      <c r="B313" s="10"/>
      <c r="C313" s="10"/>
      <c r="D313" s="1" t="str">
        <f>IFNA(VLOOKUP(pts_traje!$D313,FIX!$A$2:$D1000,4,FALSE),"")</f>
        <v/>
      </c>
      <c r="E313" s="10"/>
      <c r="F313" s="10"/>
      <c r="G313" s="10"/>
      <c r="H313" s="10"/>
      <c r="I313" s="10" t="str">
        <f>IF(pts_traje!$I313&lt;&gt;0,(ROUND(pts_traje!$I313+(pts_traje!$I313*0.02*pts_traje!$H313/1000),0)),"")</f>
        <v/>
      </c>
      <c r="J313" s="10"/>
    </row>
    <row r="314">
      <c r="A314" s="1" t="str">
        <f>IFNA(right(VLOOKUP(pts_traje!$A314,trj!$B$2:$D1000,3,FALSE),4),"")</f>
        <v/>
      </c>
      <c r="B314" s="10"/>
      <c r="C314" s="10"/>
      <c r="D314" s="1" t="str">
        <f>IFNA(VLOOKUP(pts_traje!$D314,FIX!$A$2:$D1000,4,FALSE),"")</f>
        <v/>
      </c>
      <c r="E314" s="10"/>
      <c r="F314" s="10"/>
      <c r="G314" s="10"/>
      <c r="H314" s="10"/>
      <c r="I314" s="10" t="str">
        <f>IF(pts_traje!$I314&lt;&gt;0,(ROUND(pts_traje!$I314+(pts_traje!$I314*0.02*pts_traje!$H314/1000),0)),"")</f>
        <v/>
      </c>
      <c r="J314" s="10"/>
    </row>
    <row r="315">
      <c r="A315" s="1" t="str">
        <f>IFNA(right(VLOOKUP(pts_traje!$A315,trj!$B$2:$D1000,3,FALSE),4),"")</f>
        <v/>
      </c>
      <c r="B315" s="10"/>
      <c r="C315" s="10"/>
      <c r="D315" s="1" t="str">
        <f>IFNA(VLOOKUP(pts_traje!$D315,FIX!$A$2:$D1000,4,FALSE),"")</f>
        <v/>
      </c>
      <c r="E315" s="10"/>
      <c r="F315" s="10"/>
      <c r="G315" s="10"/>
      <c r="H315" s="10"/>
      <c r="I315" s="10" t="str">
        <f>IF(pts_traje!$I315&lt;&gt;0,(ROUND(pts_traje!$I315+(pts_traje!$I315*0.02*pts_traje!$H315/1000),0)),"")</f>
        <v/>
      </c>
      <c r="J315" s="10"/>
    </row>
    <row r="316">
      <c r="A316" s="1" t="str">
        <f>IFNA(right(VLOOKUP(pts_traje!$A316,trj!$B$2:$D1000,3,FALSE),4),"")</f>
        <v/>
      </c>
      <c r="B316" s="10"/>
      <c r="C316" s="10"/>
      <c r="D316" s="1" t="str">
        <f>IFNA(VLOOKUP(pts_traje!$D316,FIX!$A$2:$D1000,4,FALSE),"")</f>
        <v/>
      </c>
      <c r="E316" s="10"/>
      <c r="F316" s="10"/>
      <c r="G316" s="10"/>
      <c r="H316" s="10"/>
      <c r="I316" s="10" t="str">
        <f>IF(pts_traje!$I316&lt;&gt;0,(ROUND(pts_traje!$I316+(pts_traje!$I316*0.02*pts_traje!$H316/1000),0)),"")</f>
        <v/>
      </c>
      <c r="J316" s="10"/>
    </row>
    <row r="317">
      <c r="A317" s="1" t="str">
        <f>IFNA(right(VLOOKUP(pts_traje!$A317,trj!$B$2:$D1000,3,FALSE),4),"")</f>
        <v/>
      </c>
      <c r="B317" s="10"/>
      <c r="C317" s="10"/>
      <c r="D317" s="1" t="str">
        <f>IFNA(VLOOKUP(pts_traje!$D317,FIX!$A$2:$D1000,4,FALSE),"")</f>
        <v/>
      </c>
      <c r="E317" s="10"/>
      <c r="F317" s="10"/>
      <c r="G317" s="10"/>
      <c r="H317" s="10"/>
      <c r="I317" s="10" t="str">
        <f>IF(pts_traje!$I317&lt;&gt;0,(ROUND(pts_traje!$I317+(pts_traje!$I317*0.02*pts_traje!$H317/1000),0)),"")</f>
        <v/>
      </c>
      <c r="J317" s="10"/>
    </row>
    <row r="318">
      <c r="A318" s="1" t="str">
        <f>IFNA(right(VLOOKUP(pts_traje!$A318,trj!$B$2:$D1000,3,FALSE),4),"")</f>
        <v/>
      </c>
      <c r="B318" s="10"/>
      <c r="C318" s="10"/>
      <c r="D318" s="1" t="str">
        <f>IFNA(VLOOKUP(pts_traje!$D318,FIX!$A$2:$D1000,4,FALSE),"")</f>
        <v/>
      </c>
      <c r="E318" s="10"/>
      <c r="F318" s="10"/>
      <c r="G318" s="10"/>
      <c r="H318" s="10"/>
      <c r="I318" s="10" t="str">
        <f>IF(pts_traje!$I318&lt;&gt;0,(ROUND(pts_traje!$I318+(pts_traje!$I318*0.02*pts_traje!$H318/1000),0)),"")</f>
        <v/>
      </c>
      <c r="J318" s="10"/>
    </row>
    <row r="319">
      <c r="A319" s="1" t="str">
        <f>IFNA(right(VLOOKUP(pts_traje!$A319,trj!$B$2:$D1000,3,FALSE),4),"")</f>
        <v/>
      </c>
      <c r="B319" s="10"/>
      <c r="C319" s="10"/>
      <c r="D319" s="1" t="str">
        <f>IFNA(VLOOKUP(pts_traje!$D319,FIX!$A$2:$D1000,4,FALSE),"")</f>
        <v/>
      </c>
      <c r="E319" s="10"/>
      <c r="F319" s="10"/>
      <c r="G319" s="10"/>
      <c r="H319" s="10"/>
      <c r="I319" s="10" t="str">
        <f>IF(pts_traje!$I319&lt;&gt;0,(ROUND(pts_traje!$I319+(pts_traje!$I319*0.02*pts_traje!$H319/1000),0)),"")</f>
        <v/>
      </c>
      <c r="J319" s="10"/>
    </row>
    <row r="320">
      <c r="A320" s="1" t="str">
        <f>IFNA(right(VLOOKUP(pts_traje!$A320,trj!$B$2:$D1000,3,FALSE),4),"")</f>
        <v/>
      </c>
      <c r="B320" s="10"/>
      <c r="C320" s="10"/>
      <c r="D320" s="1" t="str">
        <f>IFNA(VLOOKUP(pts_traje!$D320,FIX!$A$2:$D1000,4,FALSE),"")</f>
        <v/>
      </c>
      <c r="E320" s="10"/>
      <c r="F320" s="10"/>
      <c r="G320" s="10"/>
      <c r="H320" s="10"/>
      <c r="I320" s="10" t="str">
        <f>IF(pts_traje!$I320&lt;&gt;0,(ROUND(pts_traje!$I320+(pts_traje!$I320*0.02*pts_traje!$H320/1000),0)),"")</f>
        <v/>
      </c>
      <c r="J320" s="10"/>
    </row>
    <row r="321">
      <c r="A321" s="1" t="str">
        <f>IFNA(right(VLOOKUP(pts_traje!$A321,trj!$B$2:$D1000,3,FALSE),4),"")</f>
        <v/>
      </c>
      <c r="B321" s="10"/>
      <c r="C321" s="10"/>
      <c r="D321" s="1" t="str">
        <f>IFNA(VLOOKUP(pts_traje!$D321,FIX!$A$2:$D1000,4,FALSE),"")</f>
        <v/>
      </c>
      <c r="E321" s="10"/>
      <c r="F321" s="10"/>
      <c r="G321" s="10"/>
      <c r="H321" s="10"/>
      <c r="I321" s="10" t="str">
        <f>IF(pts_traje!$I321&lt;&gt;0,(ROUND(pts_traje!$I321+(pts_traje!$I321*0.02*pts_traje!$H321/1000),0)),"")</f>
        <v/>
      </c>
      <c r="J321" s="10"/>
    </row>
    <row r="322">
      <c r="A322" s="1" t="str">
        <f>IFNA(right(VLOOKUP(pts_traje!$A322,trj!$B$2:$D1000,3,FALSE),4),"")</f>
        <v/>
      </c>
      <c r="B322" s="10"/>
      <c r="C322" s="10"/>
      <c r="D322" s="1" t="str">
        <f>IFNA(VLOOKUP(pts_traje!$D322,FIX!$A$2:$D1000,4,FALSE),"")</f>
        <v/>
      </c>
      <c r="E322" s="10"/>
      <c r="F322" s="10"/>
      <c r="G322" s="10"/>
      <c r="H322" s="10"/>
      <c r="I322" s="10" t="str">
        <f>IF(pts_traje!$I322&lt;&gt;0,(ROUND(pts_traje!$I322+(pts_traje!$I322*0.02*pts_traje!$H322/1000),0)),"")</f>
        <v/>
      </c>
      <c r="J322" s="10"/>
    </row>
    <row r="323">
      <c r="A323" s="1" t="str">
        <f>IFNA(right(VLOOKUP(pts_traje!$A323,trj!$B$2:$D1000,3,FALSE),4),"")</f>
        <v/>
      </c>
      <c r="B323" s="10"/>
      <c r="C323" s="10"/>
      <c r="D323" s="1" t="str">
        <f>IFNA(VLOOKUP(pts_traje!$D323,FIX!$A$2:$D1000,4,FALSE),"")</f>
        <v/>
      </c>
      <c r="E323" s="10"/>
      <c r="F323" s="10"/>
      <c r="G323" s="10"/>
      <c r="H323" s="10"/>
      <c r="I323" s="10" t="str">
        <f>IF(pts_traje!$I323&lt;&gt;0,(ROUND(pts_traje!$I323+(pts_traje!$I323*0.02*pts_traje!$H323/1000),0)),"")</f>
        <v/>
      </c>
      <c r="J323" s="10"/>
    </row>
    <row r="324">
      <c r="A324" s="1" t="str">
        <f>IFNA(right(VLOOKUP(pts_traje!$A324,trj!$B$2:$D1000,3,FALSE),4),"")</f>
        <v/>
      </c>
      <c r="B324" s="10"/>
      <c r="C324" s="10"/>
      <c r="D324" s="1" t="str">
        <f>IFNA(VLOOKUP(pts_traje!$D324,FIX!$A$2:$D1000,4,FALSE),"")</f>
        <v/>
      </c>
      <c r="E324" s="10"/>
      <c r="F324" s="10"/>
      <c r="G324" s="10"/>
      <c r="H324" s="10"/>
      <c r="I324" s="10" t="str">
        <f>IF(pts_traje!$I324&lt;&gt;0,(ROUND(pts_traje!$I324+(pts_traje!$I324*0.02*pts_traje!$H324/1000),0)),"")</f>
        <v/>
      </c>
      <c r="J324" s="10"/>
    </row>
    <row r="325">
      <c r="A325" s="1" t="str">
        <f>IFNA(right(VLOOKUP(pts_traje!$A325,trj!$B$2:$D1000,3,FALSE),4),"")</f>
        <v/>
      </c>
      <c r="B325" s="10"/>
      <c r="C325" s="10"/>
      <c r="D325" s="1" t="str">
        <f>IFNA(VLOOKUP(pts_traje!$D325,FIX!$A$2:$D1000,4,FALSE),"")</f>
        <v/>
      </c>
      <c r="E325" s="10"/>
      <c r="F325" s="10"/>
      <c r="G325" s="10"/>
      <c r="H325" s="10"/>
      <c r="I325" s="10" t="str">
        <f>IF(pts_traje!$I325&lt;&gt;0,(ROUND(pts_traje!$I325+(pts_traje!$I325*0.02*pts_traje!$H325/1000),0)),"")</f>
        <v/>
      </c>
      <c r="J325" s="10"/>
    </row>
    <row r="326">
      <c r="A326" s="1" t="str">
        <f>IFNA(right(VLOOKUP(pts_traje!$A326,trj!$B$2:$D1000,3,FALSE),4),"")</f>
        <v/>
      </c>
      <c r="B326" s="10"/>
      <c r="C326" s="10"/>
      <c r="D326" s="1" t="str">
        <f>IFNA(VLOOKUP(pts_traje!$D326,FIX!$A$2:$D1000,4,FALSE),"")</f>
        <v/>
      </c>
      <c r="E326" s="10"/>
      <c r="F326" s="10"/>
      <c r="G326" s="10"/>
      <c r="H326" s="10"/>
      <c r="I326" s="10" t="str">
        <f>IF(pts_traje!$I326&lt;&gt;0,(ROUND(pts_traje!$I326+(pts_traje!$I326*0.02*pts_traje!$H326/1000),0)),"")</f>
        <v/>
      </c>
      <c r="J326" s="10"/>
    </row>
    <row r="327">
      <c r="A327" s="1" t="str">
        <f>IFNA(right(VLOOKUP(pts_traje!$A327,trj!$B$2:$D1000,3,FALSE),4),"")</f>
        <v/>
      </c>
      <c r="B327" s="10"/>
      <c r="C327" s="10"/>
      <c r="D327" s="1" t="str">
        <f>IFNA(VLOOKUP(pts_traje!$D327,FIX!$A$2:$D1000,4,FALSE),"")</f>
        <v/>
      </c>
      <c r="E327" s="10"/>
      <c r="F327" s="10"/>
      <c r="G327" s="10"/>
      <c r="H327" s="10"/>
      <c r="I327" s="10" t="str">
        <f>IF(pts_traje!$I327&lt;&gt;0,(ROUND(pts_traje!$I327+(pts_traje!$I327*0.02*pts_traje!$H327/1000),0)),"")</f>
        <v/>
      </c>
      <c r="J327" s="10"/>
    </row>
    <row r="328">
      <c r="A328" s="1" t="str">
        <f>IFNA(right(VLOOKUP(pts_traje!$A328,trj!$B$2:$D1000,3,FALSE),4),"")</f>
        <v/>
      </c>
      <c r="B328" s="10"/>
      <c r="C328" s="10"/>
      <c r="D328" s="1" t="str">
        <f>IFNA(VLOOKUP(pts_traje!$D328,FIX!$A$2:$D1000,4,FALSE),"")</f>
        <v/>
      </c>
      <c r="E328" s="10"/>
      <c r="F328" s="10"/>
      <c r="G328" s="10"/>
      <c r="H328" s="10"/>
      <c r="I328" s="10" t="str">
        <f>IF(pts_traje!$I328&lt;&gt;0,(ROUND(pts_traje!$I328+(pts_traje!$I328*0.02*pts_traje!$H328/1000),0)),"")</f>
        <v/>
      </c>
      <c r="J328" s="10"/>
    </row>
    <row r="329">
      <c r="A329" s="1" t="str">
        <f>IFNA(right(VLOOKUP(pts_traje!$A329,trj!$B$2:$D1000,3,FALSE),4),"")</f>
        <v/>
      </c>
      <c r="B329" s="10"/>
      <c r="C329" s="10"/>
      <c r="D329" s="1" t="str">
        <f>IFNA(VLOOKUP(pts_traje!$D329,FIX!$A$2:$D1000,4,FALSE),"")</f>
        <v/>
      </c>
      <c r="E329" s="10"/>
      <c r="F329" s="10"/>
      <c r="G329" s="10"/>
      <c r="H329" s="10"/>
      <c r="I329" s="10" t="str">
        <f>IF(pts_traje!$I329&lt;&gt;0,(ROUND(pts_traje!$I329+(pts_traje!$I329*0.02*pts_traje!$H329/1000),0)),"")</f>
        <v/>
      </c>
      <c r="J329" s="10"/>
    </row>
    <row r="330">
      <c r="A330" s="1" t="str">
        <f>IFNA(right(VLOOKUP(pts_traje!$A330,trj!$B$2:$D1000,3,FALSE),4),"")</f>
        <v/>
      </c>
      <c r="B330" s="10"/>
      <c r="C330" s="10"/>
      <c r="D330" s="1" t="str">
        <f>IFNA(VLOOKUP(pts_traje!$D330,FIX!$A$2:$D1000,4,FALSE),"")</f>
        <v/>
      </c>
      <c r="E330" s="10"/>
      <c r="F330" s="10"/>
      <c r="G330" s="10"/>
      <c r="H330" s="10"/>
      <c r="I330" s="10" t="str">
        <f>IF(pts_traje!$I330&lt;&gt;0,(ROUND(pts_traje!$I330+(pts_traje!$I330*0.02*pts_traje!$H330/1000),0)),"")</f>
        <v/>
      </c>
      <c r="J330" s="10"/>
    </row>
    <row r="331">
      <c r="A331" s="1" t="str">
        <f>IFNA(right(VLOOKUP(pts_traje!$A331,trj!$B$2:$D1000,3,FALSE),4),"")</f>
        <v/>
      </c>
      <c r="B331" s="10"/>
      <c r="C331" s="10"/>
      <c r="D331" s="1" t="str">
        <f>IFNA(VLOOKUP(pts_traje!$D331,FIX!$A$2:$D1000,4,FALSE),"")</f>
        <v/>
      </c>
      <c r="E331" s="10"/>
      <c r="F331" s="10"/>
      <c r="G331" s="10"/>
      <c r="H331" s="10"/>
      <c r="I331" s="10" t="str">
        <f>IF(pts_traje!$I331&lt;&gt;0,(ROUND(pts_traje!$I331+(pts_traje!$I331*0.02*pts_traje!$H331/1000),0)),"")</f>
        <v/>
      </c>
      <c r="J331" s="10"/>
    </row>
    <row r="332">
      <c r="A332" s="1" t="str">
        <f>IFNA(right(VLOOKUP(pts_traje!$A332,trj!$B$2:$D1000,3,FALSE),4),"")</f>
        <v/>
      </c>
      <c r="B332" s="10"/>
      <c r="C332" s="10"/>
      <c r="D332" s="1" t="str">
        <f>IFNA(VLOOKUP(pts_traje!$D332,FIX!$A$2:$D1000,4,FALSE),"")</f>
        <v/>
      </c>
      <c r="E332" s="10"/>
      <c r="F332" s="10"/>
      <c r="G332" s="10"/>
      <c r="H332" s="10"/>
      <c r="I332" s="10" t="str">
        <f>IF(pts_traje!$I332&lt;&gt;0,(ROUND(pts_traje!$I332+(pts_traje!$I332*0.02*pts_traje!$H332/1000),0)),"")</f>
        <v/>
      </c>
      <c r="J332" s="10"/>
    </row>
    <row r="333">
      <c r="A333" s="1" t="str">
        <f>IFNA(right(VLOOKUP(pts_traje!$A333,trj!$B$2:$D1000,3,FALSE),4),"")</f>
        <v/>
      </c>
      <c r="B333" s="10"/>
      <c r="C333" s="10"/>
      <c r="D333" s="1" t="str">
        <f>IFNA(VLOOKUP(pts_traje!$D333,FIX!$A$2:$D1000,4,FALSE),"")</f>
        <v/>
      </c>
      <c r="E333" s="10"/>
      <c r="F333" s="10"/>
      <c r="G333" s="10"/>
      <c r="H333" s="10"/>
      <c r="I333" s="10" t="str">
        <f>IF(pts_traje!$I333&lt;&gt;0,(ROUND(pts_traje!$I333+(pts_traje!$I333*0.02*pts_traje!$H333/1000),0)),"")</f>
        <v/>
      </c>
      <c r="J333" s="10"/>
    </row>
    <row r="334">
      <c r="A334" s="1" t="str">
        <f>IFNA(right(VLOOKUP(pts_traje!$A334,trj!$B$2:$D1000,3,FALSE),4),"")</f>
        <v/>
      </c>
      <c r="B334" s="10"/>
      <c r="C334" s="10"/>
      <c r="D334" s="1" t="str">
        <f>IFNA(VLOOKUP(pts_traje!$D334,FIX!$A$2:$D1000,4,FALSE),"")</f>
        <v/>
      </c>
      <c r="E334" s="10"/>
      <c r="F334" s="10"/>
      <c r="G334" s="10"/>
      <c r="H334" s="10"/>
      <c r="I334" s="10" t="str">
        <f>IF(pts_traje!$I334&lt;&gt;0,(ROUND(pts_traje!$I334+(pts_traje!$I334*0.02*pts_traje!$H334/1000),0)),"")</f>
        <v/>
      </c>
      <c r="J334" s="10"/>
    </row>
    <row r="335">
      <c r="A335" s="1" t="str">
        <f>IFNA(right(VLOOKUP(pts_traje!$A335,trj!$B$2:$D1000,3,FALSE),4),"")</f>
        <v/>
      </c>
      <c r="B335" s="10"/>
      <c r="C335" s="10"/>
      <c r="D335" s="1" t="str">
        <f>IFNA(VLOOKUP(pts_traje!$D335,FIX!$A$2:$D1000,4,FALSE),"")</f>
        <v/>
      </c>
      <c r="E335" s="10"/>
      <c r="F335" s="10"/>
      <c r="G335" s="10"/>
      <c r="H335" s="10"/>
      <c r="I335" s="10" t="str">
        <f>IF(pts_traje!$I335&lt;&gt;0,(ROUND(pts_traje!$I335+(pts_traje!$I335*0.02*pts_traje!$H335/1000),0)),"")</f>
        <v/>
      </c>
      <c r="J335" s="10"/>
    </row>
    <row r="336">
      <c r="A336" s="1" t="str">
        <f>IFNA(right(VLOOKUP(pts_traje!$A336,trj!$B$2:$D1000,3,FALSE),4),"")</f>
        <v/>
      </c>
      <c r="B336" s="10"/>
      <c r="C336" s="10"/>
      <c r="D336" s="1" t="str">
        <f>IFNA(VLOOKUP(pts_traje!$D336,FIX!$A$2:$D1000,4,FALSE),"")</f>
        <v/>
      </c>
      <c r="E336" s="10"/>
      <c r="F336" s="10"/>
      <c r="G336" s="10"/>
      <c r="H336" s="10"/>
      <c r="I336" s="10" t="str">
        <f>IF(pts_traje!$I336&lt;&gt;0,(ROUND(pts_traje!$I336+(pts_traje!$I336*0.02*pts_traje!$H336/1000),0)),"")</f>
        <v/>
      </c>
      <c r="J336" s="10"/>
    </row>
    <row r="337">
      <c r="A337" s="1" t="str">
        <f>IFNA(right(VLOOKUP(pts_traje!$A337,trj!$B$2:$D1000,3,FALSE),4),"")</f>
        <v/>
      </c>
      <c r="B337" s="10"/>
      <c r="C337" s="10"/>
      <c r="D337" s="1" t="str">
        <f>IFNA(VLOOKUP(pts_traje!$D337,FIX!$A$2:$D1000,4,FALSE),"")</f>
        <v/>
      </c>
      <c r="E337" s="10"/>
      <c r="F337" s="10"/>
      <c r="G337" s="10"/>
      <c r="H337" s="10"/>
      <c r="I337" s="10" t="str">
        <f>IF(pts_traje!$I337&lt;&gt;0,(ROUND(pts_traje!$I337+(pts_traje!$I337*0.02*pts_traje!$H337/1000),0)),"")</f>
        <v/>
      </c>
      <c r="J337" s="10"/>
    </row>
    <row r="338">
      <c r="A338" s="1" t="str">
        <f>IFNA(right(VLOOKUP(pts_traje!$A338,trj!$B$2:$D1000,3,FALSE),4),"")</f>
        <v/>
      </c>
      <c r="B338" s="10"/>
      <c r="C338" s="10"/>
      <c r="D338" s="1" t="str">
        <f>IFNA(VLOOKUP(pts_traje!$D338,FIX!$A$2:$D1000,4,FALSE),"")</f>
        <v/>
      </c>
      <c r="E338" s="10"/>
      <c r="F338" s="10"/>
      <c r="G338" s="10"/>
      <c r="H338" s="10"/>
      <c r="I338" s="10" t="str">
        <f>IF(pts_traje!$I338&lt;&gt;0,(ROUND(pts_traje!$I338+(pts_traje!$I338*0.02*pts_traje!$H338/1000),0)),"")</f>
        <v/>
      </c>
      <c r="J338" s="10"/>
    </row>
    <row r="339">
      <c r="A339" s="1" t="str">
        <f>IFNA(right(VLOOKUP(pts_traje!$A339,trj!$B$2:$D1000,3,FALSE),4),"")</f>
        <v/>
      </c>
      <c r="B339" s="10"/>
      <c r="C339" s="10"/>
      <c r="D339" s="1" t="str">
        <f>IFNA(VLOOKUP(pts_traje!$D339,FIX!$A$2:$D1000,4,FALSE),"")</f>
        <v/>
      </c>
      <c r="E339" s="10"/>
      <c r="F339" s="10"/>
      <c r="G339" s="10"/>
      <c r="H339" s="10"/>
      <c r="I339" s="10" t="str">
        <f>IF(pts_traje!$I339&lt;&gt;0,(ROUND(pts_traje!$I339+(pts_traje!$I339*0.02*pts_traje!$H339/1000),0)),"")</f>
        <v/>
      </c>
      <c r="J339" s="10"/>
    </row>
    <row r="340">
      <c r="A340" s="1" t="str">
        <f>IFNA(right(VLOOKUP(pts_traje!$A340,trj!$B$2:$D1000,3,FALSE),4),"")</f>
        <v/>
      </c>
      <c r="B340" s="10"/>
      <c r="C340" s="10"/>
      <c r="D340" s="1" t="str">
        <f>IFNA(VLOOKUP(pts_traje!$D340,FIX!$A$2:$D1000,4,FALSE),"")</f>
        <v/>
      </c>
      <c r="E340" s="10"/>
      <c r="F340" s="10"/>
      <c r="G340" s="10"/>
      <c r="H340" s="10"/>
      <c r="I340" s="10" t="str">
        <f>IF(pts_traje!$I340&lt;&gt;0,(ROUND(pts_traje!$I340+(pts_traje!$I340*0.02*pts_traje!$H340/1000),0)),"")</f>
        <v/>
      </c>
      <c r="J340" s="10"/>
    </row>
    <row r="341">
      <c r="A341" s="1" t="str">
        <f>IFNA(right(VLOOKUP(pts_traje!$A341,trj!$B$2:$D1000,3,FALSE),4),"")</f>
        <v/>
      </c>
      <c r="B341" s="10"/>
      <c r="C341" s="10"/>
      <c r="D341" s="1" t="str">
        <f>IFNA(VLOOKUP(pts_traje!$D341,FIX!$A$2:$D1000,4,FALSE),"")</f>
        <v/>
      </c>
      <c r="E341" s="10"/>
      <c r="F341" s="10"/>
      <c r="G341" s="10"/>
      <c r="H341" s="10"/>
      <c r="I341" s="10" t="str">
        <f>IF(pts_traje!$I341&lt;&gt;0,(ROUND(pts_traje!$I341+(pts_traje!$I341*0.02*pts_traje!$H341/1000),0)),"")</f>
        <v/>
      </c>
      <c r="J341" s="10"/>
    </row>
    <row r="342">
      <c r="A342" s="1" t="str">
        <f>IFNA(right(VLOOKUP(pts_traje!$A342,trj!$B$2:$D1000,3,FALSE),4),"")</f>
        <v/>
      </c>
      <c r="B342" s="10"/>
      <c r="C342" s="10"/>
      <c r="D342" s="1" t="str">
        <f>IFNA(VLOOKUP(pts_traje!$D342,FIX!$A$2:$D1000,4,FALSE),"")</f>
        <v/>
      </c>
      <c r="E342" s="10"/>
      <c r="F342" s="10"/>
      <c r="G342" s="10"/>
      <c r="H342" s="10"/>
      <c r="I342" s="10" t="str">
        <f>IF(pts_traje!$I342&lt;&gt;0,(ROUND(pts_traje!$I342+(pts_traje!$I342*0.02*pts_traje!$H342/1000),0)),"")</f>
        <v/>
      </c>
      <c r="J342" s="10"/>
    </row>
    <row r="343">
      <c r="A343" s="1" t="str">
        <f>IFNA(right(VLOOKUP(pts_traje!$A343,trj!$B$2:$D1000,3,FALSE),4),"")</f>
        <v/>
      </c>
      <c r="B343" s="10"/>
      <c r="C343" s="10"/>
      <c r="D343" s="1" t="str">
        <f>IFNA(VLOOKUP(pts_traje!$D343,FIX!$A$2:$D1000,4,FALSE),"")</f>
        <v/>
      </c>
      <c r="E343" s="10"/>
      <c r="F343" s="10"/>
      <c r="G343" s="10"/>
      <c r="H343" s="10"/>
      <c r="I343" s="10" t="str">
        <f>IF(pts_traje!$I343&lt;&gt;0,(ROUND(pts_traje!$I343+(pts_traje!$I343*0.02*pts_traje!$H343/1000),0)),"")</f>
        <v/>
      </c>
      <c r="J343" s="10"/>
    </row>
    <row r="344">
      <c r="A344" s="1" t="str">
        <f>IFNA(right(VLOOKUP(pts_traje!$A344,trj!$B$2:$D1000,3,FALSE),4),"")</f>
        <v/>
      </c>
      <c r="B344" s="10"/>
      <c r="C344" s="10"/>
      <c r="D344" s="1" t="str">
        <f>IFNA(VLOOKUP(pts_traje!$D344,FIX!$A$2:$D1000,4,FALSE),"")</f>
        <v/>
      </c>
      <c r="E344" s="10"/>
      <c r="F344" s="10"/>
      <c r="G344" s="10"/>
      <c r="H344" s="10"/>
      <c r="I344" s="10" t="str">
        <f>IF(pts_traje!$I344&lt;&gt;0,(ROUND(pts_traje!$I344+(pts_traje!$I344*0.02*pts_traje!$H344/1000),0)),"")</f>
        <v/>
      </c>
      <c r="J344" s="10"/>
    </row>
    <row r="345">
      <c r="A345" s="1" t="str">
        <f>IFNA(right(VLOOKUP(pts_traje!$A345,trj!$B$2:$D1000,3,FALSE),4),"")</f>
        <v/>
      </c>
      <c r="B345" s="10"/>
      <c r="C345" s="10"/>
      <c r="D345" s="1" t="str">
        <f>IFNA(VLOOKUP(pts_traje!$D345,FIX!$A$2:$D1000,4,FALSE),"")</f>
        <v/>
      </c>
      <c r="E345" s="10"/>
      <c r="F345" s="10"/>
      <c r="G345" s="10"/>
      <c r="H345" s="10"/>
      <c r="I345" s="10" t="str">
        <f>IF(pts_traje!$I345&lt;&gt;0,(ROUND(pts_traje!$I345+(pts_traje!$I345*0.02*pts_traje!$H345/1000),0)),"")</f>
        <v/>
      </c>
      <c r="J345" s="10"/>
    </row>
    <row r="346">
      <c r="A346" s="1" t="str">
        <f>IFNA(right(VLOOKUP(pts_traje!$A346,trj!$B$2:$D1000,3,FALSE),4),"")</f>
        <v/>
      </c>
      <c r="B346" s="10"/>
      <c r="C346" s="10"/>
      <c r="D346" s="1" t="str">
        <f>IFNA(VLOOKUP(pts_traje!$D346,FIX!$A$2:$D1000,4,FALSE),"")</f>
        <v/>
      </c>
      <c r="E346" s="10"/>
      <c r="F346" s="10"/>
      <c r="G346" s="10"/>
      <c r="H346" s="10"/>
      <c r="I346" s="10" t="str">
        <f>IF(pts_traje!$I346&lt;&gt;0,(ROUND(pts_traje!$I346+(pts_traje!$I346*0.02*pts_traje!$H346/1000),0)),"")</f>
        <v/>
      </c>
      <c r="J346" s="10"/>
    </row>
    <row r="347">
      <c r="A347" s="1" t="str">
        <f>IFNA(right(VLOOKUP(pts_traje!$A347,trj!$B$2:$D1000,3,FALSE),4),"")</f>
        <v/>
      </c>
      <c r="B347" s="10"/>
      <c r="C347" s="10"/>
      <c r="D347" s="1" t="str">
        <f>IFNA(VLOOKUP(pts_traje!$D347,FIX!$A$2:$D1000,4,FALSE),"")</f>
        <v/>
      </c>
      <c r="E347" s="10"/>
      <c r="F347" s="10"/>
      <c r="G347" s="10"/>
      <c r="H347" s="10"/>
      <c r="I347" s="10" t="str">
        <f>IF(pts_traje!$I347&lt;&gt;0,(ROUND(pts_traje!$I347+(pts_traje!$I347*0.02*pts_traje!$H347/1000),0)),"")</f>
        <v/>
      </c>
      <c r="J347" s="10"/>
    </row>
    <row r="348">
      <c r="A348" s="1" t="str">
        <f>IFNA(right(VLOOKUP(pts_traje!$A348,trj!$B$2:$D1000,3,FALSE),4),"")</f>
        <v/>
      </c>
      <c r="B348" s="10"/>
      <c r="C348" s="10"/>
      <c r="D348" s="1" t="str">
        <f>IFNA(VLOOKUP(pts_traje!$D348,FIX!$A$2:$D1000,4,FALSE),"")</f>
        <v/>
      </c>
      <c r="E348" s="10"/>
      <c r="F348" s="10"/>
      <c r="G348" s="10"/>
      <c r="H348" s="10"/>
      <c r="I348" s="10" t="str">
        <f>IF(pts_traje!$I348&lt;&gt;0,(ROUND(pts_traje!$I348+(pts_traje!$I348*0.02*pts_traje!$H348/1000),0)),"")</f>
        <v/>
      </c>
      <c r="J348" s="10"/>
    </row>
    <row r="349">
      <c r="A349" s="1" t="str">
        <f>IFNA(right(VLOOKUP(pts_traje!$A349,trj!$B$2:$D1000,3,FALSE),4),"")</f>
        <v/>
      </c>
      <c r="B349" s="10"/>
      <c r="C349" s="10"/>
      <c r="D349" s="1" t="str">
        <f>IFNA(VLOOKUP(pts_traje!$D349,FIX!$A$2:$D1000,4,FALSE),"")</f>
        <v/>
      </c>
      <c r="E349" s="10"/>
      <c r="F349" s="10"/>
      <c r="G349" s="10"/>
      <c r="H349" s="10"/>
      <c r="I349" s="10" t="str">
        <f>IF(pts_traje!$I349&lt;&gt;0,(ROUND(pts_traje!$I349+(pts_traje!$I349*0.02*pts_traje!$H349/1000),0)),"")</f>
        <v/>
      </c>
      <c r="J349" s="10"/>
    </row>
    <row r="350">
      <c r="A350" s="1" t="str">
        <f>IFNA(right(VLOOKUP(pts_traje!$A350,trj!$B$2:$D1000,3,FALSE),4),"")</f>
        <v/>
      </c>
      <c r="B350" s="10"/>
      <c r="C350" s="10"/>
      <c r="D350" s="1" t="str">
        <f>IFNA(VLOOKUP(pts_traje!$D350,FIX!$A$2:$D1000,4,FALSE),"")</f>
        <v/>
      </c>
      <c r="E350" s="10"/>
      <c r="F350" s="10"/>
      <c r="G350" s="10"/>
      <c r="H350" s="10"/>
      <c r="I350" s="10" t="str">
        <f>IF(pts_traje!$I350&lt;&gt;0,(ROUND(pts_traje!$I350+(pts_traje!$I350*0.02*pts_traje!$H350/1000),0)),"")</f>
        <v/>
      </c>
      <c r="J350" s="10"/>
    </row>
    <row r="351">
      <c r="A351" s="1" t="str">
        <f>IFNA(right(VLOOKUP(pts_traje!$A351,trj!$B$2:$D1000,3,FALSE),4),"")</f>
        <v/>
      </c>
      <c r="B351" s="10"/>
      <c r="C351" s="10"/>
      <c r="D351" s="1" t="str">
        <f>IFNA(VLOOKUP(pts_traje!$D351,FIX!$A$2:$D1000,4,FALSE),"")</f>
        <v/>
      </c>
      <c r="E351" s="10"/>
      <c r="F351" s="10"/>
      <c r="G351" s="10"/>
      <c r="H351" s="10"/>
      <c r="I351" s="10" t="str">
        <f>IF(pts_traje!$I351&lt;&gt;0,(ROUND(pts_traje!$I351+(pts_traje!$I351*0.02*pts_traje!$H351/1000),0)),"")</f>
        <v/>
      </c>
      <c r="J351" s="10"/>
    </row>
    <row r="352">
      <c r="A352" s="1" t="str">
        <f>IFNA(right(VLOOKUP(pts_traje!$A352,trj!$B$2:$D1000,3,FALSE),4),"")</f>
        <v/>
      </c>
      <c r="B352" s="10"/>
      <c r="C352" s="10"/>
      <c r="D352" s="1" t="str">
        <f>IFNA(VLOOKUP(pts_traje!$D352,FIX!$A$2:$D1000,4,FALSE),"")</f>
        <v/>
      </c>
      <c r="E352" s="10"/>
      <c r="F352" s="10"/>
      <c r="G352" s="10"/>
      <c r="H352" s="10"/>
      <c r="I352" s="10" t="str">
        <f>IF(pts_traje!$I352&lt;&gt;0,(ROUND(pts_traje!$I352+(pts_traje!$I352*0.02*pts_traje!$H352/1000),0)),"")</f>
        <v/>
      </c>
      <c r="J352" s="10"/>
    </row>
    <row r="353">
      <c r="A353" s="1" t="str">
        <f>IFNA(right(VLOOKUP(pts_traje!$A353,trj!$B$2:$D1000,3,FALSE),4),"")</f>
        <v/>
      </c>
      <c r="B353" s="10"/>
      <c r="C353" s="10"/>
      <c r="D353" s="1" t="str">
        <f>IFNA(VLOOKUP(pts_traje!$D353,FIX!$A$2:$D1000,4,FALSE),"")</f>
        <v/>
      </c>
      <c r="E353" s="10"/>
      <c r="F353" s="10"/>
      <c r="G353" s="10"/>
      <c r="H353" s="10"/>
      <c r="I353" s="10" t="str">
        <f>IF(pts_traje!$I353&lt;&gt;0,(ROUND(pts_traje!$I353+(pts_traje!$I353*0.02*pts_traje!$H353/1000),0)),"")</f>
        <v/>
      </c>
      <c r="J353" s="10"/>
    </row>
    <row r="354">
      <c r="A354" s="1" t="str">
        <f>IFNA(right(VLOOKUP(pts_traje!$A354,trj!$B$2:$D1000,3,FALSE),4),"")</f>
        <v/>
      </c>
      <c r="B354" s="10"/>
      <c r="C354" s="10"/>
      <c r="D354" s="1" t="str">
        <f>IFNA(VLOOKUP(pts_traje!$D354,FIX!$A$2:$D1000,4,FALSE),"")</f>
        <v/>
      </c>
      <c r="E354" s="10"/>
      <c r="F354" s="10"/>
      <c r="G354" s="10"/>
      <c r="H354" s="10"/>
      <c r="I354" s="10" t="str">
        <f>IF(pts_traje!$I354&lt;&gt;0,(ROUND(pts_traje!$I354+(pts_traje!$I354*0.02*pts_traje!$H354/1000),0)),"")</f>
        <v/>
      </c>
      <c r="J354" s="10"/>
    </row>
    <row r="355">
      <c r="A355" s="1" t="str">
        <f>IFNA(right(VLOOKUP(pts_traje!$A355,trj!$B$2:$D1000,3,FALSE),4),"")</f>
        <v/>
      </c>
      <c r="B355" s="10"/>
      <c r="C355" s="10"/>
      <c r="D355" s="1" t="str">
        <f>IFNA(VLOOKUP(pts_traje!$D355,FIX!$A$2:$D1000,4,FALSE),"")</f>
        <v/>
      </c>
      <c r="E355" s="10"/>
      <c r="F355" s="10"/>
      <c r="G355" s="10"/>
      <c r="H355" s="10"/>
      <c r="I355" s="10" t="str">
        <f>IF(pts_traje!$I355&lt;&gt;0,(ROUND(pts_traje!$I355+(pts_traje!$I355*0.02*pts_traje!$H355/1000),0)),"")</f>
        <v/>
      </c>
      <c r="J355" s="10"/>
    </row>
    <row r="356">
      <c r="A356" s="1" t="str">
        <f>IFNA(right(VLOOKUP(pts_traje!$A356,trj!$B$2:$D1000,3,FALSE),4),"")</f>
        <v/>
      </c>
      <c r="B356" s="10"/>
      <c r="C356" s="10"/>
      <c r="D356" s="1" t="str">
        <f>IFNA(VLOOKUP(pts_traje!$D356,FIX!$A$2:$D1000,4,FALSE),"")</f>
        <v/>
      </c>
      <c r="E356" s="10"/>
      <c r="F356" s="10"/>
      <c r="G356" s="10"/>
      <c r="H356" s="10"/>
      <c r="I356" s="10" t="str">
        <f>IF(pts_traje!$I356&lt;&gt;0,(ROUND(pts_traje!$I356+(pts_traje!$I356*0.02*pts_traje!$H356/1000),0)),"")</f>
        <v/>
      </c>
      <c r="J356" s="10"/>
    </row>
    <row r="357">
      <c r="A357" s="1" t="str">
        <f>IFNA(right(VLOOKUP(pts_traje!$A357,trj!$B$2:$D1000,3,FALSE),4),"")</f>
        <v/>
      </c>
      <c r="B357" s="10"/>
      <c r="C357" s="10"/>
      <c r="D357" s="1" t="str">
        <f>IFNA(VLOOKUP(pts_traje!$D357,FIX!$A$2:$D1000,4,FALSE),"")</f>
        <v/>
      </c>
      <c r="E357" s="10"/>
      <c r="F357" s="10"/>
      <c r="G357" s="10"/>
      <c r="H357" s="10"/>
      <c r="I357" s="10" t="str">
        <f>IF(pts_traje!$I357&lt;&gt;0,(ROUND(pts_traje!$I357+(pts_traje!$I357*0.02*pts_traje!$H357/1000),0)),"")</f>
        <v/>
      </c>
      <c r="J357" s="10"/>
    </row>
    <row r="358">
      <c r="A358" s="1" t="str">
        <f>IFNA(right(VLOOKUP(pts_traje!$A358,trj!$B$2:$D1000,3,FALSE),4),"")</f>
        <v/>
      </c>
      <c r="B358" s="10"/>
      <c r="C358" s="10"/>
      <c r="D358" s="1" t="str">
        <f>IFNA(VLOOKUP(pts_traje!$D358,FIX!$A$2:$D1000,4,FALSE),"")</f>
        <v/>
      </c>
      <c r="E358" s="10"/>
      <c r="F358" s="10"/>
      <c r="G358" s="10"/>
      <c r="H358" s="10"/>
      <c r="I358" s="10" t="str">
        <f>IF(pts_traje!$I358&lt;&gt;0,(ROUND(pts_traje!$I358+(pts_traje!$I358*0.02*pts_traje!$H358/1000),0)),"")</f>
        <v/>
      </c>
      <c r="J358" s="10"/>
    </row>
    <row r="359">
      <c r="A359" s="1" t="str">
        <f>IFNA(right(VLOOKUP(pts_traje!$A359,trj!$B$2:$D1000,3,FALSE),4),"")</f>
        <v/>
      </c>
      <c r="B359" s="10"/>
      <c r="C359" s="10"/>
      <c r="D359" s="1" t="str">
        <f>IFNA(VLOOKUP(pts_traje!$D359,FIX!$A$2:$D1000,4,FALSE),"")</f>
        <v/>
      </c>
      <c r="E359" s="10"/>
      <c r="F359" s="10"/>
      <c r="G359" s="10"/>
      <c r="H359" s="10"/>
      <c r="I359" s="10" t="str">
        <f>IF(pts_traje!$I359&lt;&gt;0,(ROUND(pts_traje!$I359+(pts_traje!$I359*0.02*pts_traje!$H359/1000),0)),"")</f>
        <v/>
      </c>
      <c r="J359" s="10"/>
    </row>
    <row r="360">
      <c r="A360" s="1" t="str">
        <f>IFNA(right(VLOOKUP(pts_traje!$A360,trj!$B$2:$D1000,3,FALSE),4),"")</f>
        <v/>
      </c>
      <c r="B360" s="10"/>
      <c r="C360" s="10"/>
      <c r="D360" s="1" t="str">
        <f>IFNA(VLOOKUP(pts_traje!$D360,FIX!$A$2:$D1000,4,FALSE),"")</f>
        <v/>
      </c>
      <c r="E360" s="10"/>
      <c r="F360" s="10"/>
      <c r="G360" s="10"/>
      <c r="H360" s="10"/>
      <c r="I360" s="10" t="str">
        <f>IF(pts_traje!$I360&lt;&gt;0,(ROUND(pts_traje!$I360+(pts_traje!$I360*0.02*pts_traje!$H360/1000),0)),"")</f>
        <v/>
      </c>
      <c r="J360" s="10"/>
    </row>
    <row r="361">
      <c r="A361" s="1" t="str">
        <f>IFNA(right(VLOOKUP(pts_traje!$A361,trj!$B$2:$D1000,3,FALSE),4),"")</f>
        <v/>
      </c>
      <c r="B361" s="10"/>
      <c r="C361" s="10"/>
      <c r="D361" s="1" t="str">
        <f>IFNA(VLOOKUP(pts_traje!$D361,FIX!$A$2:$D1000,4,FALSE),"")</f>
        <v/>
      </c>
      <c r="E361" s="10"/>
      <c r="F361" s="10"/>
      <c r="G361" s="10"/>
      <c r="H361" s="10"/>
      <c r="I361" s="10" t="str">
        <f>IF(pts_traje!$I361&lt;&gt;0,(ROUND(pts_traje!$I361+(pts_traje!$I361*0.02*pts_traje!$H361/1000),0)),"")</f>
        <v/>
      </c>
      <c r="J361" s="10"/>
    </row>
    <row r="362">
      <c r="A362" s="1" t="str">
        <f>IFNA(right(VLOOKUP(pts_traje!$A362,trj!$B$2:$D1000,3,FALSE),4),"")</f>
        <v/>
      </c>
      <c r="B362" s="10"/>
      <c r="C362" s="10"/>
      <c r="D362" s="1" t="str">
        <f>IFNA(VLOOKUP(pts_traje!$D362,FIX!$A$2:$D1000,4,FALSE),"")</f>
        <v/>
      </c>
      <c r="E362" s="10"/>
      <c r="F362" s="10"/>
      <c r="G362" s="10"/>
      <c r="H362" s="10"/>
      <c r="I362" s="10" t="str">
        <f>IF(pts_traje!$I362&lt;&gt;0,(ROUND(pts_traje!$I362+(pts_traje!$I362*0.02*pts_traje!$H362/1000),0)),"")</f>
        <v/>
      </c>
      <c r="J362" s="10"/>
    </row>
    <row r="363">
      <c r="A363" s="1" t="str">
        <f>IFNA(right(VLOOKUP(pts_traje!$A363,trj!$B$2:$D1000,3,FALSE),4),"")</f>
        <v/>
      </c>
      <c r="B363" s="10"/>
      <c r="C363" s="10"/>
      <c r="D363" s="1" t="str">
        <f>IFNA(VLOOKUP(pts_traje!$D363,FIX!$A$2:$D1000,4,FALSE),"")</f>
        <v/>
      </c>
      <c r="E363" s="10"/>
      <c r="F363" s="10"/>
      <c r="G363" s="10"/>
      <c r="H363" s="10"/>
      <c r="I363" s="10" t="str">
        <f>IF(pts_traje!$I363&lt;&gt;0,(ROUND(pts_traje!$I363+(pts_traje!$I363*0.02*pts_traje!$H363/1000),0)),"")</f>
        <v/>
      </c>
      <c r="J363" s="10"/>
    </row>
    <row r="364">
      <c r="A364" s="1" t="str">
        <f>IFNA(right(VLOOKUP(pts_traje!$A364,trj!$B$2:$D1000,3,FALSE),4),"")</f>
        <v/>
      </c>
      <c r="B364" s="10"/>
      <c r="C364" s="10"/>
      <c r="D364" s="1" t="str">
        <f>IFNA(VLOOKUP(pts_traje!$D364,FIX!$A$2:$D1000,4,FALSE),"")</f>
        <v/>
      </c>
      <c r="E364" s="10"/>
      <c r="F364" s="10"/>
      <c r="G364" s="10"/>
      <c r="H364" s="10"/>
      <c r="I364" s="10" t="str">
        <f>IF(pts_traje!$I364&lt;&gt;0,(ROUND(pts_traje!$I364+(pts_traje!$I364*0.02*pts_traje!$H364/1000),0)),"")</f>
        <v/>
      </c>
      <c r="J364" s="10"/>
    </row>
    <row r="365">
      <c r="A365" s="1" t="str">
        <f>IFNA(right(VLOOKUP(pts_traje!$A365,trj!$B$2:$D1000,3,FALSE),4),"")</f>
        <v/>
      </c>
      <c r="B365" s="10"/>
      <c r="C365" s="10"/>
      <c r="D365" s="1" t="str">
        <f>IFNA(VLOOKUP(pts_traje!$D365,FIX!$A$2:$D1000,4,FALSE),"")</f>
        <v/>
      </c>
      <c r="E365" s="10"/>
      <c r="F365" s="10"/>
      <c r="G365" s="10"/>
      <c r="H365" s="10"/>
      <c r="I365" s="10" t="str">
        <f>IF(pts_traje!$I365&lt;&gt;0,(ROUND(pts_traje!$I365+(pts_traje!$I365*0.02*pts_traje!$H365/1000),0)),"")</f>
        <v/>
      </c>
      <c r="J365" s="10"/>
    </row>
    <row r="366">
      <c r="A366" s="1" t="str">
        <f>IFNA(right(VLOOKUP(pts_traje!$A366,trj!$B$2:$D1000,3,FALSE),4),"")</f>
        <v/>
      </c>
      <c r="B366" s="10"/>
      <c r="C366" s="10"/>
      <c r="D366" s="1" t="str">
        <f>IFNA(VLOOKUP(pts_traje!$D366,FIX!$A$2:$D1000,4,FALSE),"")</f>
        <v/>
      </c>
      <c r="E366" s="10"/>
      <c r="F366" s="10"/>
      <c r="G366" s="10"/>
      <c r="H366" s="10"/>
      <c r="I366" s="10" t="str">
        <f>IF(pts_traje!$I366&lt;&gt;0,(ROUND(pts_traje!$I366+(pts_traje!$I366*0.02*pts_traje!$H366/1000),0)),"")</f>
        <v/>
      </c>
      <c r="J366" s="10"/>
    </row>
    <row r="367">
      <c r="A367" s="1" t="str">
        <f>IFNA(right(VLOOKUP(pts_traje!$A367,trj!$B$2:$D1000,3,FALSE),4),"")</f>
        <v/>
      </c>
      <c r="B367" s="10"/>
      <c r="C367" s="10"/>
      <c r="D367" s="1" t="str">
        <f>IFNA(VLOOKUP(pts_traje!$D367,FIX!$A$2:$D1000,4,FALSE),"")</f>
        <v/>
      </c>
      <c r="E367" s="10"/>
      <c r="F367" s="10"/>
      <c r="G367" s="10"/>
      <c r="H367" s="10"/>
      <c r="I367" s="10" t="str">
        <f>IF(pts_traje!$I367&lt;&gt;0,(ROUND(pts_traje!$I367+(pts_traje!$I367*0.02*pts_traje!$H367/1000),0)),"")</f>
        <v/>
      </c>
      <c r="J367" s="10"/>
    </row>
    <row r="368">
      <c r="A368" s="1" t="str">
        <f>IFNA(right(VLOOKUP(pts_traje!$A368,trj!$B$2:$D1000,3,FALSE),4),"")</f>
        <v/>
      </c>
      <c r="B368" s="10"/>
      <c r="C368" s="10"/>
      <c r="D368" s="1" t="str">
        <f>IFNA(VLOOKUP(pts_traje!$D368,FIX!$A$2:$D1000,4,FALSE),"")</f>
        <v/>
      </c>
      <c r="E368" s="10"/>
      <c r="F368" s="10"/>
      <c r="G368" s="10"/>
      <c r="H368" s="10"/>
      <c r="I368" s="10" t="str">
        <f>IF(pts_traje!$I368&lt;&gt;0,(ROUND(pts_traje!$I368+(pts_traje!$I368*0.02*pts_traje!$H368/1000),0)),"")</f>
        <v/>
      </c>
      <c r="J368" s="10"/>
    </row>
    <row r="369">
      <c r="A369" s="1" t="str">
        <f>IFNA(right(VLOOKUP(pts_traje!$A369,trj!$B$2:$D1000,3,FALSE),4),"")</f>
        <v/>
      </c>
      <c r="B369" s="10"/>
      <c r="C369" s="10"/>
      <c r="D369" s="1" t="str">
        <f>IFNA(VLOOKUP(pts_traje!$D369,FIX!$A$2:$D1000,4,FALSE),"")</f>
        <v/>
      </c>
      <c r="E369" s="10"/>
      <c r="F369" s="10"/>
      <c r="G369" s="10"/>
      <c r="H369" s="10"/>
      <c r="I369" s="10" t="str">
        <f>IF(pts_traje!$I369&lt;&gt;0,(ROUND(pts_traje!$I369+(pts_traje!$I369*0.02*pts_traje!$H369/1000),0)),"")</f>
        <v/>
      </c>
      <c r="J369" s="10"/>
    </row>
    <row r="370">
      <c r="A370" s="1" t="str">
        <f>IFNA(right(VLOOKUP(pts_traje!$A370,trj!$B$2:$D1000,3,FALSE),4),"")</f>
        <v/>
      </c>
      <c r="B370" s="10"/>
      <c r="C370" s="10"/>
      <c r="D370" s="1" t="str">
        <f>IFNA(VLOOKUP(pts_traje!$D370,FIX!$A$2:$D1000,4,FALSE),"")</f>
        <v/>
      </c>
      <c r="E370" s="10"/>
      <c r="F370" s="10"/>
      <c r="G370" s="10"/>
      <c r="H370" s="10"/>
      <c r="I370" s="10" t="str">
        <f>IF(pts_traje!$I370&lt;&gt;0,(ROUND(pts_traje!$I370+(pts_traje!$I370*0.02*pts_traje!$H370/1000),0)),"")</f>
        <v/>
      </c>
      <c r="J370" s="10"/>
    </row>
    <row r="371">
      <c r="A371" s="1" t="str">
        <f>IFNA(right(VLOOKUP(pts_traje!$A371,trj!$B$2:$D1000,3,FALSE),4),"")</f>
        <v/>
      </c>
      <c r="B371" s="10"/>
      <c r="C371" s="10"/>
      <c r="D371" s="1" t="str">
        <f>IFNA(VLOOKUP(pts_traje!$D371,FIX!$A$2:$D1000,4,FALSE),"")</f>
        <v/>
      </c>
      <c r="E371" s="10"/>
      <c r="F371" s="10"/>
      <c r="G371" s="10"/>
      <c r="H371" s="10"/>
      <c r="I371" s="10" t="str">
        <f>IF(pts_traje!$I371&lt;&gt;0,(ROUND(pts_traje!$I371+(pts_traje!$I371*0.02*pts_traje!$H371/1000),0)),"")</f>
        <v/>
      </c>
      <c r="J371" s="10"/>
    </row>
    <row r="372">
      <c r="A372" s="1" t="str">
        <f>IFNA(right(VLOOKUP(pts_traje!$A372,trj!$B$2:$D1000,3,FALSE),4),"")</f>
        <v/>
      </c>
      <c r="B372" s="10"/>
      <c r="C372" s="10"/>
      <c r="D372" s="1" t="str">
        <f>IFNA(VLOOKUP(pts_traje!$D372,FIX!$A$2:$D1000,4,FALSE),"")</f>
        <v/>
      </c>
      <c r="E372" s="10"/>
      <c r="F372" s="10"/>
      <c r="G372" s="10"/>
      <c r="H372" s="10"/>
      <c r="I372" s="10" t="str">
        <f>IF(pts_traje!$I372&lt;&gt;0,(ROUND(pts_traje!$I372+(pts_traje!$I372*0.02*pts_traje!$H372/1000),0)),"")</f>
        <v/>
      </c>
      <c r="J372" s="10"/>
    </row>
    <row r="373">
      <c r="A373" s="1" t="str">
        <f>IFNA(right(VLOOKUP(pts_traje!$A373,trj!$B$2:$D1000,3,FALSE),4),"")</f>
        <v/>
      </c>
      <c r="B373" s="10"/>
      <c r="C373" s="10"/>
      <c r="D373" s="1" t="str">
        <f>IFNA(VLOOKUP(pts_traje!$D373,FIX!$A$2:$D1000,4,FALSE),"")</f>
        <v/>
      </c>
      <c r="E373" s="10"/>
      <c r="F373" s="10"/>
      <c r="G373" s="10"/>
      <c r="H373" s="10"/>
      <c r="I373" s="10" t="str">
        <f>IF(pts_traje!$I373&lt;&gt;0,(ROUND(pts_traje!$I373+(pts_traje!$I373*0.02*pts_traje!$H373/1000),0)),"")</f>
        <v/>
      </c>
      <c r="J373" s="10"/>
    </row>
    <row r="374">
      <c r="A374" s="1" t="str">
        <f>IFNA(right(VLOOKUP(pts_traje!$A374,trj!$B$2:$D1000,3,FALSE),4),"")</f>
        <v/>
      </c>
      <c r="B374" s="10"/>
      <c r="C374" s="10"/>
      <c r="D374" s="1" t="str">
        <f>IFNA(VLOOKUP(pts_traje!$D374,FIX!$A$2:$D1000,4,FALSE),"")</f>
        <v/>
      </c>
      <c r="E374" s="10"/>
      <c r="F374" s="10"/>
      <c r="G374" s="10"/>
      <c r="H374" s="10"/>
      <c r="I374" s="10" t="str">
        <f>IF(pts_traje!$I374&lt;&gt;0,(ROUND(pts_traje!$I374+(pts_traje!$I374*0.02*pts_traje!$H374/1000),0)),"")</f>
        <v/>
      </c>
      <c r="J374" s="10"/>
    </row>
    <row r="375">
      <c r="A375" s="1" t="str">
        <f>IFNA(right(VLOOKUP(pts_traje!$A375,trj!$B$2:$D1000,3,FALSE),4),"")</f>
        <v/>
      </c>
      <c r="B375" s="10"/>
      <c r="C375" s="10"/>
      <c r="D375" s="1" t="str">
        <f>IFNA(VLOOKUP(pts_traje!$D375,FIX!$A$2:$D1000,4,FALSE),"")</f>
        <v/>
      </c>
      <c r="E375" s="10"/>
      <c r="F375" s="10"/>
      <c r="G375" s="10"/>
      <c r="H375" s="10"/>
      <c r="I375" s="10" t="str">
        <f>IF(pts_traje!$I375&lt;&gt;0,(ROUND(pts_traje!$I375+(pts_traje!$I375*0.02*pts_traje!$H375/1000),0)),"")</f>
        <v/>
      </c>
      <c r="J375" s="10"/>
    </row>
    <row r="376">
      <c r="A376" s="1" t="str">
        <f>IFNA(right(VLOOKUP(pts_traje!$A376,trj!$B$2:$D1000,3,FALSE),4),"")</f>
        <v/>
      </c>
      <c r="B376" s="10"/>
      <c r="C376" s="10"/>
      <c r="D376" s="1" t="str">
        <f>IFNA(VLOOKUP(pts_traje!$D376,FIX!$A$2:$D1000,4,FALSE),"")</f>
        <v/>
      </c>
      <c r="E376" s="10"/>
      <c r="F376" s="10"/>
      <c r="G376" s="10"/>
      <c r="H376" s="10"/>
      <c r="I376" s="10" t="str">
        <f>IF(pts_traje!$I376&lt;&gt;0,(ROUND(pts_traje!$I376+(pts_traje!$I376*0.02*pts_traje!$H376/1000),0)),"")</f>
        <v/>
      </c>
      <c r="J376" s="10"/>
    </row>
    <row r="377">
      <c r="A377" s="1" t="str">
        <f>IFNA(right(VLOOKUP(pts_traje!$A377,trj!$B$2:$D1000,3,FALSE),4),"")</f>
        <v/>
      </c>
      <c r="B377" s="10"/>
      <c r="C377" s="10"/>
      <c r="D377" s="1" t="str">
        <f>IFNA(VLOOKUP(pts_traje!$D377,FIX!$A$2:$D1000,4,FALSE),"")</f>
        <v/>
      </c>
      <c r="E377" s="10"/>
      <c r="F377" s="10"/>
      <c r="G377" s="10"/>
      <c r="H377" s="10"/>
      <c r="I377" s="10" t="str">
        <f>IF(pts_traje!$I377&lt;&gt;0,(ROUND(pts_traje!$I377+(pts_traje!$I377*0.02*pts_traje!$H377/1000),0)),"")</f>
        <v/>
      </c>
      <c r="J377" s="10"/>
    </row>
    <row r="378">
      <c r="A378" s="1" t="str">
        <f>IFNA(right(VLOOKUP(pts_traje!$A378,trj!$B$2:$D1000,3,FALSE),4),"")</f>
        <v/>
      </c>
      <c r="B378" s="10"/>
      <c r="C378" s="10"/>
      <c r="D378" s="1" t="str">
        <f>IFNA(VLOOKUP(pts_traje!$D378,FIX!$A$2:$D1000,4,FALSE),"")</f>
        <v/>
      </c>
      <c r="E378" s="10"/>
      <c r="F378" s="10"/>
      <c r="G378" s="10"/>
      <c r="H378" s="10"/>
      <c r="I378" s="10" t="str">
        <f>IF(pts_traje!$I378&lt;&gt;0,(ROUND(pts_traje!$I378+(pts_traje!$I378*0.02*pts_traje!$H378/1000),0)),"")</f>
        <v/>
      </c>
      <c r="J378" s="10"/>
    </row>
    <row r="379">
      <c r="A379" s="1" t="str">
        <f>IFNA(right(VLOOKUP(pts_traje!$A379,trj!$B$2:$D1000,3,FALSE),4),"")</f>
        <v/>
      </c>
      <c r="B379" s="10"/>
      <c r="C379" s="10"/>
      <c r="D379" s="1" t="str">
        <f>IFNA(VLOOKUP(pts_traje!$D379,FIX!$A$2:$D1000,4,FALSE),"")</f>
        <v/>
      </c>
      <c r="E379" s="10"/>
      <c r="F379" s="10"/>
      <c r="G379" s="10"/>
      <c r="H379" s="10"/>
      <c r="I379" s="10" t="str">
        <f>IF(pts_traje!$I379&lt;&gt;0,(ROUND(pts_traje!$I379+(pts_traje!$I379*0.02*pts_traje!$H379/1000),0)),"")</f>
        <v/>
      </c>
      <c r="J379" s="10"/>
    </row>
    <row r="380">
      <c r="A380" s="1" t="str">
        <f>IFNA(right(VLOOKUP(pts_traje!$A380,trj!$B$2:$D1000,3,FALSE),4),"")</f>
        <v/>
      </c>
      <c r="B380" s="10"/>
      <c r="C380" s="10"/>
      <c r="D380" s="1" t="str">
        <f>IFNA(VLOOKUP(pts_traje!$D380,FIX!$A$2:$D1000,4,FALSE),"")</f>
        <v/>
      </c>
      <c r="E380" s="10"/>
      <c r="F380" s="10"/>
      <c r="G380" s="10"/>
      <c r="H380" s="10"/>
      <c r="I380" s="10" t="str">
        <f>IF(pts_traje!$I380&lt;&gt;0,(ROUND(pts_traje!$I380+(pts_traje!$I380*0.02*pts_traje!$H380/1000),0)),"")</f>
        <v/>
      </c>
      <c r="J380" s="10"/>
    </row>
    <row r="381">
      <c r="A381" s="1" t="str">
        <f>IFNA(right(VLOOKUP(pts_traje!$A381,trj!$B$2:$D1000,3,FALSE),4),"")</f>
        <v/>
      </c>
      <c r="B381" s="10"/>
      <c r="C381" s="10"/>
      <c r="D381" s="1" t="str">
        <f>IFNA(VLOOKUP(pts_traje!$D381,FIX!$A$2:$D1000,4,FALSE),"")</f>
        <v/>
      </c>
      <c r="E381" s="10"/>
      <c r="F381" s="10"/>
      <c r="G381" s="10"/>
      <c r="H381" s="10"/>
      <c r="I381" s="10" t="str">
        <f>IF(pts_traje!$I381&lt;&gt;0,(ROUND(pts_traje!$I381+(pts_traje!$I381*0.02*pts_traje!$H381/1000),0)),"")</f>
        <v/>
      </c>
      <c r="J381" s="10"/>
    </row>
    <row r="382">
      <c r="A382" s="1" t="str">
        <f>IFNA(right(VLOOKUP(pts_traje!$A382,trj!$B$2:$D1000,3,FALSE),4),"")</f>
        <v/>
      </c>
      <c r="B382" s="10"/>
      <c r="C382" s="10"/>
      <c r="D382" s="1" t="str">
        <f>IFNA(VLOOKUP(pts_traje!$D382,FIX!$A$2:$D1000,4,FALSE),"")</f>
        <v/>
      </c>
      <c r="E382" s="10"/>
      <c r="F382" s="10"/>
      <c r="G382" s="10"/>
      <c r="H382" s="10"/>
      <c r="I382" s="10" t="str">
        <f>IF(pts_traje!$I382&lt;&gt;0,(ROUND(pts_traje!$I382+(pts_traje!$I382*0.02*pts_traje!$H382/1000),0)),"")</f>
        <v/>
      </c>
      <c r="J382" s="10"/>
    </row>
    <row r="383">
      <c r="A383" s="1" t="str">
        <f>IFNA(right(VLOOKUP(pts_traje!$A383,trj!$B$2:$D1000,3,FALSE),4),"")</f>
        <v/>
      </c>
      <c r="B383" s="10"/>
      <c r="C383" s="10"/>
      <c r="D383" s="1" t="str">
        <f>IFNA(VLOOKUP(pts_traje!$D383,FIX!$A$2:$D1000,4,FALSE),"")</f>
        <v/>
      </c>
      <c r="E383" s="10"/>
      <c r="F383" s="10"/>
      <c r="G383" s="10"/>
      <c r="H383" s="10"/>
      <c r="I383" s="10" t="str">
        <f>IF(pts_traje!$I383&lt;&gt;0,(ROUND(pts_traje!$I383+(pts_traje!$I383*0.02*pts_traje!$H383/1000),0)),"")</f>
        <v/>
      </c>
      <c r="J383" s="10"/>
    </row>
    <row r="384">
      <c r="A384" s="1" t="str">
        <f>IFNA(right(VLOOKUP(pts_traje!$A384,trj!$B$2:$D1000,3,FALSE),4),"")</f>
        <v/>
      </c>
      <c r="B384" s="10"/>
      <c r="C384" s="10"/>
      <c r="D384" s="1" t="str">
        <f>IFNA(VLOOKUP(pts_traje!$D384,FIX!$A$2:$D1000,4,FALSE),"")</f>
        <v/>
      </c>
      <c r="E384" s="10"/>
      <c r="F384" s="10"/>
      <c r="G384" s="10"/>
      <c r="H384" s="10"/>
      <c r="I384" s="10" t="str">
        <f>IF(pts_traje!$I384&lt;&gt;0,(ROUND(pts_traje!$I384+(pts_traje!$I384*0.02*pts_traje!$H384/1000),0)),"")</f>
        <v/>
      </c>
      <c r="J384" s="10"/>
    </row>
    <row r="385">
      <c r="A385" s="1" t="str">
        <f>IFNA(right(VLOOKUP(pts_traje!$A385,trj!$B$2:$D1000,3,FALSE),4),"")</f>
        <v/>
      </c>
      <c r="B385" s="10"/>
      <c r="C385" s="10"/>
      <c r="D385" s="1" t="str">
        <f>IFNA(VLOOKUP(pts_traje!$D385,FIX!$A$2:$D1000,4,FALSE),"")</f>
        <v/>
      </c>
      <c r="E385" s="10"/>
      <c r="F385" s="10"/>
      <c r="G385" s="10"/>
      <c r="H385" s="10"/>
      <c r="I385" s="10" t="str">
        <f>IF(pts_traje!$I385&lt;&gt;0,(ROUND(pts_traje!$I385+(pts_traje!$I385*0.02*pts_traje!$H385/1000),0)),"")</f>
        <v/>
      </c>
      <c r="J385" s="10"/>
    </row>
    <row r="386">
      <c r="A386" s="1" t="str">
        <f>IFNA(right(VLOOKUP(pts_traje!$A386,trj!$B$2:$D1000,3,FALSE),4),"")</f>
        <v/>
      </c>
      <c r="B386" s="10"/>
      <c r="C386" s="10"/>
      <c r="D386" s="1" t="str">
        <f>IFNA(VLOOKUP(pts_traje!$D386,FIX!$A$2:$D1000,4,FALSE),"")</f>
        <v/>
      </c>
      <c r="E386" s="10"/>
      <c r="F386" s="10"/>
      <c r="G386" s="10"/>
      <c r="H386" s="10"/>
      <c r="I386" s="10" t="str">
        <f>IF(pts_traje!$I386&lt;&gt;0,(ROUND(pts_traje!$I386+(pts_traje!$I386*0.02*pts_traje!$H386/1000),0)),"")</f>
        <v/>
      </c>
      <c r="J386" s="10"/>
    </row>
    <row r="387">
      <c r="A387" s="1" t="str">
        <f>IFNA(right(VLOOKUP(pts_traje!$A387,trj!$B$2:$D1000,3,FALSE),4),"")</f>
        <v/>
      </c>
      <c r="B387" s="10"/>
      <c r="C387" s="10"/>
      <c r="D387" s="1" t="str">
        <f>IFNA(VLOOKUP(pts_traje!$D387,FIX!$A$2:$D1000,4,FALSE),"")</f>
        <v/>
      </c>
      <c r="E387" s="10"/>
      <c r="F387" s="10"/>
      <c r="G387" s="10"/>
      <c r="H387" s="10"/>
      <c r="I387" s="10" t="str">
        <f>IF(pts_traje!$I387&lt;&gt;0,(ROUND(pts_traje!$I387+(pts_traje!$I387*0.02*pts_traje!$H387/1000),0)),"")</f>
        <v/>
      </c>
      <c r="J387" s="10"/>
    </row>
    <row r="388">
      <c r="A388" s="1" t="str">
        <f>IFNA(right(VLOOKUP(pts_traje!$A388,trj!$B$2:$D1000,3,FALSE),4),"")</f>
        <v/>
      </c>
      <c r="B388" s="10"/>
      <c r="C388" s="10"/>
      <c r="D388" s="1" t="str">
        <f>IFNA(VLOOKUP(pts_traje!$D388,FIX!$A$2:$D1000,4,FALSE),"")</f>
        <v/>
      </c>
      <c r="E388" s="10"/>
      <c r="F388" s="10"/>
      <c r="G388" s="10"/>
      <c r="H388" s="10"/>
      <c r="I388" s="10" t="str">
        <f>IF(pts_traje!$I388&lt;&gt;0,(ROUND(pts_traje!$I388+(pts_traje!$I388*0.02*pts_traje!$H388/1000),0)),"")</f>
        <v/>
      </c>
      <c r="J388" s="10"/>
    </row>
    <row r="389">
      <c r="A389" s="1" t="str">
        <f>IFNA(right(VLOOKUP(pts_traje!$A389,trj!$B$2:$D1000,3,FALSE),4),"")</f>
        <v/>
      </c>
      <c r="B389" s="10"/>
      <c r="C389" s="10"/>
      <c r="D389" s="1" t="str">
        <f>IFNA(VLOOKUP(pts_traje!$D389,FIX!$A$2:$D1000,4,FALSE),"")</f>
        <v/>
      </c>
      <c r="E389" s="10"/>
      <c r="F389" s="10"/>
      <c r="G389" s="10"/>
      <c r="H389" s="10"/>
      <c r="I389" s="10" t="str">
        <f>IF(pts_traje!$I389&lt;&gt;0,(ROUND(pts_traje!$I389+(pts_traje!$I389*0.02*pts_traje!$H389/1000),0)),"")</f>
        <v/>
      </c>
      <c r="J389" s="10"/>
    </row>
    <row r="390">
      <c r="A390" s="1" t="str">
        <f>IFNA(right(VLOOKUP(pts_traje!$A390,trj!$B$2:$D1000,3,FALSE),4),"")</f>
        <v/>
      </c>
      <c r="B390" s="10"/>
      <c r="C390" s="10"/>
      <c r="D390" s="1" t="str">
        <f>IFNA(VLOOKUP(pts_traje!$D390,FIX!$A$2:$D1000,4,FALSE),"")</f>
        <v/>
      </c>
      <c r="E390" s="10"/>
      <c r="F390" s="10"/>
      <c r="G390" s="10"/>
      <c r="H390" s="10"/>
      <c r="I390" s="10" t="str">
        <f>IF(pts_traje!$I390&lt;&gt;0,(ROUND(pts_traje!$I390+(pts_traje!$I390*0.02*pts_traje!$H390/1000),0)),"")</f>
        <v/>
      </c>
      <c r="J390" s="10"/>
    </row>
    <row r="391">
      <c r="A391" s="1" t="str">
        <f>IFNA(right(VLOOKUP(pts_traje!$A391,trj!$B$2:$D1000,3,FALSE),4),"")</f>
        <v/>
      </c>
      <c r="B391" s="10"/>
      <c r="C391" s="10"/>
      <c r="D391" s="1" t="str">
        <f>IFNA(VLOOKUP(pts_traje!$D391,FIX!$A$2:$D1000,4,FALSE),"")</f>
        <v/>
      </c>
      <c r="E391" s="10"/>
      <c r="F391" s="10"/>
      <c r="G391" s="10"/>
      <c r="H391" s="10"/>
      <c r="I391" s="10" t="str">
        <f>IF(pts_traje!$I391&lt;&gt;0,(ROUND(pts_traje!$I391+(pts_traje!$I391*0.02*pts_traje!$H391/1000),0)),"")</f>
        <v/>
      </c>
      <c r="J391" s="10"/>
    </row>
    <row r="392">
      <c r="A392" s="1" t="str">
        <f>IFNA(right(VLOOKUP(pts_traje!$A392,trj!$B$2:$D1000,3,FALSE),4),"")</f>
        <v/>
      </c>
      <c r="B392" s="10"/>
      <c r="C392" s="10"/>
      <c r="D392" s="1" t="str">
        <f>IFNA(VLOOKUP(pts_traje!$D392,FIX!$A$2:$D1000,4,FALSE),"")</f>
        <v/>
      </c>
      <c r="E392" s="10"/>
      <c r="F392" s="10"/>
      <c r="G392" s="10"/>
      <c r="H392" s="10"/>
      <c r="I392" s="10" t="str">
        <f>IF(pts_traje!$I392&lt;&gt;0,(ROUND(pts_traje!$I392+(pts_traje!$I392*0.02*pts_traje!$H392/1000),0)),"")</f>
        <v/>
      </c>
      <c r="J392" s="10"/>
    </row>
    <row r="393">
      <c r="A393" s="1" t="str">
        <f>IFNA(right(VLOOKUP(pts_traje!$A393,trj!$B$2:$D1000,3,FALSE),4),"")</f>
        <v/>
      </c>
      <c r="B393" s="10"/>
      <c r="C393" s="10"/>
      <c r="D393" s="1" t="str">
        <f>IFNA(VLOOKUP(pts_traje!$D393,FIX!$A$2:$D1000,4,FALSE),"")</f>
        <v/>
      </c>
      <c r="E393" s="10"/>
      <c r="F393" s="10"/>
      <c r="G393" s="10"/>
      <c r="H393" s="10"/>
      <c r="I393" s="10" t="str">
        <f>IF(pts_traje!$I393&lt;&gt;0,(ROUND(pts_traje!$I393+(pts_traje!$I393*0.02*pts_traje!$H393/1000),0)),"")</f>
        <v/>
      </c>
      <c r="J393" s="10"/>
    </row>
    <row r="394">
      <c r="A394" s="1" t="str">
        <f>IFNA(right(VLOOKUP(pts_traje!$A394,trj!$B$2:$D1000,3,FALSE),4),"")</f>
        <v/>
      </c>
      <c r="B394" s="10"/>
      <c r="C394" s="10"/>
      <c r="D394" s="1" t="str">
        <f>IFNA(VLOOKUP(pts_traje!$D394,FIX!$A$2:$D1000,4,FALSE),"")</f>
        <v/>
      </c>
      <c r="E394" s="10"/>
      <c r="F394" s="10"/>
      <c r="G394" s="10"/>
      <c r="H394" s="10"/>
      <c r="I394" s="10" t="str">
        <f>IF(pts_traje!$I394&lt;&gt;0,(ROUND(pts_traje!$I394+(pts_traje!$I394*0.02*pts_traje!$H394/1000),0)),"")</f>
        <v/>
      </c>
      <c r="J394" s="10"/>
    </row>
    <row r="395">
      <c r="A395" s="1" t="str">
        <f>IFNA(right(VLOOKUP(pts_traje!$A395,trj!$B$2:$D1000,3,FALSE),4),"")</f>
        <v/>
      </c>
      <c r="B395" s="10"/>
      <c r="C395" s="10"/>
      <c r="D395" s="1" t="str">
        <f>IFNA(VLOOKUP(pts_traje!$D395,FIX!$A$2:$D1000,4,FALSE),"")</f>
        <v/>
      </c>
      <c r="E395" s="10"/>
      <c r="F395" s="10"/>
      <c r="G395" s="10"/>
      <c r="H395" s="10"/>
      <c r="I395" s="10" t="str">
        <f>IF(pts_traje!$I395&lt;&gt;0,(ROUND(pts_traje!$I395+(pts_traje!$I395*0.02*pts_traje!$H395/1000),0)),"")</f>
        <v/>
      </c>
      <c r="J395" s="10"/>
    </row>
    <row r="396">
      <c r="A396" s="1" t="str">
        <f>IFNA(right(VLOOKUP(pts_traje!$A396,trj!$B$2:$D1000,3,FALSE),4),"")</f>
        <v/>
      </c>
      <c r="B396" s="10"/>
      <c r="C396" s="10"/>
      <c r="D396" s="1" t="str">
        <f>IFNA(VLOOKUP(pts_traje!$D396,FIX!$A$2:$D1000,4,FALSE),"")</f>
        <v/>
      </c>
      <c r="E396" s="10"/>
      <c r="F396" s="10"/>
      <c r="G396" s="10"/>
      <c r="H396" s="10"/>
      <c r="I396" s="10" t="str">
        <f>IF(pts_traje!$I396&lt;&gt;0,(ROUND(pts_traje!$I396+(pts_traje!$I396*0.02*pts_traje!$H396/1000),0)),"")</f>
        <v/>
      </c>
      <c r="J396" s="10"/>
    </row>
    <row r="397">
      <c r="A397" s="1" t="str">
        <f>IFNA(right(VLOOKUP(pts_traje!$A397,trj!$B$2:$D1000,3,FALSE),4),"")</f>
        <v/>
      </c>
      <c r="B397" s="10"/>
      <c r="C397" s="10"/>
      <c r="D397" s="1" t="str">
        <f>IFNA(VLOOKUP(pts_traje!$D397,FIX!$A$2:$D1000,4,FALSE),"")</f>
        <v/>
      </c>
      <c r="E397" s="10"/>
      <c r="F397" s="10"/>
      <c r="G397" s="10"/>
      <c r="H397" s="10"/>
      <c r="I397" s="10" t="str">
        <f>IF(pts_traje!$I397&lt;&gt;0,(ROUND(pts_traje!$I397+(pts_traje!$I397*0.02*pts_traje!$H397/1000),0)),"")</f>
        <v/>
      </c>
      <c r="J397" s="10"/>
    </row>
    <row r="398">
      <c r="A398" s="1" t="str">
        <f>IFNA(right(VLOOKUP(pts_traje!$A398,trj!$B$2:$D1000,3,FALSE),4),"")</f>
        <v/>
      </c>
      <c r="B398" s="10"/>
      <c r="C398" s="10"/>
      <c r="D398" s="1" t="str">
        <f>IFNA(VLOOKUP(pts_traje!$D398,FIX!$A$2:$D1000,4,FALSE),"")</f>
        <v/>
      </c>
      <c r="E398" s="10"/>
      <c r="F398" s="10"/>
      <c r="G398" s="10"/>
      <c r="H398" s="10"/>
      <c r="I398" s="10" t="str">
        <f>IF(pts_traje!$I398&lt;&gt;0,(ROUND(pts_traje!$I398+(pts_traje!$I398*0.02*pts_traje!$H398/1000),0)),"")</f>
        <v/>
      </c>
      <c r="J398" s="10"/>
    </row>
    <row r="399">
      <c r="A399" s="1" t="str">
        <f>IFNA(right(VLOOKUP(pts_traje!$A399,trj!$B$2:$D1000,3,FALSE),4),"")</f>
        <v/>
      </c>
      <c r="B399" s="10"/>
      <c r="C399" s="10"/>
      <c r="D399" s="1" t="str">
        <f>IFNA(VLOOKUP(pts_traje!$D399,FIX!$A$2:$D1000,4,FALSE),"")</f>
        <v/>
      </c>
      <c r="E399" s="10"/>
      <c r="F399" s="10"/>
      <c r="G399" s="10"/>
      <c r="H399" s="10"/>
      <c r="I399" s="10" t="str">
        <f>IF(pts_traje!$I399&lt;&gt;0,(ROUND(pts_traje!$I399+(pts_traje!$I399*0.02*pts_traje!$H399/1000),0)),"")</f>
        <v/>
      </c>
      <c r="J399" s="10"/>
    </row>
    <row r="400">
      <c r="A400" s="1" t="str">
        <f>IFNA(right(VLOOKUP(pts_traje!$A400,trj!$B$2:$D1000,3,FALSE),4),"")</f>
        <v/>
      </c>
      <c r="B400" s="10"/>
      <c r="C400" s="10"/>
      <c r="D400" s="1" t="str">
        <f>IFNA(VLOOKUP(pts_traje!$D400,FIX!$A$2:$D1000,4,FALSE),"")</f>
        <v/>
      </c>
      <c r="E400" s="10"/>
      <c r="F400" s="10"/>
      <c r="G400" s="10"/>
      <c r="H400" s="10"/>
      <c r="I400" s="10" t="str">
        <f>IF(pts_traje!$I400&lt;&gt;0,(ROUND(pts_traje!$I400+(pts_traje!$I400*0.02*pts_traje!$H400/1000),0)),"")</f>
        <v/>
      </c>
      <c r="J400" s="10"/>
    </row>
    <row r="401">
      <c r="A401" s="1" t="str">
        <f>IFNA(right(VLOOKUP(pts_traje!$A401,trj!$B$2:$D1000,3,FALSE),4),"")</f>
        <v/>
      </c>
      <c r="B401" s="10"/>
      <c r="C401" s="10"/>
      <c r="D401" s="1" t="str">
        <f>IFNA(VLOOKUP(pts_traje!$D401,FIX!$A$2:$D1000,4,FALSE),"")</f>
        <v/>
      </c>
      <c r="E401" s="10"/>
      <c r="F401" s="10"/>
      <c r="G401" s="10"/>
      <c r="H401" s="10"/>
      <c r="I401" s="10" t="str">
        <f>IF(pts_traje!$I401&lt;&gt;0,(ROUND(pts_traje!$I401+(pts_traje!$I401*0.02*pts_traje!$H401/1000),0)),"")</f>
        <v/>
      </c>
      <c r="J401" s="10"/>
    </row>
    <row r="402">
      <c r="A402" s="1" t="str">
        <f>IFNA(right(VLOOKUP(pts_traje!$A402,trj!$B$2:$D1000,3,FALSE),4),"")</f>
        <v/>
      </c>
      <c r="B402" s="10"/>
      <c r="C402" s="10"/>
      <c r="D402" s="1" t="str">
        <f>IFNA(VLOOKUP(pts_traje!$D402,FIX!$A$2:$D1000,4,FALSE),"")</f>
        <v/>
      </c>
      <c r="E402" s="10"/>
      <c r="F402" s="10"/>
      <c r="G402" s="10"/>
      <c r="H402" s="10"/>
      <c r="I402" s="10" t="str">
        <f>IF(pts_traje!$I402&lt;&gt;0,(ROUND(pts_traje!$I402+(pts_traje!$I402*0.02*pts_traje!$H402/1000),0)),"")</f>
        <v/>
      </c>
      <c r="J402" s="10"/>
    </row>
    <row r="403">
      <c r="A403" s="1" t="str">
        <f>IFNA(right(VLOOKUP(pts_traje!$A403,trj!$B$2:$D1000,3,FALSE),4),"")</f>
        <v/>
      </c>
      <c r="B403" s="10"/>
      <c r="C403" s="10"/>
      <c r="D403" s="1" t="str">
        <f>IFNA(VLOOKUP(pts_traje!$D403,FIX!$A$2:$D1000,4,FALSE),"")</f>
        <v/>
      </c>
      <c r="E403" s="10"/>
      <c r="F403" s="10"/>
      <c r="G403" s="10"/>
      <c r="H403" s="10"/>
      <c r="I403" s="10" t="str">
        <f>IF(pts_traje!$I403&lt;&gt;0,(ROUND(pts_traje!$I403+(pts_traje!$I403*0.02*pts_traje!$H403/1000),0)),"")</f>
        <v/>
      </c>
      <c r="J403" s="10"/>
    </row>
    <row r="404">
      <c r="A404" s="1" t="str">
        <f>IFNA(right(VLOOKUP(pts_traje!$A404,trj!$B$2:$D1000,3,FALSE),4),"")</f>
        <v/>
      </c>
      <c r="B404" s="10"/>
      <c r="C404" s="10"/>
      <c r="D404" s="1" t="str">
        <f>IFNA(VLOOKUP(pts_traje!$D404,FIX!$A$2:$D1000,4,FALSE),"")</f>
        <v/>
      </c>
      <c r="E404" s="10"/>
      <c r="F404" s="10"/>
      <c r="G404" s="10"/>
      <c r="H404" s="10"/>
      <c r="I404" s="10" t="str">
        <f>IF(pts_traje!$I404&lt;&gt;0,(ROUND(pts_traje!$I404+(pts_traje!$I404*0.02*pts_traje!$H404/1000),0)),"")</f>
        <v/>
      </c>
      <c r="J404" s="10"/>
    </row>
    <row r="405">
      <c r="A405" s="1" t="str">
        <f>IFNA(right(VLOOKUP(pts_traje!$A405,trj!$B$2:$D1000,3,FALSE),4),"")</f>
        <v/>
      </c>
      <c r="B405" s="10"/>
      <c r="C405" s="10"/>
      <c r="D405" s="1" t="str">
        <f>IFNA(VLOOKUP(pts_traje!$D405,FIX!$A$2:$D1000,4,FALSE),"")</f>
        <v/>
      </c>
      <c r="E405" s="10"/>
      <c r="F405" s="10"/>
      <c r="G405" s="10"/>
      <c r="H405" s="10"/>
      <c r="I405" s="10" t="str">
        <f>IF(pts_traje!$I405&lt;&gt;0,(ROUND(pts_traje!$I405+(pts_traje!$I405*0.02*pts_traje!$H405/1000),0)),"")</f>
        <v/>
      </c>
      <c r="J405" s="10"/>
    </row>
    <row r="406">
      <c r="A406" s="1" t="str">
        <f>IFNA(right(VLOOKUP(pts_traje!$A406,trj!$B$2:$D1000,3,FALSE),4),"")</f>
        <v/>
      </c>
      <c r="B406" s="10"/>
      <c r="C406" s="10"/>
      <c r="D406" s="1" t="str">
        <f>IFNA(VLOOKUP(pts_traje!$D406,FIX!$A$2:$D1000,4,FALSE),"")</f>
        <v/>
      </c>
      <c r="E406" s="10"/>
      <c r="F406" s="10"/>
      <c r="G406" s="10"/>
      <c r="H406" s="10"/>
      <c r="I406" s="10" t="str">
        <f>IF(pts_traje!$I406&lt;&gt;0,(ROUND(pts_traje!$I406+(pts_traje!$I406*0.02*pts_traje!$H406/1000),0)),"")</f>
        <v/>
      </c>
      <c r="J406" s="10"/>
    </row>
    <row r="407">
      <c r="A407" s="1" t="str">
        <f>IFNA(right(VLOOKUP(pts_traje!$A407,trj!$B$2:$D1000,3,FALSE),4),"")</f>
        <v/>
      </c>
      <c r="B407" s="10"/>
      <c r="C407" s="10"/>
      <c r="D407" s="1" t="str">
        <f>IFNA(VLOOKUP(pts_traje!$D407,FIX!$A$2:$D1000,4,FALSE),"")</f>
        <v/>
      </c>
      <c r="E407" s="10"/>
      <c r="F407" s="10"/>
      <c r="G407" s="10"/>
      <c r="H407" s="10"/>
      <c r="I407" s="10" t="str">
        <f>IF(pts_traje!$I407&lt;&gt;0,(ROUND(pts_traje!$I407+(pts_traje!$I407*0.02*pts_traje!$H407/1000),0)),"")</f>
        <v/>
      </c>
      <c r="J407" s="10"/>
    </row>
    <row r="408">
      <c r="A408" s="1" t="str">
        <f>IFNA(right(VLOOKUP(pts_traje!$A408,trj!$B$2:$D1000,3,FALSE),4),"")</f>
        <v/>
      </c>
      <c r="B408" s="10"/>
      <c r="C408" s="10"/>
      <c r="D408" s="1" t="str">
        <f>IFNA(VLOOKUP(pts_traje!$D408,FIX!$A$2:$D1000,4,FALSE),"")</f>
        <v/>
      </c>
      <c r="E408" s="10"/>
      <c r="F408" s="10"/>
      <c r="G408" s="10"/>
      <c r="H408" s="10"/>
      <c r="I408" s="10" t="str">
        <f>IF(pts_traje!$I408&lt;&gt;0,(ROUND(pts_traje!$I408+(pts_traje!$I408*0.02*pts_traje!$H408/1000),0)),"")</f>
        <v/>
      </c>
      <c r="J408" s="10"/>
    </row>
    <row r="409">
      <c r="A409" s="1" t="str">
        <f>IFNA(right(VLOOKUP(pts_traje!$A409,trj!$B$2:$D1000,3,FALSE),4),"")</f>
        <v/>
      </c>
      <c r="B409" s="10"/>
      <c r="C409" s="10"/>
      <c r="D409" s="1" t="str">
        <f>IFNA(VLOOKUP(pts_traje!$D409,FIX!$A$2:$D1000,4,FALSE),"")</f>
        <v/>
      </c>
      <c r="E409" s="10"/>
      <c r="F409" s="10"/>
      <c r="G409" s="10"/>
      <c r="H409" s="10"/>
      <c r="I409" s="10" t="str">
        <f>IF(pts_traje!$I409&lt;&gt;0,(ROUND(pts_traje!$I409+(pts_traje!$I409*0.02*pts_traje!$H409/1000),0)),"")</f>
        <v/>
      </c>
      <c r="J409" s="10"/>
    </row>
    <row r="410">
      <c r="A410" s="1" t="str">
        <f>IFNA(right(VLOOKUP(pts_traje!$A410,trj!$B$2:$D1000,3,FALSE),4),"")</f>
        <v/>
      </c>
      <c r="B410" s="10"/>
      <c r="C410" s="10"/>
      <c r="D410" s="1" t="str">
        <f>IFNA(VLOOKUP(pts_traje!$D410,FIX!$A$2:$D1000,4,FALSE),"")</f>
        <v/>
      </c>
      <c r="E410" s="10"/>
      <c r="F410" s="10"/>
      <c r="G410" s="10"/>
      <c r="H410" s="10"/>
      <c r="I410" s="10" t="str">
        <f>IF(pts_traje!$I410&lt;&gt;0,(ROUND(pts_traje!$I410+(pts_traje!$I410*0.02*pts_traje!$H410/1000),0)),"")</f>
        <v/>
      </c>
      <c r="J410" s="10"/>
    </row>
    <row r="411">
      <c r="A411" s="1" t="str">
        <f>IFNA(right(VLOOKUP(pts_traje!$A411,trj!$B$2:$D1000,3,FALSE),4),"")</f>
        <v/>
      </c>
      <c r="B411" s="10"/>
      <c r="C411" s="10"/>
      <c r="D411" s="1" t="str">
        <f>IFNA(VLOOKUP(pts_traje!$D411,FIX!$A$2:$D1000,4,FALSE),"")</f>
        <v/>
      </c>
      <c r="E411" s="10"/>
      <c r="F411" s="10"/>
      <c r="G411" s="10"/>
      <c r="H411" s="10"/>
      <c r="I411" s="10" t="str">
        <f>IF(pts_traje!$I411&lt;&gt;0,(ROUND(pts_traje!$I411+(pts_traje!$I411*0.02*pts_traje!$H411/1000),0)),"")</f>
        <v/>
      </c>
      <c r="J411" s="10"/>
    </row>
    <row r="412">
      <c r="A412" s="1" t="str">
        <f>IFNA(right(VLOOKUP(pts_traje!$A412,trj!$B$2:$D1000,3,FALSE),4),"")</f>
        <v/>
      </c>
      <c r="B412" s="10"/>
      <c r="C412" s="10"/>
      <c r="D412" s="1" t="str">
        <f>IFNA(VLOOKUP(pts_traje!$D412,FIX!$A$2:$D1000,4,FALSE),"")</f>
        <v/>
      </c>
      <c r="E412" s="10"/>
      <c r="F412" s="10"/>
      <c r="G412" s="10"/>
      <c r="H412" s="10"/>
      <c r="I412" s="10" t="str">
        <f>IF(pts_traje!$I412&lt;&gt;0,(ROUND(pts_traje!$I412+(pts_traje!$I412*0.02*pts_traje!$H412/1000),0)),"")</f>
        <v/>
      </c>
      <c r="J412" s="10"/>
    </row>
    <row r="413">
      <c r="A413" s="1" t="str">
        <f>IFNA(right(VLOOKUP(pts_traje!$A413,trj!$B$2:$D1000,3,FALSE),4),"")</f>
        <v/>
      </c>
      <c r="B413" s="10"/>
      <c r="C413" s="10"/>
      <c r="D413" s="1" t="str">
        <f>IFNA(VLOOKUP(pts_traje!$D413,FIX!$A$2:$D1000,4,FALSE),"")</f>
        <v/>
      </c>
      <c r="E413" s="10"/>
      <c r="F413" s="10"/>
      <c r="G413" s="10"/>
      <c r="H413" s="10"/>
      <c r="I413" s="10" t="str">
        <f>IF(pts_traje!$I413&lt;&gt;0,(ROUND(pts_traje!$I413+(pts_traje!$I413*0.02*pts_traje!$H413/1000),0)),"")</f>
        <v/>
      </c>
      <c r="J413" s="10"/>
    </row>
    <row r="414">
      <c r="A414" s="1" t="str">
        <f>IFNA(right(VLOOKUP(pts_traje!$A414,trj!$B$2:$D1000,3,FALSE),4),"")</f>
        <v/>
      </c>
      <c r="B414" s="10"/>
      <c r="C414" s="10"/>
      <c r="D414" s="1" t="str">
        <f>IFNA(VLOOKUP(pts_traje!$D414,FIX!$A$2:$D1000,4,FALSE),"")</f>
        <v/>
      </c>
      <c r="E414" s="10"/>
      <c r="F414" s="10"/>
      <c r="G414" s="10"/>
      <c r="H414" s="10"/>
      <c r="I414" s="10" t="str">
        <f>IF(pts_traje!$I414&lt;&gt;0,(ROUND(pts_traje!$I414+(pts_traje!$I414*0.02*pts_traje!$H414/1000),0)),"")</f>
        <v/>
      </c>
      <c r="J414" s="10"/>
    </row>
    <row r="415">
      <c r="A415" s="1" t="str">
        <f>IFNA(right(VLOOKUP(pts_traje!$A415,trj!$B$2:$D1000,3,FALSE),4),"")</f>
        <v/>
      </c>
      <c r="B415" s="10"/>
      <c r="C415" s="10"/>
      <c r="D415" s="1" t="str">
        <f>IFNA(VLOOKUP(pts_traje!$D415,FIX!$A$2:$D1000,4,FALSE),"")</f>
        <v/>
      </c>
      <c r="E415" s="10"/>
      <c r="F415" s="10"/>
      <c r="G415" s="10"/>
      <c r="H415" s="10"/>
      <c r="I415" s="10" t="str">
        <f>IF(pts_traje!$I415&lt;&gt;0,(ROUND(pts_traje!$I415+(pts_traje!$I415*0.02*pts_traje!$H415/1000),0)),"")</f>
        <v/>
      </c>
      <c r="J415" s="10"/>
    </row>
    <row r="416">
      <c r="A416" s="1" t="str">
        <f>IFNA(right(VLOOKUP(pts_traje!$A416,trj!$B$2:$D1000,3,FALSE),4),"")</f>
        <v/>
      </c>
      <c r="B416" s="10"/>
      <c r="C416" s="10"/>
      <c r="D416" s="1" t="str">
        <f>IFNA(VLOOKUP(pts_traje!$D416,FIX!$A$2:$D1000,4,FALSE),"")</f>
        <v/>
      </c>
      <c r="E416" s="10"/>
      <c r="F416" s="10"/>
      <c r="G416" s="10"/>
      <c r="H416" s="10"/>
      <c r="I416" s="10" t="str">
        <f>IF(pts_traje!$I416&lt;&gt;0,(ROUND(pts_traje!$I416+(pts_traje!$I416*0.02*pts_traje!$H416/1000),0)),"")</f>
        <v/>
      </c>
      <c r="J416" s="10"/>
    </row>
    <row r="417">
      <c r="A417" s="1" t="str">
        <f>IFNA(right(VLOOKUP(pts_traje!$A417,trj!$B$2:$D1000,3,FALSE),4),"")</f>
        <v/>
      </c>
      <c r="B417" s="10"/>
      <c r="C417" s="10"/>
      <c r="D417" s="1" t="str">
        <f>IFNA(VLOOKUP(pts_traje!$D417,FIX!$A$2:$D1000,4,FALSE),"")</f>
        <v/>
      </c>
      <c r="E417" s="10"/>
      <c r="F417" s="10"/>
      <c r="G417" s="10"/>
      <c r="H417" s="10"/>
      <c r="I417" s="10" t="str">
        <f>IF(pts_traje!$I417&lt;&gt;0,(ROUND(pts_traje!$I417+(pts_traje!$I417*0.02*pts_traje!$H417/1000),0)),"")</f>
        <v/>
      </c>
      <c r="J417" s="10"/>
    </row>
    <row r="418">
      <c r="A418" s="1" t="str">
        <f>IFNA(right(VLOOKUP(pts_traje!$A418,trj!$B$2:$D1000,3,FALSE),4),"")</f>
        <v/>
      </c>
      <c r="B418" s="10"/>
      <c r="C418" s="10"/>
      <c r="D418" s="1" t="str">
        <f>IFNA(VLOOKUP(pts_traje!$D418,FIX!$A$2:$D1000,4,FALSE),"")</f>
        <v/>
      </c>
      <c r="E418" s="10"/>
      <c r="F418" s="10"/>
      <c r="G418" s="10"/>
      <c r="H418" s="10"/>
      <c r="I418" s="10" t="str">
        <f>IF(pts_traje!$I418&lt;&gt;0,(ROUND(pts_traje!$I418+(pts_traje!$I418*0.02*pts_traje!$H418/1000),0)),"")</f>
        <v/>
      </c>
      <c r="J418" s="10"/>
    </row>
    <row r="419">
      <c r="A419" s="1" t="str">
        <f>IFNA(right(VLOOKUP(pts_traje!$A419,trj!$B$2:$D1000,3,FALSE),4),"")</f>
        <v/>
      </c>
      <c r="B419" s="10"/>
      <c r="C419" s="10"/>
      <c r="D419" s="1" t="str">
        <f>IFNA(VLOOKUP(pts_traje!$D419,FIX!$A$2:$D1000,4,FALSE),"")</f>
        <v/>
      </c>
      <c r="E419" s="10"/>
      <c r="F419" s="10"/>
      <c r="G419" s="10"/>
      <c r="H419" s="10"/>
      <c r="I419" s="10" t="str">
        <f>IF(pts_traje!$I419&lt;&gt;0,(ROUND(pts_traje!$I419+(pts_traje!$I419*0.02*pts_traje!$H419/1000),0)),"")</f>
        <v/>
      </c>
      <c r="J419" s="10"/>
    </row>
    <row r="420">
      <c r="A420" s="1" t="str">
        <f>IFNA(right(VLOOKUP(pts_traje!$A420,trj!$B$2:$D1000,3,FALSE),4),"")</f>
        <v/>
      </c>
      <c r="B420" s="10"/>
      <c r="C420" s="10"/>
      <c r="D420" s="1" t="str">
        <f>IFNA(VLOOKUP(pts_traje!$D420,FIX!$A$2:$D1000,4,FALSE),"")</f>
        <v/>
      </c>
      <c r="E420" s="10"/>
      <c r="F420" s="10"/>
      <c r="G420" s="10"/>
      <c r="H420" s="10"/>
      <c r="I420" s="10" t="str">
        <f>IF(pts_traje!$I420&lt;&gt;0,(ROUND(pts_traje!$I420+(pts_traje!$I420*0.02*pts_traje!$H420/1000),0)),"")</f>
        <v/>
      </c>
      <c r="J420" s="10"/>
    </row>
    <row r="421">
      <c r="A421" s="1" t="str">
        <f>IFNA(right(VLOOKUP(pts_traje!$A421,trj!$B$2:$D1000,3,FALSE),4),"")</f>
        <v/>
      </c>
      <c r="B421" s="10"/>
      <c r="C421" s="10"/>
      <c r="D421" s="1" t="str">
        <f>IFNA(VLOOKUP(pts_traje!$D421,FIX!$A$2:$D1000,4,FALSE),"")</f>
        <v/>
      </c>
      <c r="E421" s="10"/>
      <c r="F421" s="10"/>
      <c r="G421" s="10"/>
      <c r="H421" s="10"/>
      <c r="I421" s="10" t="str">
        <f>IF(pts_traje!$I421&lt;&gt;0,(ROUND(pts_traje!$I421+(pts_traje!$I421*0.02*pts_traje!$H421/1000),0)),"")</f>
        <v/>
      </c>
      <c r="J421" s="10"/>
    </row>
    <row r="422">
      <c r="A422" s="1" t="str">
        <f>IFNA(right(VLOOKUP(pts_traje!$A422,trj!$B$2:$D1000,3,FALSE),4),"")</f>
        <v/>
      </c>
      <c r="B422" s="10"/>
      <c r="C422" s="10"/>
      <c r="D422" s="1" t="str">
        <f>IFNA(VLOOKUP(pts_traje!$D422,FIX!$A$2:$D1000,4,FALSE),"")</f>
        <v/>
      </c>
      <c r="E422" s="10"/>
      <c r="F422" s="10"/>
      <c r="G422" s="10"/>
      <c r="H422" s="10"/>
      <c r="I422" s="10" t="str">
        <f>IF(pts_traje!$I422&lt;&gt;0,(ROUND(pts_traje!$I422+(pts_traje!$I422*0.02*pts_traje!$H422/1000),0)),"")</f>
        <v/>
      </c>
      <c r="J422" s="10"/>
    </row>
    <row r="423">
      <c r="A423" s="1" t="str">
        <f>IFNA(right(VLOOKUP(pts_traje!$A423,trj!$B$2:$D1000,3,FALSE),4),"")</f>
        <v/>
      </c>
      <c r="B423" s="10"/>
      <c r="C423" s="10"/>
      <c r="D423" s="1" t="str">
        <f>IFNA(VLOOKUP(pts_traje!$D423,FIX!$A$2:$D1000,4,FALSE),"")</f>
        <v/>
      </c>
      <c r="E423" s="10"/>
      <c r="F423" s="10"/>
      <c r="G423" s="10"/>
      <c r="H423" s="10"/>
      <c r="I423" s="10" t="str">
        <f>IF(pts_traje!$I423&lt;&gt;0,(ROUND(pts_traje!$I423+(pts_traje!$I423*0.02*pts_traje!$H423/1000),0)),"")</f>
        <v/>
      </c>
      <c r="J423" s="10"/>
    </row>
    <row r="424">
      <c r="A424" s="1" t="str">
        <f>IFNA(right(VLOOKUP(pts_traje!$A424,trj!$B$2:$D1000,3,FALSE),4),"")</f>
        <v/>
      </c>
      <c r="B424" s="10"/>
      <c r="C424" s="10"/>
      <c r="D424" s="1" t="str">
        <f>IFNA(VLOOKUP(pts_traje!$D424,FIX!$A$2:$D1000,4,FALSE),"")</f>
        <v/>
      </c>
      <c r="E424" s="10"/>
      <c r="F424" s="10"/>
      <c r="G424" s="10"/>
      <c r="H424" s="10"/>
      <c r="I424" s="10" t="str">
        <f>IF(pts_traje!$I424&lt;&gt;0,(ROUND(pts_traje!$I424+(pts_traje!$I424*0.02*pts_traje!$H424/1000),0)),"")</f>
        <v/>
      </c>
      <c r="J424" s="10"/>
    </row>
    <row r="425">
      <c r="A425" s="1" t="str">
        <f>IFNA(right(VLOOKUP(pts_traje!$A425,trj!$B$2:$D1000,3,FALSE),4),"")</f>
        <v/>
      </c>
      <c r="B425" s="10"/>
      <c r="C425" s="10"/>
      <c r="D425" s="1" t="str">
        <f>IFNA(VLOOKUP(pts_traje!$D425,FIX!$A$2:$D1000,4,FALSE),"")</f>
        <v/>
      </c>
      <c r="E425" s="10"/>
      <c r="F425" s="10"/>
      <c r="G425" s="10"/>
      <c r="H425" s="10"/>
      <c r="I425" s="10" t="str">
        <f>IF(pts_traje!$I425&lt;&gt;0,(ROUND(pts_traje!$I425+(pts_traje!$I425*0.02*pts_traje!$H425/1000),0)),"")</f>
        <v/>
      </c>
      <c r="J425" s="10"/>
    </row>
    <row r="426">
      <c r="A426" s="1" t="str">
        <f>IFNA(right(VLOOKUP(pts_traje!$A426,trj!$B$2:$D1000,3,FALSE),4),"")</f>
        <v/>
      </c>
      <c r="B426" s="10"/>
      <c r="C426" s="10"/>
      <c r="D426" s="1" t="str">
        <f>IFNA(VLOOKUP(pts_traje!$D426,FIX!$A$2:$D1000,4,FALSE),"")</f>
        <v/>
      </c>
      <c r="E426" s="10"/>
      <c r="F426" s="10"/>
      <c r="G426" s="10"/>
      <c r="H426" s="10"/>
      <c r="I426" s="10" t="str">
        <f>IF(pts_traje!$I426&lt;&gt;0,(ROUND(pts_traje!$I426+(pts_traje!$I426*0.02*pts_traje!$H426/1000),0)),"")</f>
        <v/>
      </c>
      <c r="J426" s="10"/>
    </row>
    <row r="427">
      <c r="A427" s="1" t="str">
        <f>IFNA(right(VLOOKUP(pts_traje!$A427,trj!$B$2:$D1000,3,FALSE),4),"")</f>
        <v/>
      </c>
      <c r="B427" s="10"/>
      <c r="C427" s="10"/>
      <c r="D427" s="1" t="str">
        <f>IFNA(VLOOKUP(pts_traje!$D427,FIX!$A$2:$D1000,4,FALSE),"")</f>
        <v/>
      </c>
      <c r="E427" s="10"/>
      <c r="F427" s="10"/>
      <c r="G427" s="10"/>
      <c r="H427" s="10"/>
      <c r="I427" s="10" t="str">
        <f>IF(pts_traje!$I427&lt;&gt;0,(ROUND(pts_traje!$I427+(pts_traje!$I427*0.02*pts_traje!$H427/1000),0)),"")</f>
        <v/>
      </c>
      <c r="J427" s="10"/>
    </row>
    <row r="428">
      <c r="A428" s="1" t="str">
        <f>IFNA(right(VLOOKUP(pts_traje!$A428,trj!$B$2:$D1000,3,FALSE),4),"")</f>
        <v/>
      </c>
      <c r="B428" s="10"/>
      <c r="C428" s="10"/>
      <c r="D428" s="1" t="str">
        <f>IFNA(VLOOKUP(pts_traje!$D428,FIX!$A$2:$D1000,4,FALSE),"")</f>
        <v/>
      </c>
      <c r="E428" s="10"/>
      <c r="F428" s="10"/>
      <c r="G428" s="10"/>
      <c r="H428" s="10"/>
      <c r="I428" s="10" t="str">
        <f>IF(pts_traje!$I428&lt;&gt;0,(ROUND(pts_traje!$I428+(pts_traje!$I428*0.02*pts_traje!$H428/1000),0)),"")</f>
        <v/>
      </c>
      <c r="J428" s="10"/>
    </row>
    <row r="429">
      <c r="A429" s="1" t="str">
        <f>IFNA(right(VLOOKUP(pts_traje!$A429,trj!$B$2:$D1000,3,FALSE),4),"")</f>
        <v/>
      </c>
      <c r="B429" s="10"/>
      <c r="C429" s="10"/>
      <c r="D429" s="1" t="str">
        <f>IFNA(VLOOKUP(pts_traje!$D429,FIX!$A$2:$D1000,4,FALSE),"")</f>
        <v/>
      </c>
      <c r="E429" s="10"/>
      <c r="F429" s="10"/>
      <c r="G429" s="10"/>
      <c r="H429" s="10"/>
      <c r="I429" s="10" t="str">
        <f>IF(pts_traje!$I429&lt;&gt;0,(ROUND(pts_traje!$I429+(pts_traje!$I429*0.02*pts_traje!$H429/1000),0)),"")</f>
        <v/>
      </c>
      <c r="J429" s="10"/>
    </row>
    <row r="430">
      <c r="A430" s="1" t="str">
        <f>IFNA(right(VLOOKUP(pts_traje!$A430,trj!$B$2:$D1000,3,FALSE),4),"")</f>
        <v/>
      </c>
      <c r="B430" s="10"/>
      <c r="C430" s="10"/>
      <c r="D430" s="1" t="str">
        <f>IFNA(VLOOKUP(pts_traje!$D430,FIX!$A$2:$D1000,4,FALSE),"")</f>
        <v/>
      </c>
      <c r="E430" s="10"/>
      <c r="F430" s="10"/>
      <c r="G430" s="10"/>
      <c r="H430" s="10"/>
      <c r="I430" s="10" t="str">
        <f>IF(pts_traje!$I430&lt;&gt;0,(ROUND(pts_traje!$I430+(pts_traje!$I430*0.02*pts_traje!$H430/1000),0)),"")</f>
        <v/>
      </c>
      <c r="J430" s="10"/>
    </row>
    <row r="431">
      <c r="A431" s="1" t="str">
        <f>IFNA(right(VLOOKUP(pts_traje!$A431,trj!$B$2:$D1000,3,FALSE),4),"")</f>
        <v/>
      </c>
      <c r="B431" s="10"/>
      <c r="C431" s="10"/>
      <c r="D431" s="1" t="str">
        <f>IFNA(VLOOKUP(pts_traje!$D431,FIX!$A$2:$D1000,4,FALSE),"")</f>
        <v/>
      </c>
      <c r="E431" s="10"/>
      <c r="F431" s="10"/>
      <c r="G431" s="10"/>
      <c r="H431" s="10"/>
      <c r="I431" s="10" t="str">
        <f>IF(pts_traje!$I431&lt;&gt;0,(ROUND(pts_traje!$I431+(pts_traje!$I431*0.02*pts_traje!$H431/1000),0)),"")</f>
        <v/>
      </c>
      <c r="J431" s="10"/>
    </row>
    <row r="432">
      <c r="A432" s="1" t="str">
        <f>IFNA(right(VLOOKUP(pts_traje!$A432,trj!$B$2:$D1000,3,FALSE),4),"")</f>
        <v/>
      </c>
      <c r="B432" s="10"/>
      <c r="C432" s="10"/>
      <c r="D432" s="1" t="str">
        <f>IFNA(VLOOKUP(pts_traje!$D432,FIX!$A$2:$D1000,4,FALSE),"")</f>
        <v/>
      </c>
      <c r="E432" s="10"/>
      <c r="F432" s="10"/>
      <c r="G432" s="10"/>
      <c r="H432" s="10"/>
      <c r="I432" s="10" t="str">
        <f>IF(pts_traje!$I432&lt;&gt;0,(ROUND(pts_traje!$I432+(pts_traje!$I432*0.02*pts_traje!$H432/1000),0)),"")</f>
        <v/>
      </c>
      <c r="J432" s="10"/>
    </row>
    <row r="433">
      <c r="A433" s="1" t="str">
        <f>IFNA(right(VLOOKUP(pts_traje!$A433,trj!$B$2:$D1000,3,FALSE),4),"")</f>
        <v/>
      </c>
      <c r="B433" s="10"/>
      <c r="C433" s="10"/>
      <c r="D433" s="1" t="str">
        <f>IFNA(VLOOKUP(pts_traje!$D433,FIX!$A$2:$D1000,4,FALSE),"")</f>
        <v/>
      </c>
      <c r="E433" s="10"/>
      <c r="F433" s="10"/>
      <c r="G433" s="10"/>
      <c r="H433" s="10"/>
      <c r="I433" s="10" t="str">
        <f>IF(pts_traje!$I433&lt;&gt;0,(ROUND(pts_traje!$I433+(pts_traje!$I433*0.02*pts_traje!$H433/1000),0)),"")</f>
        <v/>
      </c>
      <c r="J433" s="10"/>
    </row>
    <row r="434">
      <c r="A434" s="1" t="str">
        <f>IFNA(right(VLOOKUP(pts_traje!$A434,trj!$B$2:$D1000,3,FALSE),4),"")</f>
        <v/>
      </c>
      <c r="B434" s="10"/>
      <c r="C434" s="10"/>
      <c r="D434" s="1" t="str">
        <f>IFNA(VLOOKUP(pts_traje!$D434,FIX!$A$2:$D1000,4,FALSE),"")</f>
        <v/>
      </c>
      <c r="E434" s="10"/>
      <c r="F434" s="10"/>
      <c r="G434" s="10"/>
      <c r="H434" s="10"/>
      <c r="I434" s="10" t="str">
        <f>IF(pts_traje!$I434&lt;&gt;0,(ROUND(pts_traje!$I434+(pts_traje!$I434*0.02*pts_traje!$H434/1000),0)),"")</f>
        <v/>
      </c>
      <c r="J434" s="10"/>
    </row>
    <row r="435">
      <c r="A435" s="1" t="str">
        <f>IFNA(right(VLOOKUP(pts_traje!$A435,trj!$B$2:$D1000,3,FALSE),4),"")</f>
        <v/>
      </c>
      <c r="B435" s="10"/>
      <c r="C435" s="10"/>
      <c r="D435" s="1" t="str">
        <f>IFNA(VLOOKUP(pts_traje!$D435,FIX!$A$2:$D1000,4,FALSE),"")</f>
        <v/>
      </c>
      <c r="E435" s="10"/>
      <c r="F435" s="10"/>
      <c r="G435" s="10"/>
      <c r="H435" s="10"/>
      <c r="I435" s="10" t="str">
        <f>IF(pts_traje!$I435&lt;&gt;0,(ROUND(pts_traje!$I435+(pts_traje!$I435*0.02*pts_traje!$H435/1000),0)),"")</f>
        <v/>
      </c>
      <c r="J435" s="10"/>
    </row>
    <row r="436">
      <c r="A436" s="1" t="str">
        <f>IFNA(right(VLOOKUP(pts_traje!$A436,trj!$B$2:$D1000,3,FALSE),4),"")</f>
        <v/>
      </c>
      <c r="B436" s="10"/>
      <c r="C436" s="10"/>
      <c r="D436" s="1" t="str">
        <f>IFNA(VLOOKUP(pts_traje!$D436,FIX!$A$2:$D1000,4,FALSE),"")</f>
        <v/>
      </c>
      <c r="E436" s="10"/>
      <c r="F436" s="10"/>
      <c r="G436" s="10"/>
      <c r="H436" s="10"/>
      <c r="I436" s="10" t="str">
        <f>IF(pts_traje!$I436&lt;&gt;0,(ROUND(pts_traje!$I436+(pts_traje!$I436*0.02*pts_traje!$H436/1000),0)),"")</f>
        <v/>
      </c>
      <c r="J436" s="10"/>
    </row>
    <row r="437">
      <c r="A437" s="1" t="str">
        <f>IFNA(right(VLOOKUP(pts_traje!$A437,trj!$B$2:$D1000,3,FALSE),4),"")</f>
        <v/>
      </c>
      <c r="B437" s="10"/>
      <c r="C437" s="10"/>
      <c r="D437" s="1" t="str">
        <f>IFNA(VLOOKUP(pts_traje!$D437,FIX!$A$2:$D1000,4,FALSE),"")</f>
        <v/>
      </c>
      <c r="E437" s="10"/>
      <c r="F437" s="10"/>
      <c r="G437" s="10"/>
      <c r="H437" s="10"/>
      <c r="I437" s="10" t="str">
        <f>IF(pts_traje!$I437&lt;&gt;0,(ROUND(pts_traje!$I437+(pts_traje!$I437*0.02*pts_traje!$H437/1000),0)),"")</f>
        <v/>
      </c>
      <c r="J437" s="10"/>
    </row>
    <row r="438">
      <c r="A438" s="1" t="str">
        <f>IFNA(right(VLOOKUP(pts_traje!$A438,trj!$B$2:$D1000,3,FALSE),4),"")</f>
        <v/>
      </c>
      <c r="B438" s="10"/>
      <c r="C438" s="10"/>
      <c r="D438" s="1" t="str">
        <f>IFNA(VLOOKUP(pts_traje!$D438,FIX!$A$2:$D1000,4,FALSE),"")</f>
        <v/>
      </c>
      <c r="E438" s="10"/>
      <c r="F438" s="10"/>
      <c r="G438" s="10"/>
      <c r="H438" s="10"/>
      <c r="I438" s="10" t="str">
        <f>IF(pts_traje!$I438&lt;&gt;0,(ROUND(pts_traje!$I438+(pts_traje!$I438*0.02*pts_traje!$H438/1000),0)),"")</f>
        <v/>
      </c>
      <c r="J438" s="10"/>
    </row>
    <row r="439">
      <c r="A439" s="1" t="str">
        <f>IFNA(right(VLOOKUP(pts_traje!$A439,trj!$B$2:$D1000,3,FALSE),4),"")</f>
        <v/>
      </c>
      <c r="B439" s="10"/>
      <c r="C439" s="10"/>
      <c r="D439" s="1" t="str">
        <f>IFNA(VLOOKUP(pts_traje!$D439,FIX!$A$2:$D1000,4,FALSE),"")</f>
        <v/>
      </c>
      <c r="E439" s="10"/>
      <c r="F439" s="10"/>
      <c r="G439" s="10"/>
      <c r="H439" s="10"/>
      <c r="I439" s="10" t="str">
        <f>IF(pts_traje!$I439&lt;&gt;0,(ROUND(pts_traje!$I439+(pts_traje!$I439*0.02*pts_traje!$H439/1000),0)),"")</f>
        <v/>
      </c>
      <c r="J439" s="10"/>
    </row>
    <row r="440">
      <c r="A440" s="1" t="str">
        <f>IFNA(right(VLOOKUP(pts_traje!$A440,trj!$B$2:$D1000,3,FALSE),4),"")</f>
        <v/>
      </c>
      <c r="B440" s="10"/>
      <c r="C440" s="10"/>
      <c r="D440" s="1" t="str">
        <f>IFNA(VLOOKUP(pts_traje!$D440,FIX!$A$2:$D1000,4,FALSE),"")</f>
        <v/>
      </c>
      <c r="E440" s="10"/>
      <c r="F440" s="10"/>
      <c r="G440" s="10"/>
      <c r="H440" s="10"/>
      <c r="I440" s="10" t="str">
        <f>IF(pts_traje!$I440&lt;&gt;0,(ROUND(pts_traje!$I440+(pts_traje!$I440*0.02*pts_traje!$H440/1000),0)),"")</f>
        <v/>
      </c>
      <c r="J440" s="10"/>
    </row>
    <row r="441">
      <c r="A441" s="1" t="str">
        <f>IFNA(right(VLOOKUP(pts_traje!$A441,trj!$B$2:$D1000,3,FALSE),4),"")</f>
        <v/>
      </c>
      <c r="B441" s="10"/>
      <c r="C441" s="10"/>
      <c r="D441" s="1" t="str">
        <f>IFNA(VLOOKUP(pts_traje!$D441,FIX!$A$2:$D1000,4,FALSE),"")</f>
        <v/>
      </c>
      <c r="E441" s="10"/>
      <c r="F441" s="10"/>
      <c r="G441" s="10"/>
      <c r="H441" s="10"/>
      <c r="I441" s="10" t="str">
        <f>IF(pts_traje!$I441&lt;&gt;0,(ROUND(pts_traje!$I441+(pts_traje!$I441*0.02*pts_traje!$H441/1000),0)),"")</f>
        <v/>
      </c>
      <c r="J441" s="10"/>
    </row>
    <row r="442">
      <c r="A442" s="1" t="str">
        <f>IFNA(right(VLOOKUP(pts_traje!$A442,trj!$B$2:$D1000,3,FALSE),4),"")</f>
        <v/>
      </c>
      <c r="B442" s="10"/>
      <c r="C442" s="10"/>
      <c r="D442" s="1" t="str">
        <f>IFNA(VLOOKUP(pts_traje!$D442,FIX!$A$2:$D1000,4,FALSE),"")</f>
        <v/>
      </c>
      <c r="E442" s="10"/>
      <c r="F442" s="10"/>
      <c r="G442" s="10"/>
      <c r="H442" s="10"/>
      <c r="I442" s="10" t="str">
        <f>IF(pts_traje!$I442&lt;&gt;0,(ROUND(pts_traje!$I442+(pts_traje!$I442*0.02*pts_traje!$H442/1000),0)),"")</f>
        <v/>
      </c>
      <c r="J442" s="10"/>
    </row>
    <row r="443">
      <c r="A443" s="1" t="str">
        <f>IFNA(right(VLOOKUP(pts_traje!$A443,trj!$B$2:$D1000,3,FALSE),4),"")</f>
        <v/>
      </c>
      <c r="B443" s="10"/>
      <c r="C443" s="10"/>
      <c r="D443" s="1" t="str">
        <f>IFNA(VLOOKUP(pts_traje!$D443,FIX!$A$2:$D1000,4,FALSE),"")</f>
        <v/>
      </c>
      <c r="E443" s="10"/>
      <c r="F443" s="10"/>
      <c r="G443" s="10"/>
      <c r="H443" s="10"/>
      <c r="I443" s="10" t="str">
        <f>IF(pts_traje!$I443&lt;&gt;0,(ROUND(pts_traje!$I443+(pts_traje!$I443*0.02*pts_traje!$H443/1000),0)),"")</f>
        <v/>
      </c>
      <c r="J443" s="10"/>
    </row>
    <row r="444">
      <c r="A444" s="1" t="str">
        <f>IFNA(right(VLOOKUP(pts_traje!$A444,trj!$B$2:$D1000,3,FALSE),4),"")</f>
        <v/>
      </c>
      <c r="B444" s="10"/>
      <c r="C444" s="10"/>
      <c r="D444" s="1" t="str">
        <f>IFNA(VLOOKUP(pts_traje!$D444,FIX!$A$2:$D1000,4,FALSE),"")</f>
        <v/>
      </c>
      <c r="E444" s="10"/>
      <c r="F444" s="10"/>
      <c r="G444" s="10"/>
      <c r="H444" s="10"/>
      <c r="I444" s="10" t="str">
        <f>IF(pts_traje!$I444&lt;&gt;0,(ROUND(pts_traje!$I444+(pts_traje!$I444*0.02*pts_traje!$H444/1000),0)),"")</f>
        <v/>
      </c>
      <c r="J444" s="10"/>
    </row>
    <row r="445">
      <c r="A445" s="1" t="str">
        <f>IFNA(right(VLOOKUP(pts_traje!$A445,trj!$B$2:$D1000,3,FALSE),4),"")</f>
        <v/>
      </c>
      <c r="B445" s="10"/>
      <c r="C445" s="10"/>
      <c r="D445" s="1" t="str">
        <f>IFNA(VLOOKUP(pts_traje!$D445,FIX!$A$2:$D1000,4,FALSE),"")</f>
        <v/>
      </c>
      <c r="E445" s="10"/>
      <c r="F445" s="10"/>
      <c r="G445" s="10"/>
      <c r="H445" s="10"/>
      <c r="I445" s="10" t="str">
        <f>IF(pts_traje!$I445&lt;&gt;0,(ROUND(pts_traje!$I445+(pts_traje!$I445*0.02*pts_traje!$H445/1000),0)),"")</f>
        <v/>
      </c>
      <c r="J445" s="10"/>
    </row>
    <row r="446">
      <c r="A446" s="1" t="str">
        <f>IFNA(right(VLOOKUP(pts_traje!$A446,trj!$B$2:$D1000,3,FALSE),4),"")</f>
        <v/>
      </c>
      <c r="B446" s="10"/>
      <c r="C446" s="10"/>
      <c r="D446" s="1" t="str">
        <f>IFNA(VLOOKUP(pts_traje!$D446,FIX!$A$2:$D1000,4,FALSE),"")</f>
        <v/>
      </c>
      <c r="E446" s="10"/>
      <c r="F446" s="10"/>
      <c r="G446" s="10"/>
      <c r="H446" s="10"/>
      <c r="I446" s="10" t="str">
        <f>IF(pts_traje!$I446&lt;&gt;0,(ROUND(pts_traje!$I446+(pts_traje!$I446*0.02*pts_traje!$H446/1000),0)),"")</f>
        <v/>
      </c>
      <c r="J446" s="10"/>
    </row>
    <row r="447">
      <c r="A447" s="1" t="str">
        <f>IFNA(right(VLOOKUP(pts_traje!$A447,trj!$B$2:$D1000,3,FALSE),4),"")</f>
        <v/>
      </c>
      <c r="B447" s="10"/>
      <c r="C447" s="10"/>
      <c r="D447" s="1" t="str">
        <f>IFNA(VLOOKUP(pts_traje!$D447,FIX!$A$2:$D1000,4,FALSE),"")</f>
        <v/>
      </c>
      <c r="E447" s="10"/>
      <c r="F447" s="10"/>
      <c r="G447" s="10"/>
      <c r="H447" s="10"/>
      <c r="I447" s="10" t="str">
        <f>IF(pts_traje!$I447&lt;&gt;0,(ROUND(pts_traje!$I447+(pts_traje!$I447*0.02*pts_traje!$H447/1000),0)),"")</f>
        <v/>
      </c>
      <c r="J447" s="10"/>
    </row>
    <row r="448">
      <c r="A448" s="1" t="str">
        <f>IFNA(right(VLOOKUP(pts_traje!$A448,trj!$B$2:$D1000,3,FALSE),4),"")</f>
        <v/>
      </c>
      <c r="B448" s="10"/>
      <c r="C448" s="10"/>
      <c r="D448" s="1" t="str">
        <f>IFNA(VLOOKUP(pts_traje!$D448,FIX!$A$2:$D1000,4,FALSE),"")</f>
        <v/>
      </c>
      <c r="E448" s="10"/>
      <c r="F448" s="10"/>
      <c r="G448" s="10"/>
      <c r="H448" s="10"/>
      <c r="I448" s="10" t="str">
        <f>IF(pts_traje!$I448&lt;&gt;0,(ROUND(pts_traje!$I448+(pts_traje!$I448*0.02*pts_traje!$H448/1000),0)),"")</f>
        <v/>
      </c>
      <c r="J448" s="10"/>
    </row>
    <row r="449">
      <c r="A449" s="1" t="str">
        <f>IFNA(right(VLOOKUP(pts_traje!$A449,trj!$B$2:$D1000,3,FALSE),4),"")</f>
        <v/>
      </c>
      <c r="B449" s="10"/>
      <c r="C449" s="10"/>
      <c r="D449" s="1" t="str">
        <f>IFNA(VLOOKUP(pts_traje!$D449,FIX!$A$2:$D1000,4,FALSE),"")</f>
        <v/>
      </c>
      <c r="E449" s="10"/>
      <c r="F449" s="10"/>
      <c r="G449" s="10"/>
      <c r="H449" s="10"/>
      <c r="I449" s="10" t="str">
        <f>IF(pts_traje!$I449&lt;&gt;0,(ROUND(pts_traje!$I449+(pts_traje!$I449*0.02*pts_traje!$H449/1000),0)),"")</f>
        <v/>
      </c>
      <c r="J449" s="10"/>
    </row>
    <row r="450">
      <c r="A450" s="1" t="str">
        <f>IFNA(right(VLOOKUP(pts_traje!$A450,trj!$B$2:$D1000,3,FALSE),4),"")</f>
        <v/>
      </c>
      <c r="B450" s="10"/>
      <c r="C450" s="10"/>
      <c r="D450" s="1" t="str">
        <f>IFNA(VLOOKUP(pts_traje!$D450,FIX!$A$2:$D1000,4,FALSE),"")</f>
        <v/>
      </c>
      <c r="E450" s="10"/>
      <c r="F450" s="10"/>
      <c r="G450" s="10"/>
      <c r="H450" s="10"/>
      <c r="I450" s="10" t="str">
        <f>IF(pts_traje!$I450&lt;&gt;0,(ROUND(pts_traje!$I450+(pts_traje!$I450*0.02*pts_traje!$H450/1000),0)),"")</f>
        <v/>
      </c>
      <c r="J450" s="10"/>
    </row>
    <row r="451">
      <c r="A451" s="1" t="str">
        <f>IFNA(right(VLOOKUP(pts_traje!$A451,trj!$B$2:$D1000,3,FALSE),4),"")</f>
        <v/>
      </c>
      <c r="B451" s="10"/>
      <c r="C451" s="10"/>
      <c r="D451" s="1" t="str">
        <f>IFNA(VLOOKUP(pts_traje!$D451,FIX!$A$2:$D1000,4,FALSE),"")</f>
        <v/>
      </c>
      <c r="E451" s="10"/>
      <c r="F451" s="10"/>
      <c r="G451" s="10"/>
      <c r="H451" s="10"/>
      <c r="I451" s="10" t="str">
        <f>IF(pts_traje!$I451&lt;&gt;0,(ROUND(pts_traje!$I451+(pts_traje!$I451*0.02*pts_traje!$H451/1000),0)),"")</f>
        <v/>
      </c>
      <c r="J451" s="10"/>
    </row>
    <row r="452">
      <c r="A452" s="1" t="str">
        <f>IFNA(right(VLOOKUP(pts_traje!$A452,trj!$B$2:$D1000,3,FALSE),4),"")</f>
        <v/>
      </c>
      <c r="B452" s="10"/>
      <c r="C452" s="10"/>
      <c r="D452" s="1" t="str">
        <f>IFNA(VLOOKUP(pts_traje!$D452,FIX!$A$2:$D1000,4,FALSE),"")</f>
        <v/>
      </c>
      <c r="E452" s="10"/>
      <c r="F452" s="10"/>
      <c r="G452" s="10"/>
      <c r="H452" s="10"/>
      <c r="I452" s="10" t="str">
        <f>IF(pts_traje!$I452&lt;&gt;0,(ROUND(pts_traje!$I452+(pts_traje!$I452*0.02*pts_traje!$H452/1000),0)),"")</f>
        <v/>
      </c>
      <c r="J452" s="10"/>
    </row>
    <row r="453">
      <c r="A453" s="1" t="str">
        <f>IFNA(right(VLOOKUP(pts_traje!$A453,trj!$B$2:$D1000,3,FALSE),4),"")</f>
        <v/>
      </c>
      <c r="B453" s="10"/>
      <c r="C453" s="10"/>
      <c r="D453" s="1" t="str">
        <f>IFNA(VLOOKUP(pts_traje!$D453,FIX!$A$2:$D1000,4,FALSE),"")</f>
        <v/>
      </c>
      <c r="E453" s="10"/>
      <c r="F453" s="10"/>
      <c r="G453" s="10"/>
      <c r="H453" s="10"/>
      <c r="I453" s="10" t="str">
        <f>IF(pts_traje!$I453&lt;&gt;0,(ROUND(pts_traje!$I453+(pts_traje!$I453*0.02*pts_traje!$H453/1000),0)),"")</f>
        <v/>
      </c>
      <c r="J453" s="10"/>
    </row>
    <row r="454">
      <c r="A454" s="1" t="str">
        <f>IFNA(right(VLOOKUP(pts_traje!$A454,trj!$B$2:$D1000,3,FALSE),4),"")</f>
        <v/>
      </c>
      <c r="B454" s="10"/>
      <c r="C454" s="10"/>
      <c r="D454" s="1" t="str">
        <f>IFNA(VLOOKUP(pts_traje!$D454,FIX!$A$2:$D1000,4,FALSE),"")</f>
        <v/>
      </c>
      <c r="E454" s="10"/>
      <c r="F454" s="10"/>
      <c r="G454" s="10"/>
      <c r="H454" s="10"/>
      <c r="I454" s="10" t="str">
        <f>IF(pts_traje!$I454&lt;&gt;0,(ROUND(pts_traje!$I454+(pts_traje!$I454*0.02*pts_traje!$H454/1000),0)),"")</f>
        <v/>
      </c>
      <c r="J454" s="10"/>
    </row>
    <row r="455">
      <c r="A455" s="1" t="str">
        <f>IFNA(right(VLOOKUP(pts_traje!$A455,trj!$B$2:$D1000,3,FALSE),4),"")</f>
        <v/>
      </c>
      <c r="B455" s="10"/>
      <c r="C455" s="10"/>
      <c r="D455" s="1" t="str">
        <f>IFNA(VLOOKUP(pts_traje!$D455,FIX!$A$2:$D1000,4,FALSE),"")</f>
        <v/>
      </c>
      <c r="E455" s="10"/>
      <c r="F455" s="10"/>
      <c r="G455" s="10"/>
      <c r="H455" s="10"/>
      <c r="I455" s="10" t="str">
        <f>IF(pts_traje!$I455&lt;&gt;0,(ROUND(pts_traje!$I455+(pts_traje!$I455*0.02*pts_traje!$H455/1000),0)),"")</f>
        <v/>
      </c>
      <c r="J455" s="10"/>
    </row>
    <row r="456">
      <c r="A456" s="1" t="str">
        <f>IFNA(right(VLOOKUP(pts_traje!$A456,trj!$B$2:$D1000,3,FALSE),4),"")</f>
        <v/>
      </c>
      <c r="B456" s="10"/>
      <c r="C456" s="10"/>
      <c r="D456" s="1" t="str">
        <f>IFNA(VLOOKUP(pts_traje!$D456,FIX!$A$2:$D1000,4,FALSE),"")</f>
        <v/>
      </c>
      <c r="E456" s="10"/>
      <c r="F456" s="10"/>
      <c r="G456" s="10"/>
      <c r="H456" s="10"/>
      <c r="I456" s="10" t="str">
        <f>IF(pts_traje!$I456&lt;&gt;0,(ROUND(pts_traje!$I456+(pts_traje!$I456*0.02*pts_traje!$H456/1000),0)),"")</f>
        <v/>
      </c>
      <c r="J456" s="10"/>
    </row>
    <row r="457">
      <c r="A457" s="1" t="str">
        <f>IFNA(right(VLOOKUP(pts_traje!$A457,trj!$B$2:$D1000,3,FALSE),4),"")</f>
        <v/>
      </c>
      <c r="B457" s="10"/>
      <c r="C457" s="10"/>
      <c r="D457" s="1" t="str">
        <f>IFNA(VLOOKUP(pts_traje!$D457,FIX!$A$2:$D1000,4,FALSE),"")</f>
        <v/>
      </c>
      <c r="E457" s="10"/>
      <c r="F457" s="10"/>
      <c r="G457" s="10"/>
      <c r="H457" s="10"/>
      <c r="I457" s="10" t="str">
        <f>IF(pts_traje!$I457&lt;&gt;0,(ROUND(pts_traje!$I457+(pts_traje!$I457*0.02*pts_traje!$H457/1000),0)),"")</f>
        <v/>
      </c>
      <c r="J457" s="10"/>
    </row>
    <row r="458">
      <c r="A458" s="1" t="str">
        <f>IFNA(right(VLOOKUP(pts_traje!$A458,trj!$B$2:$D1000,3,FALSE),4),"")</f>
        <v/>
      </c>
      <c r="B458" s="10"/>
      <c r="C458" s="10"/>
      <c r="D458" s="1" t="str">
        <f>IFNA(VLOOKUP(pts_traje!$D458,FIX!$A$2:$D1000,4,FALSE),"")</f>
        <v/>
      </c>
      <c r="E458" s="10"/>
      <c r="F458" s="10"/>
      <c r="G458" s="10"/>
      <c r="H458" s="10"/>
      <c r="I458" s="10" t="str">
        <f>IF(pts_traje!$I458&lt;&gt;0,(ROUND(pts_traje!$I458+(pts_traje!$I458*0.02*pts_traje!$H458/1000),0)),"")</f>
        <v/>
      </c>
      <c r="J458" s="10"/>
    </row>
    <row r="459">
      <c r="A459" s="1" t="str">
        <f>IFNA(right(VLOOKUP(pts_traje!$A459,trj!$B$2:$D1000,3,FALSE),4),"")</f>
        <v/>
      </c>
      <c r="B459" s="10"/>
      <c r="C459" s="10"/>
      <c r="D459" s="1" t="str">
        <f>IFNA(VLOOKUP(pts_traje!$D459,FIX!$A$2:$D1000,4,FALSE),"")</f>
        <v/>
      </c>
      <c r="E459" s="10"/>
      <c r="F459" s="10"/>
      <c r="G459" s="10"/>
      <c r="H459" s="10"/>
      <c r="I459" s="10" t="str">
        <f>IF(pts_traje!$I459&lt;&gt;0,(ROUND(pts_traje!$I459+(pts_traje!$I459*0.02*pts_traje!$H459/1000),0)),"")</f>
        <v/>
      </c>
      <c r="J459" s="10"/>
    </row>
    <row r="460">
      <c r="A460" s="1" t="str">
        <f>IFNA(right(VLOOKUP(pts_traje!$A460,trj!$B$2:$D1000,3,FALSE),4),"")</f>
        <v/>
      </c>
      <c r="B460" s="10"/>
      <c r="C460" s="10"/>
      <c r="D460" s="1" t="str">
        <f>IFNA(VLOOKUP(pts_traje!$D460,FIX!$A$2:$D1000,4,FALSE),"")</f>
        <v/>
      </c>
      <c r="E460" s="10"/>
      <c r="F460" s="10"/>
      <c r="G460" s="10"/>
      <c r="H460" s="10"/>
      <c r="I460" s="10" t="str">
        <f>IF(pts_traje!$I460&lt;&gt;0,(ROUND(pts_traje!$I460+(pts_traje!$I460*0.02*pts_traje!$H460/1000),0)),"")</f>
        <v/>
      </c>
      <c r="J460" s="10"/>
    </row>
    <row r="461">
      <c r="A461" s="1" t="str">
        <f>IFNA(right(VLOOKUP(pts_traje!$A461,trj!$B$2:$D1000,3,FALSE),4),"")</f>
        <v/>
      </c>
      <c r="B461" s="10"/>
      <c r="C461" s="10"/>
      <c r="D461" s="1" t="str">
        <f>IFNA(VLOOKUP(pts_traje!$D461,FIX!$A$2:$D1000,4,FALSE),"")</f>
        <v/>
      </c>
      <c r="E461" s="10"/>
      <c r="F461" s="10"/>
      <c r="G461" s="10"/>
      <c r="H461" s="10"/>
      <c r="I461" s="10" t="str">
        <f>IF(pts_traje!$I461&lt;&gt;0,(ROUND(pts_traje!$I461+(pts_traje!$I461*0.02*pts_traje!$H461/1000),0)),"")</f>
        <v/>
      </c>
      <c r="J461" s="10"/>
    </row>
    <row r="462">
      <c r="A462" s="1" t="str">
        <f>IFNA(right(VLOOKUP(pts_traje!$A462,trj!$B$2:$D1000,3,FALSE),4),"")</f>
        <v/>
      </c>
      <c r="B462" s="10"/>
      <c r="C462" s="10"/>
      <c r="D462" s="1" t="str">
        <f>IFNA(VLOOKUP(pts_traje!$D462,FIX!$A$2:$D1000,4,FALSE),"")</f>
        <v/>
      </c>
      <c r="E462" s="10"/>
      <c r="F462" s="10"/>
      <c r="G462" s="10"/>
      <c r="H462" s="10"/>
      <c r="I462" s="10" t="str">
        <f>IF(pts_traje!$I462&lt;&gt;0,(ROUND(pts_traje!$I462+(pts_traje!$I462*0.02*pts_traje!$H462/1000),0)),"")</f>
        <v/>
      </c>
      <c r="J462" s="10"/>
    </row>
    <row r="463">
      <c r="A463" s="1" t="str">
        <f>IFNA(right(VLOOKUP(pts_traje!$A463,trj!$B$2:$D1000,3,FALSE),4),"")</f>
        <v/>
      </c>
      <c r="B463" s="10"/>
      <c r="C463" s="10"/>
      <c r="D463" s="1" t="str">
        <f>IFNA(VLOOKUP(pts_traje!$D463,FIX!$A$2:$D1000,4,FALSE),"")</f>
        <v/>
      </c>
      <c r="E463" s="10"/>
      <c r="F463" s="10"/>
      <c r="G463" s="10"/>
      <c r="H463" s="10"/>
      <c r="I463" s="10" t="str">
        <f>IF(pts_traje!$I463&lt;&gt;0,(ROUND(pts_traje!$I463+(pts_traje!$I463*0.02*pts_traje!$H463/1000),0)),"")</f>
        <v/>
      </c>
      <c r="J463" s="10"/>
    </row>
    <row r="464">
      <c r="A464" s="1" t="str">
        <f>IFNA(right(VLOOKUP(pts_traje!$A464,trj!$B$2:$D1000,3,FALSE),4),"")</f>
        <v/>
      </c>
      <c r="B464" s="10"/>
      <c r="C464" s="10"/>
      <c r="D464" s="1" t="str">
        <f>IFNA(VLOOKUP(pts_traje!$D464,FIX!$A$2:$D1000,4,FALSE),"")</f>
        <v/>
      </c>
      <c r="E464" s="10"/>
      <c r="F464" s="10"/>
      <c r="G464" s="10"/>
      <c r="H464" s="10"/>
      <c r="I464" s="10" t="str">
        <f>IF(pts_traje!$I464&lt;&gt;0,(ROUND(pts_traje!$I464+(pts_traje!$I464*0.02*pts_traje!$H464/1000),0)),"")</f>
        <v/>
      </c>
      <c r="J464" s="10"/>
    </row>
    <row r="465">
      <c r="A465" s="1" t="str">
        <f>IFNA(right(VLOOKUP(pts_traje!$A465,trj!$B$2:$D1000,3,FALSE),4),"")</f>
        <v/>
      </c>
      <c r="B465" s="10"/>
      <c r="C465" s="10"/>
      <c r="D465" s="1" t="str">
        <f>IFNA(VLOOKUP(pts_traje!$D465,FIX!$A$2:$D1000,4,FALSE),"")</f>
        <v/>
      </c>
      <c r="E465" s="10"/>
      <c r="F465" s="10"/>
      <c r="G465" s="10"/>
      <c r="H465" s="10"/>
      <c r="I465" s="10" t="str">
        <f>IF(pts_traje!$I465&lt;&gt;0,(ROUND(pts_traje!$I465+(pts_traje!$I465*0.02*pts_traje!$H465/1000),0)),"")</f>
        <v/>
      </c>
      <c r="J465" s="10"/>
    </row>
    <row r="466">
      <c r="A466" s="1" t="str">
        <f>IFNA(right(VLOOKUP(pts_traje!$A466,trj!$B$2:$D1000,3,FALSE),4),"")</f>
        <v/>
      </c>
      <c r="B466" s="10"/>
      <c r="C466" s="10"/>
      <c r="D466" s="1" t="str">
        <f>IFNA(VLOOKUP(pts_traje!$D466,FIX!$A$2:$D1000,4,FALSE),"")</f>
        <v/>
      </c>
      <c r="E466" s="10"/>
      <c r="F466" s="10"/>
      <c r="G466" s="10"/>
      <c r="H466" s="10"/>
      <c r="I466" s="10" t="str">
        <f>IF(pts_traje!$I466&lt;&gt;0,(ROUND(pts_traje!$I466+(pts_traje!$I466*0.02*pts_traje!$H466/1000),0)),"")</f>
        <v/>
      </c>
      <c r="J466" s="10"/>
    </row>
    <row r="467">
      <c r="A467" s="1" t="str">
        <f>IFNA(right(VLOOKUP(pts_traje!$A467,trj!$B$2:$D1000,3,FALSE),4),"")</f>
        <v/>
      </c>
      <c r="B467" s="10"/>
      <c r="C467" s="10"/>
      <c r="D467" s="1" t="str">
        <f>IFNA(VLOOKUP(pts_traje!$D467,FIX!$A$2:$D1000,4,FALSE),"")</f>
        <v/>
      </c>
      <c r="E467" s="10"/>
      <c r="F467" s="10"/>
      <c r="G467" s="10"/>
      <c r="H467" s="10"/>
      <c r="I467" s="10" t="str">
        <f>IF(pts_traje!$I467&lt;&gt;0,(ROUND(pts_traje!$I467+(pts_traje!$I467*0.02*pts_traje!$H467/1000),0)),"")</f>
        <v/>
      </c>
      <c r="J467" s="10"/>
    </row>
    <row r="468">
      <c r="A468" s="1" t="str">
        <f>IFNA(right(VLOOKUP(pts_traje!$A468,trj!$B$2:$D1000,3,FALSE),4),"")</f>
        <v/>
      </c>
      <c r="B468" s="10"/>
      <c r="C468" s="10"/>
      <c r="D468" s="1" t="str">
        <f>IFNA(VLOOKUP(pts_traje!$D468,FIX!$A$2:$D1000,4,FALSE),"")</f>
        <v/>
      </c>
      <c r="E468" s="10"/>
      <c r="F468" s="10"/>
      <c r="G468" s="10"/>
      <c r="H468" s="10"/>
      <c r="I468" s="10" t="str">
        <f>IF(pts_traje!$I468&lt;&gt;0,(ROUND(pts_traje!$I468+(pts_traje!$I468*0.02*pts_traje!$H468/1000),0)),"")</f>
        <v/>
      </c>
      <c r="J468" s="10"/>
    </row>
    <row r="469">
      <c r="A469" s="1" t="str">
        <f>IFNA(right(VLOOKUP(pts_traje!$A469,trj!$B$2:$D1000,3,FALSE),4),"")</f>
        <v/>
      </c>
      <c r="B469" s="10"/>
      <c r="C469" s="10"/>
      <c r="D469" s="1" t="str">
        <f>IFNA(VLOOKUP(pts_traje!$D469,FIX!$A$2:$D1000,4,FALSE),"")</f>
        <v/>
      </c>
      <c r="E469" s="10"/>
      <c r="F469" s="10"/>
      <c r="G469" s="10"/>
      <c r="H469" s="10"/>
      <c r="I469" s="10" t="str">
        <f>IF(pts_traje!$I469&lt;&gt;0,(ROUND(pts_traje!$I469+(pts_traje!$I469*0.02*pts_traje!$H469/1000),0)),"")</f>
        <v/>
      </c>
      <c r="J469" s="10"/>
    </row>
    <row r="470">
      <c r="A470" s="1" t="str">
        <f>IFNA(right(VLOOKUP(pts_traje!$A470,trj!$B$2:$D1000,3,FALSE),4),"")</f>
        <v/>
      </c>
      <c r="B470" s="10"/>
      <c r="C470" s="10"/>
      <c r="D470" s="1" t="str">
        <f>IFNA(VLOOKUP(pts_traje!$D470,FIX!$A$2:$D1000,4,FALSE),"")</f>
        <v/>
      </c>
      <c r="E470" s="10"/>
      <c r="F470" s="10"/>
      <c r="G470" s="10"/>
      <c r="H470" s="10"/>
      <c r="I470" s="10" t="str">
        <f>IF(pts_traje!$I470&lt;&gt;0,(ROUND(pts_traje!$I470+(pts_traje!$I470*0.02*pts_traje!$H470/1000),0)),"")</f>
        <v/>
      </c>
      <c r="J470" s="10"/>
    </row>
    <row r="471">
      <c r="A471" s="1" t="str">
        <f>IFNA(right(VLOOKUP(pts_traje!$A471,trj!$B$2:$D1000,3,FALSE),4),"")</f>
        <v/>
      </c>
      <c r="B471" s="10"/>
      <c r="C471" s="10"/>
      <c r="D471" s="1" t="str">
        <f>IFNA(VLOOKUP(pts_traje!$D471,FIX!$A$2:$D1000,4,FALSE),"")</f>
        <v/>
      </c>
      <c r="E471" s="10"/>
      <c r="F471" s="10"/>
      <c r="G471" s="10"/>
      <c r="H471" s="10"/>
      <c r="I471" s="10" t="str">
        <f>IF(pts_traje!$I471&lt;&gt;0,(ROUND(pts_traje!$I471+(pts_traje!$I471*0.02*pts_traje!$H471/1000),0)),"")</f>
        <v/>
      </c>
      <c r="J471" s="10"/>
    </row>
    <row r="472">
      <c r="A472" s="1" t="str">
        <f>IFNA(right(VLOOKUP(pts_traje!$A472,trj!$B$2:$D1000,3,FALSE),4),"")</f>
        <v/>
      </c>
      <c r="B472" s="10"/>
      <c r="C472" s="10"/>
      <c r="D472" s="1" t="str">
        <f>IFNA(VLOOKUP(pts_traje!$D472,FIX!$A$2:$D1000,4,FALSE),"")</f>
        <v/>
      </c>
      <c r="E472" s="10"/>
      <c r="F472" s="10"/>
      <c r="G472" s="10"/>
      <c r="H472" s="10"/>
      <c r="I472" s="10" t="str">
        <f>IF(pts_traje!$I472&lt;&gt;0,(ROUND(pts_traje!$I472+(pts_traje!$I472*0.02*pts_traje!$H472/1000),0)),"")</f>
        <v/>
      </c>
      <c r="J472" s="10"/>
    </row>
    <row r="473">
      <c r="A473" s="1" t="str">
        <f>IFNA(right(VLOOKUP(pts_traje!$A473,trj!$B$2:$D1000,3,FALSE),4),"")</f>
        <v/>
      </c>
      <c r="B473" s="10"/>
      <c r="C473" s="10"/>
      <c r="D473" s="1" t="str">
        <f>IFNA(VLOOKUP(pts_traje!$D473,FIX!$A$2:$D1000,4,FALSE),"")</f>
        <v/>
      </c>
      <c r="E473" s="10"/>
      <c r="F473" s="10"/>
      <c r="G473" s="10"/>
      <c r="H473" s="10"/>
      <c r="I473" s="10" t="str">
        <f>IF(pts_traje!$I473&lt;&gt;0,(ROUND(pts_traje!$I473+(pts_traje!$I473*0.02*pts_traje!$H473/1000),0)),"")</f>
        <v/>
      </c>
      <c r="J473" s="10"/>
    </row>
    <row r="474">
      <c r="A474" s="1" t="str">
        <f>IFNA(right(VLOOKUP(pts_traje!$A474,trj!$B$2:$D1000,3,FALSE),4),"")</f>
        <v/>
      </c>
      <c r="B474" s="10"/>
      <c r="C474" s="10"/>
      <c r="D474" s="1" t="str">
        <f>IFNA(VLOOKUP(pts_traje!$D474,FIX!$A$2:$D1000,4,FALSE),"")</f>
        <v/>
      </c>
      <c r="E474" s="10"/>
      <c r="F474" s="10"/>
      <c r="G474" s="10"/>
      <c r="H474" s="10"/>
      <c r="I474" s="10" t="str">
        <f>IF(pts_traje!$I474&lt;&gt;0,(ROUND(pts_traje!$I474+(pts_traje!$I474*0.02*pts_traje!$H474/1000),0)),"")</f>
        <v/>
      </c>
      <c r="J474" s="10"/>
    </row>
    <row r="475">
      <c r="A475" s="1" t="str">
        <f>IFNA(right(VLOOKUP(pts_traje!$A475,trj!$B$2:$D1000,3,FALSE),4),"")</f>
        <v/>
      </c>
      <c r="B475" s="10"/>
      <c r="C475" s="10"/>
      <c r="D475" s="1" t="str">
        <f>IFNA(VLOOKUP(pts_traje!$D475,FIX!$A$2:$D1000,4,FALSE),"")</f>
        <v/>
      </c>
      <c r="E475" s="10"/>
      <c r="F475" s="10"/>
      <c r="G475" s="10"/>
      <c r="H475" s="10"/>
      <c r="I475" s="10" t="str">
        <f>IF(pts_traje!$I475&lt;&gt;0,(ROUND(pts_traje!$I475+(pts_traje!$I475*0.02*pts_traje!$H475/1000),0)),"")</f>
        <v/>
      </c>
      <c r="J475" s="10"/>
    </row>
    <row r="476">
      <c r="A476" s="1" t="str">
        <f>IFNA(right(VLOOKUP(pts_traje!$A476,trj!$B$2:$D1000,3,FALSE),4),"")</f>
        <v/>
      </c>
      <c r="B476" s="10"/>
      <c r="C476" s="10"/>
      <c r="D476" s="1" t="str">
        <f>IFNA(VLOOKUP(pts_traje!$D476,FIX!$A$2:$D1000,4,FALSE),"")</f>
        <v/>
      </c>
      <c r="E476" s="10"/>
      <c r="F476" s="10"/>
      <c r="G476" s="10"/>
      <c r="H476" s="10"/>
      <c r="I476" s="10" t="str">
        <f>IF(pts_traje!$I476&lt;&gt;0,(ROUND(pts_traje!$I476+(pts_traje!$I476*0.02*pts_traje!$H476/1000),0)),"")</f>
        <v/>
      </c>
      <c r="J476" s="10"/>
    </row>
    <row r="477">
      <c r="A477" s="1" t="str">
        <f>IFNA(right(VLOOKUP(pts_traje!$A477,trj!$B$2:$D1000,3,FALSE),4),"")</f>
        <v/>
      </c>
      <c r="B477" s="10"/>
      <c r="C477" s="10"/>
      <c r="D477" s="1" t="str">
        <f>IFNA(VLOOKUP(pts_traje!$D477,FIX!$A$2:$D1000,4,FALSE),"")</f>
        <v/>
      </c>
      <c r="E477" s="10"/>
      <c r="F477" s="10"/>
      <c r="G477" s="10"/>
      <c r="H477" s="10"/>
      <c r="I477" s="10" t="str">
        <f>IF(pts_traje!$I477&lt;&gt;0,(ROUND(pts_traje!$I477+(pts_traje!$I477*0.02*pts_traje!$H477/1000),0)),"")</f>
        <v/>
      </c>
      <c r="J477" s="10"/>
    </row>
    <row r="478">
      <c r="A478" s="1" t="str">
        <f>IFNA(right(VLOOKUP(pts_traje!$A478,trj!$B$2:$D1000,3,FALSE),4),"")</f>
        <v/>
      </c>
      <c r="B478" s="10"/>
      <c r="C478" s="10"/>
      <c r="D478" s="1" t="str">
        <f>IFNA(VLOOKUP(pts_traje!$D478,FIX!$A$2:$D1000,4,FALSE),"")</f>
        <v/>
      </c>
      <c r="E478" s="10"/>
      <c r="F478" s="10"/>
      <c r="G478" s="10"/>
      <c r="H478" s="10"/>
      <c r="I478" s="10" t="str">
        <f>IF(pts_traje!$I478&lt;&gt;0,(ROUND(pts_traje!$I478+(pts_traje!$I478*0.02*pts_traje!$H478/1000),0)),"")</f>
        <v/>
      </c>
      <c r="J478" s="10"/>
    </row>
    <row r="479">
      <c r="A479" s="1" t="str">
        <f>IFNA(right(VLOOKUP(pts_traje!$A479,trj!$B$2:$D1000,3,FALSE),4),"")</f>
        <v/>
      </c>
      <c r="B479" s="10"/>
      <c r="C479" s="10"/>
      <c r="D479" s="1" t="str">
        <f>IFNA(VLOOKUP(pts_traje!$D479,FIX!$A$2:$D1000,4,FALSE),"")</f>
        <v/>
      </c>
      <c r="E479" s="10"/>
      <c r="F479" s="10"/>
      <c r="G479" s="10"/>
      <c r="H479" s="10"/>
      <c r="I479" s="10" t="str">
        <f>IF(pts_traje!$I479&lt;&gt;0,(ROUND(pts_traje!$I479+(pts_traje!$I479*0.02*pts_traje!$H479/1000),0)),"")</f>
        <v/>
      </c>
      <c r="J479" s="10"/>
    </row>
    <row r="480">
      <c r="A480" s="1" t="str">
        <f>IFNA(right(VLOOKUP(pts_traje!$A480,trj!$B$2:$D1000,3,FALSE),4),"")</f>
        <v/>
      </c>
      <c r="B480" s="10"/>
      <c r="C480" s="10"/>
      <c r="D480" s="1" t="str">
        <f>IFNA(VLOOKUP(pts_traje!$D480,FIX!$A$2:$D1000,4,FALSE),"")</f>
        <v/>
      </c>
      <c r="E480" s="10"/>
      <c r="F480" s="10"/>
      <c r="G480" s="10"/>
      <c r="H480" s="10"/>
      <c r="I480" s="10" t="str">
        <f>IF(pts_traje!$I480&lt;&gt;0,(ROUND(pts_traje!$I480+(pts_traje!$I480*0.02*pts_traje!$H480/1000),0)),"")</f>
        <v/>
      </c>
      <c r="J480" s="10"/>
    </row>
    <row r="481">
      <c r="A481" s="1" t="str">
        <f>IFNA(right(VLOOKUP(pts_traje!$A481,trj!$B$2:$D1000,3,FALSE),4),"")</f>
        <v/>
      </c>
      <c r="B481" s="10"/>
      <c r="C481" s="10"/>
      <c r="D481" s="1" t="str">
        <f>IFNA(VLOOKUP(pts_traje!$D481,FIX!$A$2:$D1000,4,FALSE),"")</f>
        <v/>
      </c>
      <c r="E481" s="10"/>
      <c r="F481" s="10"/>
      <c r="G481" s="10"/>
      <c r="H481" s="10"/>
      <c r="I481" s="10" t="str">
        <f>IF(pts_traje!$I481&lt;&gt;0,(ROUND(pts_traje!$I481+(pts_traje!$I481*0.02*pts_traje!$H481/1000),0)),"")</f>
        <v/>
      </c>
      <c r="J481" s="10"/>
    </row>
    <row r="482">
      <c r="A482" s="1" t="str">
        <f>IFNA(right(VLOOKUP(pts_traje!$A482,trj!$B$2:$D1000,3,FALSE),4),"")</f>
        <v/>
      </c>
      <c r="B482" s="10"/>
      <c r="C482" s="10"/>
      <c r="D482" s="1" t="str">
        <f>IFNA(VLOOKUP(pts_traje!$D482,FIX!$A$2:$D1000,4,FALSE),"")</f>
        <v/>
      </c>
      <c r="E482" s="10"/>
      <c r="F482" s="10"/>
      <c r="G482" s="10"/>
      <c r="H482" s="10"/>
      <c r="I482" s="10" t="str">
        <f>IF(pts_traje!$I482&lt;&gt;0,(ROUND(pts_traje!$I482+(pts_traje!$I482*0.02*pts_traje!$H482/1000),0)),"")</f>
        <v/>
      </c>
      <c r="J482" s="10"/>
    </row>
    <row r="483">
      <c r="A483" s="1" t="str">
        <f>IFNA(right(VLOOKUP(pts_traje!$A483,trj!$B$2:$D1000,3,FALSE),4),"")</f>
        <v/>
      </c>
      <c r="B483" s="10"/>
      <c r="C483" s="10"/>
      <c r="D483" s="1" t="str">
        <f>IFNA(VLOOKUP(pts_traje!$D483,FIX!$A$2:$D1000,4,FALSE),"")</f>
        <v/>
      </c>
      <c r="E483" s="10"/>
      <c r="F483" s="10"/>
      <c r="G483" s="10"/>
      <c r="H483" s="10"/>
      <c r="I483" s="10" t="str">
        <f>IF(pts_traje!$I483&lt;&gt;0,(ROUND(pts_traje!$I483+(pts_traje!$I483*0.02*pts_traje!$H483/1000),0)),"")</f>
        <v/>
      </c>
      <c r="J483" s="10"/>
    </row>
    <row r="484">
      <c r="A484" s="1" t="str">
        <f>IFNA(right(VLOOKUP(pts_traje!$A484,trj!$B$2:$D1000,3,FALSE),4),"")</f>
        <v/>
      </c>
      <c r="B484" s="10"/>
      <c r="C484" s="10"/>
      <c r="D484" s="1" t="str">
        <f>IFNA(VLOOKUP(pts_traje!$D484,FIX!$A$2:$D1000,4,FALSE),"")</f>
        <v/>
      </c>
      <c r="E484" s="10"/>
      <c r="F484" s="10"/>
      <c r="G484" s="10"/>
      <c r="H484" s="10"/>
      <c r="I484" s="10" t="str">
        <f>IF(pts_traje!$I484&lt;&gt;0,(ROUND(pts_traje!$I484+(pts_traje!$I484*0.02*pts_traje!$H484/1000),0)),"")</f>
        <v/>
      </c>
      <c r="J484" s="10"/>
    </row>
    <row r="485">
      <c r="A485" s="1" t="str">
        <f>IFNA(right(VLOOKUP(pts_traje!$A485,trj!$B$2:$D1000,3,FALSE),4),"")</f>
        <v/>
      </c>
      <c r="B485" s="10"/>
      <c r="C485" s="10"/>
      <c r="D485" s="1" t="str">
        <f>IFNA(VLOOKUP(pts_traje!$D485,FIX!$A$2:$D1000,4,FALSE),"")</f>
        <v/>
      </c>
      <c r="E485" s="10"/>
      <c r="F485" s="10"/>
      <c r="G485" s="10"/>
      <c r="H485" s="10"/>
      <c r="I485" s="10" t="str">
        <f>IF(pts_traje!$I485&lt;&gt;0,(ROUND(pts_traje!$I485+(pts_traje!$I485*0.02*pts_traje!$H485/1000),0)),"")</f>
        <v/>
      </c>
      <c r="J485" s="10"/>
    </row>
    <row r="486">
      <c r="A486" s="1" t="str">
        <f>IFNA(right(VLOOKUP(pts_traje!$A486,trj!$B$2:$D1000,3,FALSE),4),"")</f>
        <v/>
      </c>
      <c r="B486" s="10"/>
      <c r="C486" s="10"/>
      <c r="D486" s="1" t="str">
        <f>IFNA(VLOOKUP(pts_traje!$D486,FIX!$A$2:$D1000,4,FALSE),"")</f>
        <v/>
      </c>
      <c r="E486" s="10"/>
      <c r="F486" s="10"/>
      <c r="G486" s="10"/>
      <c r="H486" s="10"/>
      <c r="I486" s="10" t="str">
        <f>IF(pts_traje!$I486&lt;&gt;0,(ROUND(pts_traje!$I486+(pts_traje!$I486*0.02*pts_traje!$H486/1000),0)),"")</f>
        <v/>
      </c>
      <c r="J486" s="10"/>
    </row>
    <row r="487">
      <c r="A487" s="1" t="str">
        <f>IFNA(right(VLOOKUP(pts_traje!$A487,trj!$B$2:$D1000,3,FALSE),4),"")</f>
        <v/>
      </c>
      <c r="B487" s="10"/>
      <c r="C487" s="10"/>
      <c r="D487" s="1" t="str">
        <f>IFNA(VLOOKUP(pts_traje!$D487,FIX!$A$2:$D1000,4,FALSE),"")</f>
        <v/>
      </c>
      <c r="E487" s="10"/>
      <c r="F487" s="10"/>
      <c r="G487" s="10"/>
      <c r="H487" s="10"/>
      <c r="I487" s="10" t="str">
        <f>IF(pts_traje!$I487&lt;&gt;0,(ROUND(pts_traje!$I487+(pts_traje!$I487*0.02*pts_traje!$H487/1000),0)),"")</f>
        <v/>
      </c>
      <c r="J487" s="10"/>
    </row>
    <row r="488">
      <c r="A488" s="1" t="str">
        <f>IFNA(right(VLOOKUP(pts_traje!$A488,trj!$B$2:$D1000,3,FALSE),4),"")</f>
        <v/>
      </c>
      <c r="B488" s="10"/>
      <c r="C488" s="10"/>
      <c r="D488" s="1" t="str">
        <f>IFNA(VLOOKUP(pts_traje!$D488,FIX!$A$2:$D1000,4,FALSE),"")</f>
        <v/>
      </c>
      <c r="E488" s="10"/>
      <c r="F488" s="10"/>
      <c r="G488" s="10"/>
      <c r="H488" s="10"/>
      <c r="I488" s="10" t="str">
        <f>IF(pts_traje!$I488&lt;&gt;0,(ROUND(pts_traje!$I488+(pts_traje!$I488*0.02*pts_traje!$H488/1000),0)),"")</f>
        <v/>
      </c>
      <c r="J488" s="10"/>
    </row>
    <row r="489">
      <c r="A489" s="1" t="str">
        <f>IFNA(right(VLOOKUP(pts_traje!$A489,trj!$B$2:$D1000,3,FALSE),4),"")</f>
        <v/>
      </c>
      <c r="B489" s="10"/>
      <c r="C489" s="10"/>
      <c r="D489" s="1" t="str">
        <f>IFNA(VLOOKUP(pts_traje!$D489,FIX!$A$2:$D1000,4,FALSE),"")</f>
        <v/>
      </c>
      <c r="E489" s="10"/>
      <c r="F489" s="10"/>
      <c r="G489" s="10"/>
      <c r="H489" s="10"/>
      <c r="I489" s="10" t="str">
        <f>IF(pts_traje!$I489&lt;&gt;0,(ROUND(pts_traje!$I489+(pts_traje!$I489*0.02*pts_traje!$H489/1000),0)),"")</f>
        <v/>
      </c>
      <c r="J489" s="10"/>
    </row>
    <row r="490">
      <c r="A490" s="1" t="str">
        <f>IFNA(right(VLOOKUP(pts_traje!$A490,trj!$B$2:$D1000,3,FALSE),4),"")</f>
        <v/>
      </c>
      <c r="B490" s="10"/>
      <c r="C490" s="10"/>
      <c r="D490" s="1" t="str">
        <f>IFNA(VLOOKUP(pts_traje!$D490,FIX!$A$2:$D1000,4,FALSE),"")</f>
        <v/>
      </c>
      <c r="E490" s="10"/>
      <c r="F490" s="10"/>
      <c r="G490" s="10"/>
      <c r="H490" s="10"/>
      <c r="I490" s="10" t="str">
        <f>IF(pts_traje!$I490&lt;&gt;0,(ROUND(pts_traje!$I490+(pts_traje!$I490*0.02*pts_traje!$H490/1000),0)),"")</f>
        <v/>
      </c>
      <c r="J490" s="10"/>
    </row>
    <row r="491">
      <c r="A491" s="1" t="str">
        <f>IFNA(right(VLOOKUP(pts_traje!$A491,trj!$B$2:$D1000,3,FALSE),4),"")</f>
        <v/>
      </c>
      <c r="B491" s="10"/>
      <c r="C491" s="10"/>
      <c r="D491" s="1" t="str">
        <f>IFNA(VLOOKUP(pts_traje!$D491,FIX!$A$2:$D1000,4,FALSE),"")</f>
        <v/>
      </c>
      <c r="E491" s="10"/>
      <c r="F491" s="10"/>
      <c r="G491" s="10"/>
      <c r="H491" s="10"/>
      <c r="I491" s="10" t="str">
        <f>IF(pts_traje!$I491&lt;&gt;0,(ROUND(pts_traje!$I491+(pts_traje!$I491*0.02*pts_traje!$H491/1000),0)),"")</f>
        <v/>
      </c>
      <c r="J491" s="10"/>
    </row>
    <row r="492">
      <c r="A492" s="1" t="str">
        <f>IFNA(right(VLOOKUP(pts_traje!$A492,trj!$B$2:$D1000,3,FALSE),4),"")</f>
        <v/>
      </c>
      <c r="B492" s="10"/>
      <c r="C492" s="10"/>
      <c r="D492" s="1" t="str">
        <f>IFNA(VLOOKUP(pts_traje!$D492,FIX!$A$2:$D1000,4,FALSE),"")</f>
        <v/>
      </c>
      <c r="E492" s="10"/>
      <c r="F492" s="10"/>
      <c r="G492" s="10"/>
      <c r="H492" s="10"/>
      <c r="I492" s="10" t="str">
        <f>IF(pts_traje!$I492&lt;&gt;0,(ROUND(pts_traje!$I492+(pts_traje!$I492*0.02*pts_traje!$H492/1000),0)),"")</f>
        <v/>
      </c>
      <c r="J492" s="10"/>
    </row>
    <row r="493">
      <c r="A493" s="1" t="str">
        <f>IFNA(right(VLOOKUP(pts_traje!$A493,trj!$B$2:$D1000,3,FALSE),4),"")</f>
        <v/>
      </c>
      <c r="B493" s="10"/>
      <c r="C493" s="10"/>
      <c r="D493" s="1" t="str">
        <f>IFNA(VLOOKUP(pts_traje!$D493,FIX!$A$2:$D1000,4,FALSE),"")</f>
        <v/>
      </c>
      <c r="E493" s="10"/>
      <c r="F493" s="10"/>
      <c r="G493" s="10"/>
      <c r="H493" s="10"/>
      <c r="I493" s="10" t="str">
        <f>IF(pts_traje!$I493&lt;&gt;0,(ROUND(pts_traje!$I493+(pts_traje!$I493*0.02*pts_traje!$H493/1000),0)),"")</f>
        <v/>
      </c>
      <c r="J493" s="10"/>
    </row>
    <row r="494">
      <c r="A494" s="1" t="str">
        <f>IFNA(right(VLOOKUP(pts_traje!$A494,trj!$B$2:$D1000,3,FALSE),4),"")</f>
        <v/>
      </c>
      <c r="B494" s="10"/>
      <c r="C494" s="10"/>
      <c r="D494" s="1" t="str">
        <f>IFNA(VLOOKUP(pts_traje!$D494,FIX!$A$2:$D1000,4,FALSE),"")</f>
        <v/>
      </c>
      <c r="E494" s="10"/>
      <c r="F494" s="10"/>
      <c r="G494" s="10"/>
      <c r="H494" s="10"/>
      <c r="I494" s="10" t="str">
        <f>IF(pts_traje!$I494&lt;&gt;0,(ROUND(pts_traje!$I494+(pts_traje!$I494*0.02*pts_traje!$H494/1000),0)),"")</f>
        <v/>
      </c>
      <c r="J494" s="10"/>
    </row>
    <row r="495">
      <c r="A495" s="1" t="str">
        <f>IFNA(right(VLOOKUP(pts_traje!$A495,trj!$B$2:$D1000,3,FALSE),4),"")</f>
        <v/>
      </c>
      <c r="B495" s="10"/>
      <c r="C495" s="10"/>
      <c r="D495" s="1" t="str">
        <f>IFNA(VLOOKUP(pts_traje!$D495,FIX!$A$2:$D1000,4,FALSE),"")</f>
        <v/>
      </c>
      <c r="E495" s="10"/>
      <c r="F495" s="10"/>
      <c r="G495" s="10"/>
      <c r="H495" s="10"/>
      <c r="I495" s="10" t="str">
        <f>IF(pts_traje!$I495&lt;&gt;0,(ROUND(pts_traje!$I495+(pts_traje!$I495*0.02*pts_traje!$H495/1000),0)),"")</f>
        <v/>
      </c>
      <c r="J495" s="10"/>
    </row>
    <row r="496">
      <c r="A496" s="1" t="str">
        <f>IFNA(right(VLOOKUP(pts_traje!$A496,trj!$B$2:$D1000,3,FALSE),4),"")</f>
        <v/>
      </c>
      <c r="B496" s="10"/>
      <c r="C496" s="10"/>
      <c r="D496" s="1" t="str">
        <f>IFNA(VLOOKUP(pts_traje!$D496,FIX!$A$2:$D1000,4,FALSE),"")</f>
        <v/>
      </c>
      <c r="E496" s="10"/>
      <c r="F496" s="10"/>
      <c r="G496" s="10"/>
      <c r="H496" s="10"/>
      <c r="I496" s="10" t="str">
        <f>IF(pts_traje!$I496&lt;&gt;0,(ROUND(pts_traje!$I496+(pts_traje!$I496*0.02*pts_traje!$H496/1000),0)),"")</f>
        <v/>
      </c>
      <c r="J496" s="10"/>
    </row>
    <row r="497">
      <c r="A497" s="1" t="str">
        <f>IFNA(right(VLOOKUP(pts_traje!$A497,trj!$B$2:$D1000,3,FALSE),4),"")</f>
        <v/>
      </c>
      <c r="B497" s="10"/>
      <c r="C497" s="10"/>
      <c r="D497" s="1" t="str">
        <f>IFNA(VLOOKUP(pts_traje!$D497,FIX!$A$2:$D1000,4,FALSE),"")</f>
        <v/>
      </c>
      <c r="E497" s="10"/>
      <c r="F497" s="10"/>
      <c r="G497" s="10"/>
      <c r="H497" s="10"/>
      <c r="I497" s="10" t="str">
        <f>IF(pts_traje!$I497&lt;&gt;0,(ROUND(pts_traje!$I497+(pts_traje!$I497*0.02*pts_traje!$H497/1000),0)),"")</f>
        <v/>
      </c>
      <c r="J497" s="10"/>
    </row>
    <row r="498">
      <c r="A498" s="1" t="str">
        <f>IFNA(right(VLOOKUP(pts_traje!$A498,trj!$B$2:$D1000,3,FALSE),4),"")</f>
        <v/>
      </c>
      <c r="B498" s="10"/>
      <c r="C498" s="10"/>
      <c r="D498" s="1" t="str">
        <f>IFNA(VLOOKUP(pts_traje!$D498,FIX!$A$2:$D1000,4,FALSE),"")</f>
        <v/>
      </c>
      <c r="E498" s="10"/>
      <c r="F498" s="10"/>
      <c r="G498" s="10"/>
      <c r="H498" s="10"/>
      <c r="I498" s="10" t="str">
        <f>IF(pts_traje!$I498&lt;&gt;0,(ROUND(pts_traje!$I498+(pts_traje!$I498*0.02*pts_traje!$H498/1000),0)),"")</f>
        <v/>
      </c>
      <c r="J498" s="10"/>
    </row>
    <row r="499">
      <c r="A499" s="1" t="str">
        <f>IFNA(right(VLOOKUP(pts_traje!$A499,trj!$B$2:$D1000,3,FALSE),4),"")</f>
        <v/>
      </c>
      <c r="B499" s="10"/>
      <c r="C499" s="10"/>
      <c r="D499" s="1" t="str">
        <f>IFNA(VLOOKUP(pts_traje!$D499,FIX!$A$2:$D1000,4,FALSE),"")</f>
        <v/>
      </c>
      <c r="E499" s="10"/>
      <c r="F499" s="10"/>
      <c r="G499" s="10"/>
      <c r="H499" s="10"/>
      <c r="I499" s="10" t="str">
        <f>IF(pts_traje!$I499&lt;&gt;0,(ROUND(pts_traje!$I499+(pts_traje!$I499*0.02*pts_traje!$H499/1000),0)),"")</f>
        <v/>
      </c>
      <c r="J499" s="10"/>
    </row>
    <row r="500">
      <c r="A500" s="1" t="str">
        <f>IFNA(right(VLOOKUP(pts_traje!$A500,trj!$B$2:$D1000,3,FALSE),4),"")</f>
        <v/>
      </c>
      <c r="B500" s="10"/>
      <c r="C500" s="10"/>
      <c r="D500" s="1" t="str">
        <f>IFNA(VLOOKUP(pts_traje!$D500,FIX!$A$2:$D1000,4,FALSE),"")</f>
        <v/>
      </c>
      <c r="E500" s="10"/>
      <c r="F500" s="10"/>
      <c r="G500" s="10"/>
      <c r="H500" s="10"/>
      <c r="I500" s="10" t="str">
        <f>IF(pts_traje!$I500&lt;&gt;0,(ROUND(pts_traje!$I500+(pts_traje!$I500*0.02*pts_traje!$H500/1000),0)),"")</f>
        <v/>
      </c>
      <c r="J500" s="10"/>
    </row>
    <row r="501">
      <c r="A501" s="1" t="str">
        <f>IFNA(right(VLOOKUP(pts_traje!$A501,trj!$B$2:$D1000,3,FALSE),4),"")</f>
        <v/>
      </c>
      <c r="B501" s="10"/>
      <c r="C501" s="10"/>
      <c r="D501" s="1" t="str">
        <f>IFNA(VLOOKUP(pts_traje!$D501,FIX!$A$2:$D1000,4,FALSE),"")</f>
        <v/>
      </c>
      <c r="E501" s="10"/>
      <c r="F501" s="10"/>
      <c r="G501" s="10"/>
      <c r="H501" s="10"/>
      <c r="I501" s="10" t="str">
        <f>IF(pts_traje!$I501&lt;&gt;0,(ROUND(pts_traje!$I501+(pts_traje!$I501*0.02*pts_traje!$H501/1000),0)),"")</f>
        <v/>
      </c>
      <c r="J501" s="10"/>
    </row>
    <row r="502">
      <c r="A502" s="1" t="str">
        <f>IFNA(right(VLOOKUP(pts_traje!$A502,trj!$B$2:$D1000,3,FALSE),4),"")</f>
        <v/>
      </c>
      <c r="B502" s="10"/>
      <c r="C502" s="10"/>
      <c r="D502" s="1" t="str">
        <f>IFNA(VLOOKUP(pts_traje!$D502,FIX!$A$2:$D1000,4,FALSE),"")</f>
        <v/>
      </c>
      <c r="E502" s="10"/>
      <c r="F502" s="10"/>
      <c r="G502" s="10"/>
      <c r="H502" s="10"/>
      <c r="I502" s="10" t="str">
        <f>IF(pts_traje!$I502&lt;&gt;0,(ROUND(pts_traje!$I502+(pts_traje!$I502*0.02*pts_traje!$H502/1000),0)),"")</f>
        <v/>
      </c>
      <c r="J502" s="10"/>
    </row>
    <row r="503">
      <c r="A503" s="1" t="str">
        <f>IFNA(right(VLOOKUP(pts_traje!$A503,trj!$B$2:$D1000,3,FALSE),4),"")</f>
        <v/>
      </c>
      <c r="B503" s="10"/>
      <c r="C503" s="10"/>
      <c r="D503" s="1" t="str">
        <f>IFNA(VLOOKUP(pts_traje!$D503,FIX!$A$2:$D1000,4,FALSE),"")</f>
        <v/>
      </c>
      <c r="E503" s="10"/>
      <c r="F503" s="10"/>
      <c r="G503" s="10"/>
      <c r="H503" s="10"/>
      <c r="I503" s="10" t="str">
        <f>IF(pts_traje!$I503&lt;&gt;0,(ROUND(pts_traje!$I503+(pts_traje!$I503*0.02*pts_traje!$H503/1000),0)),"")</f>
        <v/>
      </c>
      <c r="J503" s="10"/>
    </row>
    <row r="504">
      <c r="A504" s="1" t="str">
        <f>IFNA(right(VLOOKUP(pts_traje!$A504,trj!$B$2:$D1000,3,FALSE),4),"")</f>
        <v/>
      </c>
      <c r="B504" s="10"/>
      <c r="C504" s="10"/>
      <c r="D504" s="1" t="str">
        <f>IFNA(VLOOKUP(pts_traje!$D504,FIX!$A$2:$D1000,4,FALSE),"")</f>
        <v/>
      </c>
      <c r="E504" s="10"/>
      <c r="F504" s="10"/>
      <c r="G504" s="10"/>
      <c r="H504" s="10"/>
      <c r="I504" s="10" t="str">
        <f>IF(pts_traje!$I504&lt;&gt;0,(ROUND(pts_traje!$I504+(pts_traje!$I504*0.02*pts_traje!$H504/1000),0)),"")</f>
        <v/>
      </c>
      <c r="J504" s="10"/>
    </row>
    <row r="505">
      <c r="A505" s="1" t="str">
        <f>IFNA(right(VLOOKUP(pts_traje!$A505,trj!$B$2:$D1000,3,FALSE),4),"")</f>
        <v/>
      </c>
      <c r="B505" s="10"/>
      <c r="C505" s="10"/>
      <c r="D505" s="1" t="str">
        <f>IFNA(VLOOKUP(pts_traje!$D505,FIX!$A$2:$D1000,4,FALSE),"")</f>
        <v/>
      </c>
      <c r="E505" s="10"/>
      <c r="F505" s="10"/>
      <c r="G505" s="10"/>
      <c r="H505" s="10"/>
      <c r="I505" s="10" t="str">
        <f>IF(pts_traje!$I505&lt;&gt;0,(ROUND(pts_traje!$I505+(pts_traje!$I505*0.02*pts_traje!$H505/1000),0)),"")</f>
        <v/>
      </c>
      <c r="J505" s="10"/>
    </row>
    <row r="506">
      <c r="A506" s="1" t="str">
        <f>IFNA(right(VLOOKUP(pts_traje!$A506,trj!$B$2:$D1000,3,FALSE),4),"")</f>
        <v/>
      </c>
      <c r="B506" s="10"/>
      <c r="C506" s="10"/>
      <c r="D506" s="1" t="str">
        <f>IFNA(VLOOKUP(pts_traje!$D506,FIX!$A$2:$D1000,4,FALSE),"")</f>
        <v/>
      </c>
      <c r="E506" s="10"/>
      <c r="F506" s="10"/>
      <c r="G506" s="10"/>
      <c r="H506" s="10"/>
      <c r="I506" s="10" t="str">
        <f>IF(pts_traje!$I506&lt;&gt;0,(ROUND(pts_traje!$I506+(pts_traje!$I506*0.02*pts_traje!$H506/1000),0)),"")</f>
        <v/>
      </c>
      <c r="J506" s="10"/>
    </row>
    <row r="507">
      <c r="A507" s="1" t="str">
        <f>IFNA(right(VLOOKUP(pts_traje!$A507,trj!$B$2:$D1000,3,FALSE),4),"")</f>
        <v/>
      </c>
      <c r="B507" s="10"/>
      <c r="C507" s="10"/>
      <c r="D507" s="1" t="str">
        <f>IFNA(VLOOKUP(pts_traje!$D507,FIX!$A$2:$D1000,4,FALSE),"")</f>
        <v/>
      </c>
      <c r="E507" s="10"/>
      <c r="F507" s="10"/>
      <c r="G507" s="10"/>
      <c r="H507" s="10"/>
      <c r="I507" s="10" t="str">
        <f>IF(pts_traje!$I507&lt;&gt;0,(ROUND(pts_traje!$I507+(pts_traje!$I507*0.02*pts_traje!$H507/1000),0)),"")</f>
        <v/>
      </c>
      <c r="J507" s="10"/>
    </row>
    <row r="508">
      <c r="A508" s="1" t="str">
        <f>IFNA(right(VLOOKUP(pts_traje!$A508,trj!$B$2:$D1000,3,FALSE),4),"")</f>
        <v/>
      </c>
      <c r="B508" s="10"/>
      <c r="C508" s="10"/>
      <c r="D508" s="1" t="str">
        <f>IFNA(VLOOKUP(pts_traje!$D508,FIX!$A$2:$D1000,4,FALSE),"")</f>
        <v/>
      </c>
      <c r="E508" s="10"/>
      <c r="F508" s="10"/>
      <c r="G508" s="10"/>
      <c r="H508" s="10"/>
      <c r="I508" s="10" t="str">
        <f>IF(pts_traje!$I508&lt;&gt;0,(ROUND(pts_traje!$I508+(pts_traje!$I508*0.02*pts_traje!$H508/1000),0)),"")</f>
        <v/>
      </c>
      <c r="J508" s="10"/>
    </row>
    <row r="509">
      <c r="A509" s="1" t="str">
        <f>IFNA(right(VLOOKUP(pts_traje!$A509,trj!$B$2:$D1000,3,FALSE),4),"")</f>
        <v/>
      </c>
      <c r="B509" s="10"/>
      <c r="C509" s="10"/>
      <c r="D509" s="1" t="str">
        <f>IFNA(VLOOKUP(pts_traje!$D509,FIX!$A$2:$D1000,4,FALSE),"")</f>
        <v/>
      </c>
      <c r="E509" s="10"/>
      <c r="F509" s="10"/>
      <c r="G509" s="10"/>
      <c r="H509" s="10"/>
      <c r="I509" s="10" t="str">
        <f>IF(pts_traje!$I509&lt;&gt;0,(ROUND(pts_traje!$I509+(pts_traje!$I509*0.02*pts_traje!$H509/1000),0)),"")</f>
        <v/>
      </c>
      <c r="J509" s="10"/>
    </row>
    <row r="510">
      <c r="A510" s="1" t="str">
        <f>IFNA(right(VLOOKUP(pts_traje!$A510,trj!$B$2:$D1000,3,FALSE),4),"")</f>
        <v/>
      </c>
      <c r="B510" s="10"/>
      <c r="C510" s="10"/>
      <c r="D510" s="1" t="str">
        <f>IFNA(VLOOKUP(pts_traje!$D510,FIX!$A$2:$D1000,4,FALSE),"")</f>
        <v/>
      </c>
      <c r="E510" s="10"/>
      <c r="F510" s="10"/>
      <c r="G510" s="10"/>
      <c r="H510" s="10"/>
      <c r="I510" s="10" t="str">
        <f>IF(pts_traje!$I510&lt;&gt;0,(ROUND(pts_traje!$I510+(pts_traje!$I510*0.02*pts_traje!$H510/1000),0)),"")</f>
        <v/>
      </c>
      <c r="J510" s="10"/>
    </row>
    <row r="511">
      <c r="A511" s="1" t="str">
        <f>IFNA(right(VLOOKUP(pts_traje!$A511,trj!$B$2:$D1000,3,FALSE),4),"")</f>
        <v/>
      </c>
      <c r="B511" s="10"/>
      <c r="C511" s="10"/>
      <c r="D511" s="1" t="str">
        <f>IFNA(VLOOKUP(pts_traje!$D511,FIX!$A$2:$D1000,4,FALSE),"")</f>
        <v/>
      </c>
      <c r="E511" s="10"/>
      <c r="F511" s="10"/>
      <c r="G511" s="10"/>
      <c r="H511" s="10"/>
      <c r="I511" s="10" t="str">
        <f>IF(pts_traje!$I511&lt;&gt;0,(ROUND(pts_traje!$I511+(pts_traje!$I511*0.02*pts_traje!$H511/1000),0)),"")</f>
        <v/>
      </c>
      <c r="J511" s="10"/>
    </row>
    <row r="512">
      <c r="A512" s="1" t="str">
        <f>IFNA(right(VLOOKUP(pts_traje!$A512,trj!$B$2:$D1000,3,FALSE),4),"")</f>
        <v/>
      </c>
      <c r="B512" s="10"/>
      <c r="C512" s="10"/>
      <c r="D512" s="1" t="str">
        <f>IFNA(VLOOKUP(pts_traje!$D512,FIX!$A$2:$D1000,4,FALSE),"")</f>
        <v/>
      </c>
      <c r="E512" s="10"/>
      <c r="F512" s="10"/>
      <c r="G512" s="10"/>
      <c r="H512" s="10"/>
      <c r="I512" s="10" t="str">
        <f>IF(pts_traje!$I512&lt;&gt;0,(ROUND(pts_traje!$I512+(pts_traje!$I512*0.02*pts_traje!$H512/1000),0)),"")</f>
        <v/>
      </c>
      <c r="J512" s="10"/>
    </row>
    <row r="513">
      <c r="A513" s="1" t="str">
        <f>IFNA(right(VLOOKUP(pts_traje!$A513,trj!$B$2:$D1000,3,FALSE),4),"")</f>
        <v/>
      </c>
      <c r="B513" s="10"/>
      <c r="C513" s="10"/>
      <c r="D513" s="1" t="str">
        <f>IFNA(VLOOKUP(pts_traje!$D513,FIX!$A$2:$D1000,4,FALSE),"")</f>
        <v/>
      </c>
      <c r="E513" s="10"/>
      <c r="F513" s="10"/>
      <c r="G513" s="10"/>
      <c r="H513" s="10"/>
      <c r="I513" s="10" t="str">
        <f>IF(pts_traje!$I513&lt;&gt;0,(ROUND(pts_traje!$I513+(pts_traje!$I513*0.02*pts_traje!$H513/1000),0)),"")</f>
        <v/>
      </c>
      <c r="J513" s="10"/>
    </row>
    <row r="514">
      <c r="A514" s="1" t="str">
        <f>IFNA(right(VLOOKUP(pts_traje!$A514,trj!$B$2:$D1000,3,FALSE),4),"")</f>
        <v/>
      </c>
      <c r="B514" s="10"/>
      <c r="C514" s="10"/>
      <c r="D514" s="1" t="str">
        <f>IFNA(VLOOKUP(pts_traje!$D514,FIX!$A$2:$D1000,4,FALSE),"")</f>
        <v/>
      </c>
      <c r="E514" s="10"/>
      <c r="F514" s="10"/>
      <c r="G514" s="10"/>
      <c r="H514" s="10"/>
      <c r="I514" s="10" t="str">
        <f>IF(pts_traje!$I514&lt;&gt;0,(ROUND(pts_traje!$I514+(pts_traje!$I514*0.02*pts_traje!$H514/1000),0)),"")</f>
        <v/>
      </c>
      <c r="J514" s="10"/>
    </row>
    <row r="515">
      <c r="A515" s="1" t="str">
        <f>IFNA(right(VLOOKUP(pts_traje!$A515,trj!$B$2:$D1000,3,FALSE),4),"")</f>
        <v/>
      </c>
      <c r="B515" s="10"/>
      <c r="C515" s="10"/>
      <c r="D515" s="1" t="str">
        <f>IFNA(VLOOKUP(pts_traje!$D515,FIX!$A$2:$D1000,4,FALSE),"")</f>
        <v/>
      </c>
      <c r="E515" s="10"/>
      <c r="F515" s="10"/>
      <c r="G515" s="10"/>
      <c r="H515" s="10"/>
      <c r="I515" s="10" t="str">
        <f>IF(pts_traje!$I515&lt;&gt;0,(ROUND(pts_traje!$I515+(pts_traje!$I515*0.02*pts_traje!$H515/1000),0)),"")</f>
        <v/>
      </c>
      <c r="J515" s="10"/>
    </row>
    <row r="516">
      <c r="A516" s="1" t="str">
        <f>IFNA(right(VLOOKUP(pts_traje!$A516,trj!$B$2:$D1000,3,FALSE),4),"")</f>
        <v/>
      </c>
      <c r="B516" s="10"/>
      <c r="C516" s="10"/>
      <c r="D516" s="1" t="str">
        <f>IFNA(VLOOKUP(pts_traje!$D516,FIX!$A$2:$D1000,4,FALSE),"")</f>
        <v/>
      </c>
      <c r="E516" s="10"/>
      <c r="F516" s="10"/>
      <c r="G516" s="10"/>
      <c r="H516" s="10"/>
      <c r="I516" s="10" t="str">
        <f>IF(pts_traje!$I516&lt;&gt;0,(ROUND(pts_traje!$I516+(pts_traje!$I516*0.02*pts_traje!$H516/1000),0)),"")</f>
        <v/>
      </c>
      <c r="J516" s="10"/>
    </row>
    <row r="517">
      <c r="A517" s="1" t="str">
        <f>IFNA(right(VLOOKUP(pts_traje!$A517,trj!$B$2:$D1000,3,FALSE),4),"")</f>
        <v/>
      </c>
      <c r="B517" s="10"/>
      <c r="C517" s="10"/>
      <c r="D517" s="1" t="str">
        <f>IFNA(VLOOKUP(pts_traje!$D517,FIX!$A$2:$D1000,4,FALSE),"")</f>
        <v/>
      </c>
      <c r="E517" s="10"/>
      <c r="F517" s="10"/>
      <c r="G517" s="10"/>
      <c r="H517" s="10"/>
      <c r="I517" s="10" t="str">
        <f>IF(pts_traje!$I517&lt;&gt;0,(ROUND(pts_traje!$I517+(pts_traje!$I517*0.02*pts_traje!$H517/1000),0)),"")</f>
        <v/>
      </c>
      <c r="J517" s="10"/>
    </row>
    <row r="518">
      <c r="A518" s="1" t="str">
        <f>IFNA(right(VLOOKUP(pts_traje!$A518,trj!$B$2:$D1000,3,FALSE),4),"")</f>
        <v/>
      </c>
      <c r="B518" s="10"/>
      <c r="C518" s="10"/>
      <c r="D518" s="1" t="str">
        <f>IFNA(VLOOKUP(pts_traje!$D518,FIX!$A$2:$D1000,4,FALSE),"")</f>
        <v/>
      </c>
      <c r="E518" s="10"/>
      <c r="F518" s="10"/>
      <c r="G518" s="10"/>
      <c r="H518" s="10"/>
      <c r="I518" s="10" t="str">
        <f>IF(pts_traje!$I518&lt;&gt;0,(ROUND(pts_traje!$I518+(pts_traje!$I518*0.02*pts_traje!$H518/1000),0)),"")</f>
        <v/>
      </c>
      <c r="J518" s="10"/>
    </row>
    <row r="519">
      <c r="A519" s="1" t="str">
        <f>IFNA(right(VLOOKUP(pts_traje!$A519,trj!$B$2:$D1000,3,FALSE),4),"")</f>
        <v/>
      </c>
      <c r="B519" s="10"/>
      <c r="C519" s="10"/>
      <c r="D519" s="1" t="str">
        <f>IFNA(VLOOKUP(pts_traje!$D519,FIX!$A$2:$D1000,4,FALSE),"")</f>
        <v/>
      </c>
      <c r="E519" s="10"/>
      <c r="F519" s="10"/>
      <c r="G519" s="10"/>
      <c r="H519" s="10"/>
      <c r="I519" s="10" t="str">
        <f>IF(pts_traje!$I519&lt;&gt;0,(ROUND(pts_traje!$I519+(pts_traje!$I519*0.02*pts_traje!$H519/1000),0)),"")</f>
        <v/>
      </c>
      <c r="J519" s="10"/>
    </row>
    <row r="520">
      <c r="A520" s="1" t="str">
        <f>IFNA(right(VLOOKUP(pts_traje!$A520,trj!$B$2:$D1000,3,FALSE),4),"")</f>
        <v/>
      </c>
      <c r="B520" s="10"/>
      <c r="C520" s="10"/>
      <c r="D520" s="1" t="str">
        <f>IFNA(VLOOKUP(pts_traje!$D520,FIX!$A$2:$D1000,4,FALSE),"")</f>
        <v/>
      </c>
      <c r="E520" s="10"/>
      <c r="F520" s="10"/>
      <c r="G520" s="10"/>
      <c r="H520" s="10"/>
      <c r="I520" s="10" t="str">
        <f>IF(pts_traje!$I520&lt;&gt;0,(ROUND(pts_traje!$I520+(pts_traje!$I520*0.02*pts_traje!$H520/1000),0)),"")</f>
        <v/>
      </c>
      <c r="J520" s="10"/>
    </row>
    <row r="521">
      <c r="A521" s="1" t="str">
        <f>IFNA(right(VLOOKUP(pts_traje!$A521,trj!$B$2:$D1000,3,FALSE),4),"")</f>
        <v/>
      </c>
      <c r="B521" s="10"/>
      <c r="C521" s="10"/>
      <c r="D521" s="1" t="str">
        <f>IFNA(VLOOKUP(pts_traje!$D521,FIX!$A$2:$D1000,4,FALSE),"")</f>
        <v/>
      </c>
      <c r="E521" s="10"/>
      <c r="F521" s="10"/>
      <c r="G521" s="10"/>
      <c r="H521" s="10"/>
      <c r="I521" s="10" t="str">
        <f>IF(pts_traje!$I521&lt;&gt;0,(ROUND(pts_traje!$I521+(pts_traje!$I521*0.02*pts_traje!$H521/1000),0)),"")</f>
        <v/>
      </c>
      <c r="J521" s="10"/>
    </row>
    <row r="522">
      <c r="A522" s="1" t="str">
        <f>IFNA(right(VLOOKUP(pts_traje!$A522,trj!$B$2:$D1000,3,FALSE),4),"")</f>
        <v/>
      </c>
      <c r="B522" s="10"/>
      <c r="C522" s="10"/>
      <c r="D522" s="1" t="str">
        <f>IFNA(VLOOKUP(pts_traje!$D522,FIX!$A$2:$D1000,4,FALSE),"")</f>
        <v/>
      </c>
      <c r="E522" s="10"/>
      <c r="F522" s="10"/>
      <c r="G522" s="10"/>
      <c r="H522" s="10"/>
      <c r="I522" s="10" t="str">
        <f>IF(pts_traje!$I522&lt;&gt;0,(ROUND(pts_traje!$I522+(pts_traje!$I522*0.02*pts_traje!$H522/1000),0)),"")</f>
        <v/>
      </c>
      <c r="J522" s="10"/>
    </row>
    <row r="523">
      <c r="A523" s="1" t="str">
        <f>IFNA(right(VLOOKUP(pts_traje!$A523,trj!$B$2:$D1000,3,FALSE),4),"")</f>
        <v/>
      </c>
      <c r="B523" s="10"/>
      <c r="C523" s="10"/>
      <c r="D523" s="1" t="str">
        <f>IFNA(VLOOKUP(pts_traje!$D523,FIX!$A$2:$D1000,4,FALSE),"")</f>
        <v/>
      </c>
      <c r="E523" s="10"/>
      <c r="F523" s="10"/>
      <c r="G523" s="10"/>
      <c r="H523" s="10"/>
      <c r="I523" s="10" t="str">
        <f>IF(pts_traje!$I523&lt;&gt;0,(ROUND(pts_traje!$I523+(pts_traje!$I523*0.02*pts_traje!$H523/1000),0)),"")</f>
        <v/>
      </c>
      <c r="J523" s="10"/>
    </row>
    <row r="524">
      <c r="A524" s="1" t="str">
        <f>IFNA(right(VLOOKUP(pts_traje!$A524,trj!$B$2:$D1000,3,FALSE),4),"")</f>
        <v/>
      </c>
      <c r="B524" s="10"/>
      <c r="C524" s="10"/>
      <c r="D524" s="1" t="str">
        <f>IFNA(VLOOKUP(pts_traje!$D524,FIX!$A$2:$D1000,4,FALSE),"")</f>
        <v/>
      </c>
      <c r="E524" s="10"/>
      <c r="F524" s="10"/>
      <c r="G524" s="10"/>
      <c r="H524" s="10"/>
      <c r="I524" s="10" t="str">
        <f>IF(pts_traje!$I524&lt;&gt;0,(ROUND(pts_traje!$I524+(pts_traje!$I524*0.02*pts_traje!$H524/1000),0)),"")</f>
        <v/>
      </c>
      <c r="J524" s="10"/>
    </row>
    <row r="525">
      <c r="A525" s="1" t="str">
        <f>IFNA(right(VLOOKUP(pts_traje!$A525,trj!$B$2:$D1000,3,FALSE),4),"")</f>
        <v/>
      </c>
      <c r="B525" s="10"/>
      <c r="C525" s="10"/>
      <c r="D525" s="1" t="str">
        <f>IFNA(VLOOKUP(pts_traje!$D525,FIX!$A$2:$D1000,4,FALSE),"")</f>
        <v/>
      </c>
      <c r="E525" s="10"/>
      <c r="F525" s="10"/>
      <c r="G525" s="10"/>
      <c r="H525" s="10"/>
      <c r="I525" s="10" t="str">
        <f>IF(pts_traje!$I525&lt;&gt;0,(ROUND(pts_traje!$I525+(pts_traje!$I525*0.02*pts_traje!$H525/1000),0)),"")</f>
        <v/>
      </c>
      <c r="J525" s="10"/>
    </row>
    <row r="526">
      <c r="A526" s="1" t="str">
        <f>IFNA(right(VLOOKUP(pts_traje!$A526,trj!$B$2:$D1000,3,FALSE),4),"")</f>
        <v/>
      </c>
      <c r="B526" s="10"/>
      <c r="C526" s="10"/>
      <c r="D526" s="1" t="str">
        <f>IFNA(VLOOKUP(pts_traje!$D526,FIX!$A$2:$D1000,4,FALSE),"")</f>
        <v/>
      </c>
      <c r="E526" s="10"/>
      <c r="F526" s="10"/>
      <c r="G526" s="10"/>
      <c r="H526" s="10"/>
      <c r="I526" s="10" t="str">
        <f>IF(pts_traje!$I526&lt;&gt;0,(ROUND(pts_traje!$I526+(pts_traje!$I526*0.02*pts_traje!$H526/1000),0)),"")</f>
        <v/>
      </c>
      <c r="J526" s="10"/>
    </row>
    <row r="527">
      <c r="A527" s="1" t="str">
        <f>IFNA(right(VLOOKUP(pts_traje!$A527,trj!$B$2:$D1000,3,FALSE),4),"")</f>
        <v/>
      </c>
      <c r="B527" s="10"/>
      <c r="C527" s="10"/>
      <c r="D527" s="1" t="str">
        <f>IFNA(VLOOKUP(pts_traje!$D527,FIX!$A$2:$D1000,4,FALSE),"")</f>
        <v/>
      </c>
      <c r="E527" s="10"/>
      <c r="F527" s="10"/>
      <c r="G527" s="10"/>
      <c r="H527" s="10"/>
      <c r="I527" s="10" t="str">
        <f>IF(pts_traje!$I527&lt;&gt;0,(ROUND(pts_traje!$I527+(pts_traje!$I527*0.02*pts_traje!$H527/1000),0)),"")</f>
        <v/>
      </c>
      <c r="J527" s="10"/>
    </row>
    <row r="528">
      <c r="A528" s="1" t="str">
        <f>IFNA(right(VLOOKUP(pts_traje!$A528,trj!$B$2:$D1000,3,FALSE),4),"")</f>
        <v/>
      </c>
      <c r="B528" s="10"/>
      <c r="C528" s="10"/>
      <c r="D528" s="1" t="str">
        <f>IFNA(VLOOKUP(pts_traje!$D528,FIX!$A$2:$D1000,4,FALSE),"")</f>
        <v/>
      </c>
      <c r="E528" s="10"/>
      <c r="F528" s="10"/>
      <c r="G528" s="10"/>
      <c r="H528" s="10"/>
      <c r="I528" s="10" t="str">
        <f>IF(pts_traje!$I528&lt;&gt;0,(ROUND(pts_traje!$I528+(pts_traje!$I528*0.02*pts_traje!$H528/1000),0)),"")</f>
        <v/>
      </c>
      <c r="J528" s="10"/>
    </row>
    <row r="529">
      <c r="A529" s="1" t="str">
        <f>IFNA(right(VLOOKUP(pts_traje!$A529,trj!$B$2:$D1000,3,FALSE),4),"")</f>
        <v/>
      </c>
      <c r="B529" s="10"/>
      <c r="C529" s="10"/>
      <c r="D529" s="1" t="str">
        <f>IFNA(VLOOKUP(pts_traje!$D529,FIX!$A$2:$D1000,4,FALSE),"")</f>
        <v/>
      </c>
      <c r="E529" s="10"/>
      <c r="F529" s="10"/>
      <c r="G529" s="10"/>
      <c r="H529" s="10"/>
      <c r="I529" s="10" t="str">
        <f>IF(pts_traje!$I529&lt;&gt;0,(ROUND(pts_traje!$I529+(pts_traje!$I529*0.02*pts_traje!$H529/1000),0)),"")</f>
        <v/>
      </c>
      <c r="J529" s="10"/>
    </row>
    <row r="530">
      <c r="A530" s="1" t="str">
        <f>IFNA(right(VLOOKUP(pts_traje!$A530,trj!$B$2:$D1000,3,FALSE),4),"")</f>
        <v/>
      </c>
      <c r="B530" s="10"/>
      <c r="C530" s="10"/>
      <c r="D530" s="1" t="str">
        <f>IFNA(VLOOKUP(pts_traje!$D530,FIX!$A$2:$D1000,4,FALSE),"")</f>
        <v/>
      </c>
      <c r="E530" s="10"/>
      <c r="F530" s="10"/>
      <c r="G530" s="10"/>
      <c r="H530" s="10"/>
      <c r="I530" s="10" t="str">
        <f>IF(pts_traje!$I530&lt;&gt;0,(ROUND(pts_traje!$I530+(pts_traje!$I530*0.02*pts_traje!$H530/1000),0)),"")</f>
        <v/>
      </c>
      <c r="J530" s="10"/>
    </row>
    <row r="531">
      <c r="A531" s="1" t="str">
        <f>IFNA(right(VLOOKUP(pts_traje!$A531,trj!$B$2:$D1000,3,FALSE),4),"")</f>
        <v/>
      </c>
      <c r="B531" s="10"/>
      <c r="C531" s="10"/>
      <c r="D531" s="1" t="str">
        <f>IFNA(VLOOKUP(pts_traje!$D531,FIX!$A$2:$D1000,4,FALSE),"")</f>
        <v/>
      </c>
      <c r="E531" s="10"/>
      <c r="F531" s="10"/>
      <c r="G531" s="10"/>
      <c r="H531" s="10"/>
      <c r="I531" s="10" t="str">
        <f>IF(pts_traje!$I531&lt;&gt;0,(ROUND(pts_traje!$I531+(pts_traje!$I531*0.02*pts_traje!$H531/1000),0)),"")</f>
        <v/>
      </c>
      <c r="J531" s="10"/>
    </row>
    <row r="532">
      <c r="A532" s="1" t="str">
        <f>IFNA(right(VLOOKUP(pts_traje!$A532,trj!$B$2:$D1000,3,FALSE),4),"")</f>
        <v/>
      </c>
      <c r="B532" s="10"/>
      <c r="C532" s="10"/>
      <c r="D532" s="1" t="str">
        <f>IFNA(VLOOKUP(pts_traje!$D532,FIX!$A$2:$D1000,4,FALSE),"")</f>
        <v/>
      </c>
      <c r="E532" s="10"/>
      <c r="F532" s="10"/>
      <c r="G532" s="10"/>
      <c r="H532" s="10"/>
      <c r="I532" s="10" t="str">
        <f>IF(pts_traje!$I532&lt;&gt;0,(ROUND(pts_traje!$I532+(pts_traje!$I532*0.02*pts_traje!$H532/1000),0)),"")</f>
        <v/>
      </c>
      <c r="J532" s="10"/>
    </row>
    <row r="533">
      <c r="A533" s="1" t="str">
        <f>IFNA(right(VLOOKUP(pts_traje!$A533,trj!$B$2:$D1000,3,FALSE),4),"")</f>
        <v/>
      </c>
      <c r="B533" s="10"/>
      <c r="C533" s="10"/>
      <c r="D533" s="1" t="str">
        <f>IFNA(VLOOKUP(pts_traje!$D533,FIX!$A$2:$D1000,4,FALSE),"")</f>
        <v/>
      </c>
      <c r="E533" s="10"/>
      <c r="F533" s="10"/>
      <c r="G533" s="10"/>
      <c r="H533" s="10"/>
      <c r="I533" s="10" t="str">
        <f>IF(pts_traje!$I533&lt;&gt;0,(ROUND(pts_traje!$I533+(pts_traje!$I533*0.02*pts_traje!$H533/1000),0)),"")</f>
        <v/>
      </c>
      <c r="J533" s="10"/>
    </row>
    <row r="534">
      <c r="A534" s="1" t="str">
        <f>IFNA(right(VLOOKUP(pts_traje!$A534,trj!$B$2:$D1000,3,FALSE),4),"")</f>
        <v/>
      </c>
      <c r="B534" s="10"/>
      <c r="C534" s="10"/>
      <c r="D534" s="1" t="str">
        <f>IFNA(VLOOKUP(pts_traje!$D534,FIX!$A$2:$D1000,4,FALSE),"")</f>
        <v/>
      </c>
      <c r="E534" s="10"/>
      <c r="F534" s="10"/>
      <c r="G534" s="10"/>
      <c r="H534" s="10"/>
      <c r="I534" s="10" t="str">
        <f>IF(pts_traje!$I534&lt;&gt;0,(ROUND(pts_traje!$I534+(pts_traje!$I534*0.02*pts_traje!$H534/1000),0)),"")</f>
        <v/>
      </c>
      <c r="J534" s="10"/>
    </row>
    <row r="535">
      <c r="A535" s="1" t="str">
        <f>IFNA(right(VLOOKUP(pts_traje!$A535,trj!$B$2:$D1000,3,FALSE),4),"")</f>
        <v/>
      </c>
      <c r="B535" s="10"/>
      <c r="C535" s="10"/>
      <c r="D535" s="1" t="str">
        <f>IFNA(VLOOKUP(pts_traje!$D535,FIX!$A$2:$D1000,4,FALSE),"")</f>
        <v/>
      </c>
      <c r="E535" s="10"/>
      <c r="F535" s="10"/>
      <c r="G535" s="10"/>
      <c r="H535" s="10"/>
      <c r="I535" s="10" t="str">
        <f>IF(pts_traje!$I535&lt;&gt;0,(ROUND(pts_traje!$I535+(pts_traje!$I535*0.02*pts_traje!$H535/1000),0)),"")</f>
        <v/>
      </c>
      <c r="J535" s="10"/>
    </row>
    <row r="536">
      <c r="A536" s="1" t="str">
        <f>IFNA(right(VLOOKUP(pts_traje!$A536,trj!$B$2:$D1000,3,FALSE),4),"")</f>
        <v/>
      </c>
      <c r="B536" s="10"/>
      <c r="C536" s="10"/>
      <c r="D536" s="1" t="str">
        <f>IFNA(VLOOKUP(pts_traje!$D536,FIX!$A$2:$D1000,4,FALSE),"")</f>
        <v/>
      </c>
      <c r="E536" s="10"/>
      <c r="F536" s="10"/>
      <c r="G536" s="10"/>
      <c r="H536" s="10"/>
      <c r="I536" s="10" t="str">
        <f>IF(pts_traje!$I536&lt;&gt;0,(ROUND(pts_traje!$I536+(pts_traje!$I536*0.02*pts_traje!$H536/1000),0)),"")</f>
        <v/>
      </c>
      <c r="J536" s="10"/>
    </row>
    <row r="537">
      <c r="A537" s="1" t="str">
        <f>IFNA(right(VLOOKUP(pts_traje!$A537,trj!$B$2:$D1000,3,FALSE),4),"")</f>
        <v/>
      </c>
      <c r="B537" s="10"/>
      <c r="C537" s="10"/>
      <c r="D537" s="1" t="str">
        <f>IFNA(VLOOKUP(pts_traje!$D537,FIX!$A$2:$D1000,4,FALSE),"")</f>
        <v/>
      </c>
      <c r="E537" s="10"/>
      <c r="F537" s="10"/>
      <c r="G537" s="10"/>
      <c r="H537" s="10"/>
      <c r="I537" s="10" t="str">
        <f>IF(pts_traje!$I537&lt;&gt;0,(ROUND(pts_traje!$I537+(pts_traje!$I537*0.02*pts_traje!$H537/1000),0)),"")</f>
        <v/>
      </c>
      <c r="J537" s="10"/>
    </row>
    <row r="538">
      <c r="A538" s="1" t="str">
        <f>IFNA(right(VLOOKUP(pts_traje!$A538,trj!$B$2:$D1000,3,FALSE),4),"")</f>
        <v/>
      </c>
      <c r="B538" s="10"/>
      <c r="C538" s="10"/>
      <c r="D538" s="1" t="str">
        <f>IFNA(VLOOKUP(pts_traje!$D538,FIX!$A$2:$D1000,4,FALSE),"")</f>
        <v/>
      </c>
      <c r="E538" s="10"/>
      <c r="F538" s="10"/>
      <c r="G538" s="10"/>
      <c r="H538" s="10"/>
      <c r="I538" s="10" t="str">
        <f>IF(pts_traje!$I538&lt;&gt;0,(ROUND(pts_traje!$I538+(pts_traje!$I538*0.02*pts_traje!$H538/1000),0)),"")</f>
        <v/>
      </c>
      <c r="J538" s="10"/>
    </row>
    <row r="539">
      <c r="A539" s="1" t="str">
        <f>IFNA(right(VLOOKUP(pts_traje!$A539,trj!$B$2:$D1000,3,FALSE),4),"")</f>
        <v/>
      </c>
      <c r="B539" s="10"/>
      <c r="C539" s="10"/>
      <c r="D539" s="1" t="str">
        <f>IFNA(VLOOKUP(pts_traje!$D539,FIX!$A$2:$D1000,4,FALSE),"")</f>
        <v/>
      </c>
      <c r="E539" s="10"/>
      <c r="F539" s="10"/>
      <c r="G539" s="10"/>
      <c r="H539" s="10"/>
      <c r="I539" s="10" t="str">
        <f>IF(pts_traje!$I539&lt;&gt;0,(ROUND(pts_traje!$I539+(pts_traje!$I539*0.02*pts_traje!$H539/1000),0)),"")</f>
        <v/>
      </c>
      <c r="J539" s="10"/>
    </row>
    <row r="540">
      <c r="A540" s="1" t="str">
        <f>IFNA(right(VLOOKUP(pts_traje!$A540,trj!$B$2:$D1000,3,FALSE),4),"")</f>
        <v/>
      </c>
      <c r="B540" s="10"/>
      <c r="C540" s="10"/>
      <c r="D540" s="1" t="str">
        <f>IFNA(VLOOKUP(pts_traje!$D540,FIX!$A$2:$D1000,4,FALSE),"")</f>
        <v/>
      </c>
      <c r="E540" s="10"/>
      <c r="F540" s="10"/>
      <c r="G540" s="10"/>
      <c r="H540" s="10"/>
      <c r="I540" s="10" t="str">
        <f>IF(pts_traje!$I540&lt;&gt;0,(ROUND(pts_traje!$I540+(pts_traje!$I540*0.02*pts_traje!$H540/1000),0)),"")</f>
        <v/>
      </c>
      <c r="J540" s="10"/>
    </row>
    <row r="541">
      <c r="A541" s="1" t="str">
        <f>IFNA(right(VLOOKUP(pts_traje!$A541,trj!$B$2:$D1000,3,FALSE),4),"")</f>
        <v/>
      </c>
      <c r="B541" s="10"/>
      <c r="C541" s="10"/>
      <c r="D541" s="1" t="str">
        <f>IFNA(VLOOKUP(pts_traje!$D541,FIX!$A$2:$D1000,4,FALSE),"")</f>
        <v/>
      </c>
      <c r="E541" s="10"/>
      <c r="F541" s="10"/>
      <c r="G541" s="10"/>
      <c r="H541" s="10"/>
      <c r="I541" s="10" t="str">
        <f>IF(pts_traje!$I541&lt;&gt;0,(ROUND(pts_traje!$I541+(pts_traje!$I541*0.02*pts_traje!$H541/1000),0)),"")</f>
        <v/>
      </c>
      <c r="J541" s="10"/>
    </row>
    <row r="542">
      <c r="A542" s="1" t="str">
        <f>IFNA(right(VLOOKUP(pts_traje!$A542,trj!$B$2:$D1000,3,FALSE),4),"")</f>
        <v/>
      </c>
      <c r="B542" s="10"/>
      <c r="C542" s="10"/>
      <c r="D542" s="1" t="str">
        <f>IFNA(VLOOKUP(pts_traje!$D542,FIX!$A$2:$D1000,4,FALSE),"")</f>
        <v/>
      </c>
      <c r="E542" s="10"/>
      <c r="F542" s="10"/>
      <c r="G542" s="10"/>
      <c r="H542" s="10"/>
      <c r="I542" s="10" t="str">
        <f>IF(pts_traje!$I542&lt;&gt;0,(ROUND(pts_traje!$I542+(pts_traje!$I542*0.02*pts_traje!$H542/1000),0)),"")</f>
        <v/>
      </c>
      <c r="J542" s="10"/>
    </row>
    <row r="543">
      <c r="A543" s="1" t="str">
        <f>IFNA(right(VLOOKUP(pts_traje!$A543,trj!$B$2:$D1000,3,FALSE),4),"")</f>
        <v/>
      </c>
      <c r="B543" s="10"/>
      <c r="C543" s="10"/>
      <c r="D543" s="1" t="str">
        <f>IFNA(VLOOKUP(pts_traje!$D543,FIX!$A$2:$D1000,4,FALSE),"")</f>
        <v/>
      </c>
      <c r="E543" s="10"/>
      <c r="F543" s="10"/>
      <c r="G543" s="10"/>
      <c r="H543" s="10"/>
      <c r="I543" s="10" t="str">
        <f>IF(pts_traje!$I543&lt;&gt;0,(ROUND(pts_traje!$I543+(pts_traje!$I543*0.02*pts_traje!$H543/1000),0)),"")</f>
        <v/>
      </c>
      <c r="J543" s="10"/>
    </row>
    <row r="544">
      <c r="A544" s="1" t="str">
        <f>IFNA(right(VLOOKUP(pts_traje!$A544,trj!$B$2:$D1000,3,FALSE),4),"")</f>
        <v/>
      </c>
      <c r="B544" s="10"/>
      <c r="C544" s="10"/>
      <c r="D544" s="1" t="str">
        <f>IFNA(VLOOKUP(pts_traje!$D544,FIX!$A$2:$D1000,4,FALSE),"")</f>
        <v/>
      </c>
      <c r="E544" s="10"/>
      <c r="F544" s="10"/>
      <c r="G544" s="10"/>
      <c r="H544" s="10"/>
      <c r="I544" s="10" t="str">
        <f>IF(pts_traje!$I544&lt;&gt;0,(ROUND(pts_traje!$I544+(pts_traje!$I544*0.02*pts_traje!$H544/1000),0)),"")</f>
        <v/>
      </c>
      <c r="J544" s="10"/>
    </row>
    <row r="545">
      <c r="A545" s="1" t="str">
        <f>IFNA(right(VLOOKUP(pts_traje!$A545,trj!$B$2:$D1000,3,FALSE),4),"")</f>
        <v/>
      </c>
      <c r="B545" s="10"/>
      <c r="C545" s="10"/>
      <c r="D545" s="1" t="str">
        <f>IFNA(VLOOKUP(pts_traje!$D545,FIX!$A$2:$D1000,4,FALSE),"")</f>
        <v/>
      </c>
      <c r="E545" s="10"/>
      <c r="F545" s="10"/>
      <c r="G545" s="10"/>
      <c r="H545" s="10"/>
      <c r="I545" s="10" t="str">
        <f>IF(pts_traje!$I545&lt;&gt;0,(ROUND(pts_traje!$I545+(pts_traje!$I545*0.02*pts_traje!$H545/1000),0)),"")</f>
        <v/>
      </c>
      <c r="J545" s="10"/>
    </row>
    <row r="546">
      <c r="A546" s="1" t="str">
        <f>IFNA(right(VLOOKUP(pts_traje!$A546,trj!$B$2:$D1000,3,FALSE),4),"")</f>
        <v/>
      </c>
      <c r="B546" s="10"/>
      <c r="C546" s="10"/>
      <c r="D546" s="1" t="str">
        <f>IFNA(VLOOKUP(pts_traje!$D546,FIX!$A$2:$D1000,4,FALSE),"")</f>
        <v/>
      </c>
      <c r="E546" s="10"/>
      <c r="F546" s="10"/>
      <c r="G546" s="10"/>
      <c r="H546" s="10"/>
      <c r="I546" s="10" t="str">
        <f>IF(pts_traje!$I546&lt;&gt;0,(ROUND(pts_traje!$I546+(pts_traje!$I546*0.02*pts_traje!$H546/1000),0)),"")</f>
        <v/>
      </c>
      <c r="J546" s="10"/>
    </row>
    <row r="547">
      <c r="A547" s="1" t="str">
        <f>IFNA(right(VLOOKUP(pts_traje!$A547,trj!$B$2:$D1000,3,FALSE),4),"")</f>
        <v/>
      </c>
      <c r="B547" s="10"/>
      <c r="C547" s="10"/>
      <c r="D547" s="1" t="str">
        <f>IFNA(VLOOKUP(pts_traje!$D547,FIX!$A$2:$D1000,4,FALSE),"")</f>
        <v/>
      </c>
      <c r="E547" s="10"/>
      <c r="F547" s="10"/>
      <c r="G547" s="10"/>
      <c r="H547" s="10"/>
      <c r="I547" s="10" t="str">
        <f>IF(pts_traje!$I547&lt;&gt;0,(ROUND(pts_traje!$I547+(pts_traje!$I547*0.02*pts_traje!$H547/1000),0)),"")</f>
        <v/>
      </c>
      <c r="J547" s="10"/>
    </row>
    <row r="548">
      <c r="A548" s="1" t="str">
        <f>IFNA(right(VLOOKUP(pts_traje!$A548,trj!$B$2:$D1000,3,FALSE),4),"")</f>
        <v/>
      </c>
      <c r="B548" s="10"/>
      <c r="C548" s="10"/>
      <c r="D548" s="1" t="str">
        <f>IFNA(VLOOKUP(pts_traje!$D548,FIX!$A$2:$D1000,4,FALSE),"")</f>
        <v/>
      </c>
      <c r="E548" s="10"/>
      <c r="F548" s="10"/>
      <c r="G548" s="10"/>
      <c r="H548" s="10"/>
      <c r="I548" s="10" t="str">
        <f>IF(pts_traje!$I548&lt;&gt;0,(ROUND(pts_traje!$I548+(pts_traje!$I548*0.02*pts_traje!$H548/1000),0)),"")</f>
        <v/>
      </c>
      <c r="J548" s="10"/>
    </row>
    <row r="549">
      <c r="A549" s="1" t="str">
        <f>IFNA(right(VLOOKUP(pts_traje!$A549,trj!$B$2:$D1000,3,FALSE),4),"")</f>
        <v/>
      </c>
      <c r="B549" s="10"/>
      <c r="C549" s="10"/>
      <c r="D549" s="1" t="str">
        <f>IFNA(VLOOKUP(pts_traje!$D549,FIX!$A$2:$D1000,4,FALSE),"")</f>
        <v/>
      </c>
      <c r="E549" s="10"/>
      <c r="F549" s="10"/>
      <c r="G549" s="10"/>
      <c r="H549" s="10"/>
      <c r="I549" s="10" t="str">
        <f>IF(pts_traje!$I549&lt;&gt;0,(ROUND(pts_traje!$I549+(pts_traje!$I549*0.02*pts_traje!$H549/1000),0)),"")</f>
        <v/>
      </c>
      <c r="J549" s="10"/>
    </row>
    <row r="550">
      <c r="A550" s="1" t="str">
        <f>IFNA(right(VLOOKUP(pts_traje!$A550,trj!$B$2:$D1000,3,FALSE),4),"")</f>
        <v/>
      </c>
      <c r="B550" s="10"/>
      <c r="C550" s="10"/>
      <c r="D550" s="1" t="str">
        <f>IFNA(VLOOKUP(pts_traje!$D550,FIX!$A$2:$D1000,4,FALSE),"")</f>
        <v/>
      </c>
      <c r="E550" s="10"/>
      <c r="F550" s="10"/>
      <c r="G550" s="10"/>
      <c r="H550" s="10"/>
      <c r="I550" s="10" t="str">
        <f>IF(pts_traje!$I550&lt;&gt;0,(ROUND(pts_traje!$I550+(pts_traje!$I550*0.02*pts_traje!$H550/1000),0)),"")</f>
        <v/>
      </c>
      <c r="J550" s="10"/>
    </row>
    <row r="551">
      <c r="A551" s="1" t="str">
        <f>IFNA(right(VLOOKUP(pts_traje!$A551,trj!$B$2:$D1000,3,FALSE),4),"")</f>
        <v/>
      </c>
      <c r="B551" s="10"/>
      <c r="C551" s="10"/>
      <c r="D551" s="1" t="str">
        <f>IFNA(VLOOKUP(pts_traje!$D551,FIX!$A$2:$D1000,4,FALSE),"")</f>
        <v/>
      </c>
      <c r="E551" s="10"/>
      <c r="F551" s="10"/>
      <c r="G551" s="10"/>
      <c r="H551" s="10"/>
      <c r="I551" s="10" t="str">
        <f>IF(pts_traje!$I551&lt;&gt;0,(ROUND(pts_traje!$I551+(pts_traje!$I551*0.02*pts_traje!$H551/1000),0)),"")</f>
        <v/>
      </c>
      <c r="J551" s="10"/>
    </row>
    <row r="552">
      <c r="A552" s="1" t="str">
        <f>IFNA(right(VLOOKUP(pts_traje!$A552,trj!$B$2:$D1000,3,FALSE),4),"")</f>
        <v/>
      </c>
      <c r="B552" s="10"/>
      <c r="C552" s="10"/>
      <c r="D552" s="1" t="str">
        <f>IFNA(VLOOKUP(pts_traje!$D552,FIX!$A$2:$D1000,4,FALSE),"")</f>
        <v/>
      </c>
      <c r="E552" s="10"/>
      <c r="F552" s="10"/>
      <c r="G552" s="10"/>
      <c r="H552" s="10"/>
      <c r="I552" s="10" t="str">
        <f>IF(pts_traje!$I552&lt;&gt;0,(ROUND(pts_traje!$I552+(pts_traje!$I552*0.02*pts_traje!$H552/1000),0)),"")</f>
        <v/>
      </c>
      <c r="J552" s="10"/>
    </row>
    <row r="553">
      <c r="A553" s="1" t="str">
        <f>IFNA(right(VLOOKUP(pts_traje!$A553,trj!$B$2:$D1000,3,FALSE),4),"")</f>
        <v/>
      </c>
      <c r="B553" s="10"/>
      <c r="C553" s="10"/>
      <c r="D553" s="1" t="str">
        <f>IFNA(VLOOKUP(pts_traje!$D553,FIX!$A$2:$D1000,4,FALSE),"")</f>
        <v/>
      </c>
      <c r="E553" s="10"/>
      <c r="F553" s="10"/>
      <c r="G553" s="10"/>
      <c r="H553" s="10"/>
      <c r="I553" s="10" t="str">
        <f>IF(pts_traje!$I553&lt;&gt;0,(ROUND(pts_traje!$I553+(pts_traje!$I553*0.02*pts_traje!$H553/1000),0)),"")</f>
        <v/>
      </c>
      <c r="J553" s="10"/>
    </row>
    <row r="554">
      <c r="A554" s="1" t="str">
        <f>IFNA(right(VLOOKUP(pts_traje!$A554,trj!$B$2:$D1000,3,FALSE),4),"")</f>
        <v/>
      </c>
      <c r="B554" s="10"/>
      <c r="C554" s="10"/>
      <c r="D554" s="1" t="str">
        <f>IFNA(VLOOKUP(pts_traje!$D554,FIX!$A$2:$D1000,4,FALSE),"")</f>
        <v/>
      </c>
      <c r="E554" s="10"/>
      <c r="F554" s="10"/>
      <c r="G554" s="10"/>
      <c r="H554" s="10"/>
      <c r="I554" s="10" t="str">
        <f>IF(pts_traje!$I554&lt;&gt;0,(ROUND(pts_traje!$I554+(pts_traje!$I554*0.02*pts_traje!$H554/1000),0)),"")</f>
        <v/>
      </c>
      <c r="J554" s="10"/>
    </row>
    <row r="555">
      <c r="A555" s="1" t="str">
        <f>IFNA(right(VLOOKUP(pts_traje!$A555,trj!$B$2:$D1000,3,FALSE),4),"")</f>
        <v/>
      </c>
      <c r="B555" s="10"/>
      <c r="C555" s="10"/>
      <c r="D555" s="1" t="str">
        <f>IFNA(VLOOKUP(pts_traje!$D555,FIX!$A$2:$D1000,4,FALSE),"")</f>
        <v/>
      </c>
      <c r="E555" s="10"/>
      <c r="F555" s="10"/>
      <c r="G555" s="10"/>
      <c r="H555" s="10"/>
      <c r="I555" s="10" t="str">
        <f>IF(pts_traje!$I555&lt;&gt;0,(ROUND(pts_traje!$I555+(pts_traje!$I555*0.02*pts_traje!$H555/1000),0)),"")</f>
        <v/>
      </c>
      <c r="J555" s="10"/>
    </row>
    <row r="556">
      <c r="A556" s="1" t="str">
        <f>IFNA(right(VLOOKUP(pts_traje!$A556,trj!$B$2:$D1000,3,FALSE),4),"")</f>
        <v/>
      </c>
      <c r="B556" s="10"/>
      <c r="C556" s="10"/>
      <c r="D556" s="1" t="str">
        <f>IFNA(VLOOKUP(pts_traje!$D556,FIX!$A$2:$D1000,4,FALSE),"")</f>
        <v/>
      </c>
      <c r="E556" s="10"/>
      <c r="F556" s="10"/>
      <c r="G556" s="10"/>
      <c r="H556" s="10"/>
      <c r="I556" s="10" t="str">
        <f>IF(pts_traje!$I556&lt;&gt;0,(ROUND(pts_traje!$I556+(pts_traje!$I556*0.02*pts_traje!$H556/1000),0)),"")</f>
        <v/>
      </c>
      <c r="J556" s="10"/>
    </row>
    <row r="557">
      <c r="A557" s="1" t="str">
        <f>IFNA(right(VLOOKUP(pts_traje!$A557,trj!$B$2:$D1000,3,FALSE),4),"")</f>
        <v/>
      </c>
      <c r="B557" s="10"/>
      <c r="C557" s="10"/>
      <c r="D557" s="1" t="str">
        <f>IFNA(VLOOKUP(pts_traje!$D557,FIX!$A$2:$D1000,4,FALSE),"")</f>
        <v/>
      </c>
      <c r="E557" s="10"/>
      <c r="F557" s="10"/>
      <c r="G557" s="10"/>
      <c r="H557" s="10"/>
      <c r="I557" s="10" t="str">
        <f>IF(pts_traje!$I557&lt;&gt;0,(ROUND(pts_traje!$I557+(pts_traje!$I557*0.02*pts_traje!$H557/1000),0)),"")</f>
        <v/>
      </c>
      <c r="J557" s="10"/>
    </row>
    <row r="558">
      <c r="A558" s="1" t="str">
        <f>IFNA(right(VLOOKUP(pts_traje!$A558,trj!$B$2:$D1000,3,FALSE),4),"")</f>
        <v/>
      </c>
      <c r="B558" s="10"/>
      <c r="C558" s="10"/>
      <c r="D558" s="1" t="str">
        <f>IFNA(VLOOKUP(pts_traje!$D558,FIX!$A$2:$D1000,4,FALSE),"")</f>
        <v/>
      </c>
      <c r="E558" s="10"/>
      <c r="F558" s="10"/>
      <c r="G558" s="10"/>
      <c r="H558" s="10"/>
      <c r="I558" s="10" t="str">
        <f>IF(pts_traje!$I558&lt;&gt;0,(ROUND(pts_traje!$I558+(pts_traje!$I558*0.02*pts_traje!$H558/1000),0)),"")</f>
        <v/>
      </c>
      <c r="J558" s="10"/>
    </row>
    <row r="559">
      <c r="A559" s="1" t="str">
        <f>IFNA(right(VLOOKUP(pts_traje!$A559,trj!$B$2:$D1000,3,FALSE),4),"")</f>
        <v/>
      </c>
      <c r="B559" s="10"/>
      <c r="C559" s="10"/>
      <c r="D559" s="1" t="str">
        <f>IFNA(VLOOKUP(pts_traje!$D559,FIX!$A$2:$D1000,4,FALSE),"")</f>
        <v/>
      </c>
      <c r="E559" s="10"/>
      <c r="F559" s="10"/>
      <c r="G559" s="10"/>
      <c r="H559" s="10"/>
      <c r="I559" s="10" t="str">
        <f>IF(pts_traje!$I559&lt;&gt;0,(ROUND(pts_traje!$I559+(pts_traje!$I559*0.02*pts_traje!$H559/1000),0)),"")</f>
        <v/>
      </c>
      <c r="J559" s="10"/>
    </row>
    <row r="560">
      <c r="A560" s="1" t="str">
        <f>IFNA(right(VLOOKUP(pts_traje!$A560,trj!$B$2:$D1000,3,FALSE),4),"")</f>
        <v/>
      </c>
      <c r="B560" s="10"/>
      <c r="C560" s="10"/>
      <c r="D560" s="1" t="str">
        <f>IFNA(VLOOKUP(pts_traje!$D560,FIX!$A$2:$D1000,4,FALSE),"")</f>
        <v/>
      </c>
      <c r="E560" s="10"/>
      <c r="F560" s="10"/>
      <c r="G560" s="10"/>
      <c r="H560" s="10"/>
      <c r="I560" s="10" t="str">
        <f>IF(pts_traje!$I560&lt;&gt;0,(ROUND(pts_traje!$I560+(pts_traje!$I560*0.02*pts_traje!$H560/1000),0)),"")</f>
        <v/>
      </c>
      <c r="J560" s="10"/>
    </row>
    <row r="561">
      <c r="A561" s="1" t="str">
        <f>IFNA(right(VLOOKUP(pts_traje!$A561,trj!$B$2:$D1000,3,FALSE),4),"")</f>
        <v/>
      </c>
      <c r="B561" s="10"/>
      <c r="C561" s="10"/>
      <c r="D561" s="1" t="str">
        <f>IFNA(VLOOKUP(pts_traje!$D561,FIX!$A$2:$D1000,4,FALSE),"")</f>
        <v/>
      </c>
      <c r="E561" s="10"/>
      <c r="F561" s="10"/>
      <c r="G561" s="10"/>
      <c r="H561" s="10"/>
      <c r="I561" s="10" t="str">
        <f>IF(pts_traje!$I561&lt;&gt;0,(ROUND(pts_traje!$I561+(pts_traje!$I561*0.02*pts_traje!$H561/1000),0)),"")</f>
        <v/>
      </c>
      <c r="J561" s="10"/>
    </row>
    <row r="562">
      <c r="A562" s="1" t="str">
        <f>IFNA(right(VLOOKUP(pts_traje!$A562,trj!$B$2:$D1000,3,FALSE),4),"")</f>
        <v/>
      </c>
      <c r="B562" s="10"/>
      <c r="C562" s="10"/>
      <c r="D562" s="1" t="str">
        <f>IFNA(VLOOKUP(pts_traje!$D562,FIX!$A$2:$D1000,4,FALSE),"")</f>
        <v/>
      </c>
      <c r="E562" s="10"/>
      <c r="F562" s="10"/>
      <c r="G562" s="10"/>
      <c r="H562" s="10"/>
      <c r="I562" s="10" t="str">
        <f>IF(pts_traje!$I562&lt;&gt;0,(ROUND(pts_traje!$I562+(pts_traje!$I562*0.02*pts_traje!$H562/1000),0)),"")</f>
        <v/>
      </c>
      <c r="J562" s="10"/>
    </row>
    <row r="563">
      <c r="A563" s="1" t="str">
        <f>IFNA(right(VLOOKUP(pts_traje!$A563,trj!$B$2:$D1000,3,FALSE),4),"")</f>
        <v/>
      </c>
      <c r="B563" s="10"/>
      <c r="C563" s="10"/>
      <c r="D563" s="1" t="str">
        <f>IFNA(VLOOKUP(pts_traje!$D563,FIX!$A$2:$D1000,4,FALSE),"")</f>
        <v/>
      </c>
      <c r="E563" s="10"/>
      <c r="F563" s="10"/>
      <c r="G563" s="10"/>
      <c r="H563" s="10"/>
      <c r="I563" s="10" t="str">
        <f>IF(pts_traje!$I563&lt;&gt;0,(ROUND(pts_traje!$I563+(pts_traje!$I563*0.02*pts_traje!$H563/1000),0)),"")</f>
        <v/>
      </c>
      <c r="J563" s="10"/>
    </row>
    <row r="564">
      <c r="A564" s="1" t="str">
        <f>IFNA(right(VLOOKUP(pts_traje!$A564,trj!$B$2:$D1000,3,FALSE),4),"")</f>
        <v/>
      </c>
      <c r="B564" s="10"/>
      <c r="C564" s="10"/>
      <c r="D564" s="1" t="str">
        <f>IFNA(VLOOKUP(pts_traje!$D564,FIX!$A$2:$D1000,4,FALSE),"")</f>
        <v/>
      </c>
      <c r="E564" s="10"/>
      <c r="F564" s="10"/>
      <c r="G564" s="10"/>
      <c r="H564" s="10"/>
      <c r="I564" s="10" t="str">
        <f>IF(pts_traje!$I564&lt;&gt;0,(ROUND(pts_traje!$I564+(pts_traje!$I564*0.02*pts_traje!$H564/1000),0)),"")</f>
        <v/>
      </c>
      <c r="J564" s="10"/>
    </row>
    <row r="565">
      <c r="A565" s="1" t="str">
        <f>IFNA(right(VLOOKUP(pts_traje!$A565,trj!$B$2:$D1000,3,FALSE),4),"")</f>
        <v/>
      </c>
      <c r="B565" s="10"/>
      <c r="C565" s="10"/>
      <c r="D565" s="1" t="str">
        <f>IFNA(VLOOKUP(pts_traje!$D565,FIX!$A$2:$D1000,4,FALSE),"")</f>
        <v/>
      </c>
      <c r="E565" s="10"/>
      <c r="F565" s="10"/>
      <c r="G565" s="10"/>
      <c r="H565" s="10"/>
      <c r="I565" s="10" t="str">
        <f>IF(pts_traje!$I565&lt;&gt;0,(ROUND(pts_traje!$I565+(pts_traje!$I565*0.02*pts_traje!$H565/1000),0)),"")</f>
        <v/>
      </c>
      <c r="J565" s="10"/>
    </row>
    <row r="566">
      <c r="A566" s="1" t="str">
        <f>IFNA(right(VLOOKUP(pts_traje!$A566,trj!$B$2:$D1000,3,FALSE),4),"")</f>
        <v/>
      </c>
      <c r="B566" s="10"/>
      <c r="C566" s="10"/>
      <c r="D566" s="1" t="str">
        <f>IFNA(VLOOKUP(pts_traje!$D566,FIX!$A$2:$D1000,4,FALSE),"")</f>
        <v/>
      </c>
      <c r="E566" s="10"/>
      <c r="F566" s="10"/>
      <c r="G566" s="10"/>
      <c r="H566" s="10"/>
      <c r="I566" s="10" t="str">
        <f>IF(pts_traje!$I566&lt;&gt;0,(ROUND(pts_traje!$I566+(pts_traje!$I566*0.02*pts_traje!$H566/1000),0)),"")</f>
        <v/>
      </c>
      <c r="J566" s="10"/>
    </row>
    <row r="567">
      <c r="A567" s="1" t="str">
        <f>IFNA(right(VLOOKUP(pts_traje!$A567,trj!$B$2:$D1000,3,FALSE),4),"")</f>
        <v/>
      </c>
      <c r="B567" s="10"/>
      <c r="C567" s="10"/>
      <c r="D567" s="1" t="str">
        <f>IFNA(VLOOKUP(pts_traje!$D567,FIX!$A$2:$D1000,4,FALSE),"")</f>
        <v/>
      </c>
      <c r="E567" s="10"/>
      <c r="F567" s="10"/>
      <c r="G567" s="10"/>
      <c r="H567" s="10"/>
      <c r="I567" s="10" t="str">
        <f>IF(pts_traje!$I567&lt;&gt;0,(ROUND(pts_traje!$I567+(pts_traje!$I567*0.02*pts_traje!$H567/1000),0)),"")</f>
        <v/>
      </c>
      <c r="J567" s="10"/>
    </row>
    <row r="568">
      <c r="A568" s="1" t="str">
        <f>IFNA(right(VLOOKUP(pts_traje!$A568,trj!$B$2:$D1000,3,FALSE),4),"")</f>
        <v/>
      </c>
      <c r="B568" s="10"/>
      <c r="C568" s="10"/>
      <c r="D568" s="1" t="str">
        <f>IFNA(VLOOKUP(pts_traje!$D568,FIX!$A$2:$D1000,4,FALSE),"")</f>
        <v/>
      </c>
      <c r="E568" s="10"/>
      <c r="F568" s="10"/>
      <c r="G568" s="10"/>
      <c r="H568" s="10"/>
      <c r="I568" s="10" t="str">
        <f>IF(pts_traje!$I568&lt;&gt;0,(ROUND(pts_traje!$I568+(pts_traje!$I568*0.02*pts_traje!$H568/1000),0)),"")</f>
        <v/>
      </c>
      <c r="J568" s="10"/>
    </row>
    <row r="569">
      <c r="A569" s="1" t="str">
        <f>IFNA(right(VLOOKUP(pts_traje!$A569,trj!$B$2:$D1000,3,FALSE),4),"")</f>
        <v/>
      </c>
      <c r="B569" s="10"/>
      <c r="C569" s="10"/>
      <c r="D569" s="1" t="str">
        <f>IFNA(VLOOKUP(pts_traje!$D569,FIX!$A$2:$D1000,4,FALSE),"")</f>
        <v/>
      </c>
      <c r="E569" s="10"/>
      <c r="F569" s="10"/>
      <c r="G569" s="10"/>
      <c r="H569" s="10"/>
      <c r="I569" s="10" t="str">
        <f>IF(pts_traje!$I569&lt;&gt;0,(ROUND(pts_traje!$I569+(pts_traje!$I569*0.02*pts_traje!$H569/1000),0)),"")</f>
        <v/>
      </c>
      <c r="J569" s="10"/>
    </row>
    <row r="570">
      <c r="A570" s="1" t="str">
        <f>IFNA(right(VLOOKUP(pts_traje!$A570,trj!$B$2:$D1000,3,FALSE),4),"")</f>
        <v/>
      </c>
      <c r="B570" s="10"/>
      <c r="C570" s="10"/>
      <c r="D570" s="1" t="str">
        <f>IFNA(VLOOKUP(pts_traje!$D570,FIX!$A$2:$D1000,4,FALSE),"")</f>
        <v/>
      </c>
      <c r="E570" s="10"/>
      <c r="F570" s="10"/>
      <c r="G570" s="10"/>
      <c r="H570" s="10"/>
      <c r="I570" s="10" t="str">
        <f>IF(pts_traje!$I570&lt;&gt;0,(ROUND(pts_traje!$I570+(pts_traje!$I570*0.02*pts_traje!$H570/1000),0)),"")</f>
        <v/>
      </c>
      <c r="J570" s="10"/>
    </row>
    <row r="571">
      <c r="A571" s="1" t="str">
        <f>IFNA(right(VLOOKUP(pts_traje!$A571,trj!$B$2:$D1000,3,FALSE),4),"")</f>
        <v/>
      </c>
      <c r="B571" s="10"/>
      <c r="C571" s="10"/>
      <c r="D571" s="1" t="str">
        <f>IFNA(VLOOKUP(pts_traje!$D571,FIX!$A$2:$D1000,4,FALSE),"")</f>
        <v/>
      </c>
      <c r="E571" s="10"/>
      <c r="F571" s="10"/>
      <c r="G571" s="10"/>
      <c r="H571" s="10"/>
      <c r="I571" s="10" t="str">
        <f>IF(pts_traje!$I571&lt;&gt;0,(ROUND(pts_traje!$I571+(pts_traje!$I571*0.02*pts_traje!$H571/1000),0)),"")</f>
        <v/>
      </c>
      <c r="J571" s="10"/>
    </row>
    <row r="572">
      <c r="A572" s="1" t="str">
        <f>IFNA(right(VLOOKUP(pts_traje!$A572,trj!$B$2:$D1000,3,FALSE),4),"")</f>
        <v/>
      </c>
      <c r="B572" s="10"/>
      <c r="C572" s="10"/>
      <c r="D572" s="1" t="str">
        <f>IFNA(VLOOKUP(pts_traje!$D572,FIX!$A$2:$D1000,4,FALSE),"")</f>
        <v/>
      </c>
      <c r="E572" s="10"/>
      <c r="F572" s="10"/>
      <c r="G572" s="10"/>
      <c r="H572" s="10"/>
      <c r="I572" s="10" t="str">
        <f>IF(pts_traje!$I572&lt;&gt;0,(ROUND(pts_traje!$I572+(pts_traje!$I572*0.02*pts_traje!$H572/1000),0)),"")</f>
        <v/>
      </c>
      <c r="J572" s="10"/>
    </row>
    <row r="573">
      <c r="A573" s="1" t="str">
        <f>IFNA(right(VLOOKUP(pts_traje!$A573,trj!$B$2:$D1000,3,FALSE),4),"")</f>
        <v/>
      </c>
      <c r="B573" s="10"/>
      <c r="C573" s="10"/>
      <c r="D573" s="1" t="str">
        <f>IFNA(VLOOKUP(pts_traje!$D573,FIX!$A$2:$D1000,4,FALSE),"")</f>
        <v/>
      </c>
      <c r="E573" s="10"/>
      <c r="F573" s="10"/>
      <c r="G573" s="10"/>
      <c r="H573" s="10"/>
      <c r="I573" s="10" t="str">
        <f>IF(pts_traje!$I573&lt;&gt;0,(ROUND(pts_traje!$I573+(pts_traje!$I573*0.02*pts_traje!$H573/1000),0)),"")</f>
        <v/>
      </c>
      <c r="J573" s="10"/>
    </row>
    <row r="574">
      <c r="A574" s="1" t="str">
        <f>IFNA(right(VLOOKUP(pts_traje!$A574,trj!$B$2:$D1000,3,FALSE),4),"")</f>
        <v/>
      </c>
      <c r="B574" s="10"/>
      <c r="C574" s="10"/>
      <c r="D574" s="1" t="str">
        <f>IFNA(VLOOKUP(pts_traje!$D574,FIX!$A$2:$D1000,4,FALSE),"")</f>
        <v/>
      </c>
      <c r="E574" s="10"/>
      <c r="F574" s="10"/>
      <c r="G574" s="10"/>
      <c r="H574" s="10"/>
      <c r="I574" s="10" t="str">
        <f>IF(pts_traje!$I574&lt;&gt;0,(ROUND(pts_traje!$I574+(pts_traje!$I574*0.02*pts_traje!$H574/1000),0)),"")</f>
        <v/>
      </c>
      <c r="J574" s="10"/>
    </row>
    <row r="575">
      <c r="A575" s="1" t="str">
        <f>IFNA(right(VLOOKUP(pts_traje!$A575,trj!$B$2:$D1000,3,FALSE),4),"")</f>
        <v/>
      </c>
      <c r="B575" s="10"/>
      <c r="C575" s="10"/>
      <c r="D575" s="1" t="str">
        <f>IFNA(VLOOKUP(pts_traje!$D575,FIX!$A$2:$D1000,4,FALSE),"")</f>
        <v/>
      </c>
      <c r="E575" s="10"/>
      <c r="F575" s="10"/>
      <c r="G575" s="10"/>
      <c r="H575" s="10"/>
      <c r="I575" s="10" t="str">
        <f>IF(pts_traje!$I575&lt;&gt;0,(ROUND(pts_traje!$I575+(pts_traje!$I575*0.02*pts_traje!$H575/1000),0)),"")</f>
        <v/>
      </c>
      <c r="J575" s="10"/>
    </row>
    <row r="576">
      <c r="A576" s="1" t="str">
        <f>IFNA(right(VLOOKUP(pts_traje!$A576,trj!$B$2:$D1000,3,FALSE),4),"")</f>
        <v/>
      </c>
      <c r="B576" s="10"/>
      <c r="C576" s="10"/>
      <c r="D576" s="1" t="str">
        <f>IFNA(VLOOKUP(pts_traje!$D576,FIX!$A$2:$D1000,4,FALSE),"")</f>
        <v/>
      </c>
      <c r="E576" s="10"/>
      <c r="F576" s="10"/>
      <c r="G576" s="10"/>
      <c r="H576" s="10"/>
      <c r="I576" s="10" t="str">
        <f>IF(pts_traje!$I576&lt;&gt;0,(ROUND(pts_traje!$I576+(pts_traje!$I576*0.02*pts_traje!$H576/1000),0)),"")</f>
        <v/>
      </c>
      <c r="J576" s="10"/>
    </row>
    <row r="577">
      <c r="A577" s="1" t="str">
        <f>IFNA(right(VLOOKUP(pts_traje!$A577,trj!$B$2:$D1000,3,FALSE),4),"")</f>
        <v/>
      </c>
      <c r="B577" s="10"/>
      <c r="C577" s="10"/>
      <c r="D577" s="1" t="str">
        <f>IFNA(VLOOKUP(pts_traje!$D577,FIX!$A$2:$D1000,4,FALSE),"")</f>
        <v/>
      </c>
      <c r="E577" s="10"/>
      <c r="F577" s="10"/>
      <c r="G577" s="10"/>
      <c r="H577" s="10"/>
      <c r="I577" s="10" t="str">
        <f>IF(pts_traje!$I577&lt;&gt;0,(ROUND(pts_traje!$I577+(pts_traje!$I577*0.02*pts_traje!$H577/1000),0)),"")</f>
        <v/>
      </c>
      <c r="J577" s="10"/>
    </row>
    <row r="578">
      <c r="A578" s="1" t="str">
        <f>IFNA(right(VLOOKUP(pts_traje!$A578,trj!$B$2:$D1000,3,FALSE),4),"")</f>
        <v/>
      </c>
      <c r="B578" s="10"/>
      <c r="C578" s="10"/>
      <c r="D578" s="1" t="str">
        <f>IFNA(VLOOKUP(pts_traje!$D578,FIX!$A$2:$D1000,4,FALSE),"")</f>
        <v/>
      </c>
      <c r="E578" s="10"/>
      <c r="F578" s="10"/>
      <c r="G578" s="10"/>
      <c r="H578" s="10"/>
      <c r="I578" s="10" t="str">
        <f>IF(pts_traje!$I578&lt;&gt;0,(ROUND(pts_traje!$I578+(pts_traje!$I578*0.02*pts_traje!$H578/1000),0)),"")</f>
        <v/>
      </c>
      <c r="J578" s="10"/>
    </row>
    <row r="579">
      <c r="A579" s="1" t="str">
        <f>IFNA(right(VLOOKUP(pts_traje!$A579,trj!$B$2:$D1000,3,FALSE),4),"")</f>
        <v/>
      </c>
      <c r="B579" s="10"/>
      <c r="C579" s="10"/>
      <c r="D579" s="1" t="str">
        <f>IFNA(VLOOKUP(pts_traje!$D579,FIX!$A$2:$D1000,4,FALSE),"")</f>
        <v/>
      </c>
      <c r="E579" s="10"/>
      <c r="F579" s="10"/>
      <c r="G579" s="10"/>
      <c r="H579" s="10"/>
      <c r="I579" s="10" t="str">
        <f>IF(pts_traje!$I579&lt;&gt;0,(ROUND(pts_traje!$I579+(pts_traje!$I579*0.02*pts_traje!$H579/1000),0)),"")</f>
        <v/>
      </c>
      <c r="J579" s="10"/>
    </row>
    <row r="580">
      <c r="A580" s="1" t="str">
        <f>IFNA(right(VLOOKUP(pts_traje!$A580,trj!$B$2:$D1000,3,FALSE),4),"")</f>
        <v/>
      </c>
      <c r="B580" s="10"/>
      <c r="C580" s="10"/>
      <c r="D580" s="1" t="str">
        <f>IFNA(VLOOKUP(pts_traje!$D580,FIX!$A$2:$D1000,4,FALSE),"")</f>
        <v/>
      </c>
      <c r="E580" s="10"/>
      <c r="F580" s="10"/>
      <c r="G580" s="10"/>
      <c r="H580" s="10"/>
      <c r="I580" s="10" t="str">
        <f>IF(pts_traje!$I580&lt;&gt;0,(ROUND(pts_traje!$I580+(pts_traje!$I580*0.02*pts_traje!$H580/1000),0)),"")</f>
        <v/>
      </c>
      <c r="J580" s="10"/>
    </row>
    <row r="581">
      <c r="A581" s="1" t="str">
        <f>IFNA(right(VLOOKUP(pts_traje!$A581,trj!$B$2:$D1000,3,FALSE),4),"")</f>
        <v/>
      </c>
      <c r="B581" s="10"/>
      <c r="C581" s="10"/>
      <c r="D581" s="1" t="str">
        <f>IFNA(VLOOKUP(pts_traje!$D581,FIX!$A$2:$D1000,4,FALSE),"")</f>
        <v/>
      </c>
      <c r="E581" s="10"/>
      <c r="F581" s="10"/>
      <c r="G581" s="10"/>
      <c r="H581" s="10"/>
      <c r="I581" s="10" t="str">
        <f>IF(pts_traje!$I581&lt;&gt;0,(ROUND(pts_traje!$I581+(pts_traje!$I581*0.02*pts_traje!$H581/1000),0)),"")</f>
        <v/>
      </c>
      <c r="J581" s="10"/>
    </row>
    <row r="582">
      <c r="A582" s="1" t="str">
        <f>IFNA(right(VLOOKUP(pts_traje!$A582,trj!$B$2:$D1000,3,FALSE),4),"")</f>
        <v/>
      </c>
      <c r="B582" s="10"/>
      <c r="C582" s="10"/>
      <c r="D582" s="1" t="str">
        <f>IFNA(VLOOKUP(pts_traje!$D582,FIX!$A$2:$D1000,4,FALSE),"")</f>
        <v/>
      </c>
      <c r="E582" s="10"/>
      <c r="F582" s="10"/>
      <c r="G582" s="10"/>
      <c r="H582" s="10"/>
      <c r="I582" s="10" t="str">
        <f>IF(pts_traje!$I582&lt;&gt;0,(ROUND(pts_traje!$I582+(pts_traje!$I582*0.02*pts_traje!$H582/1000),0)),"")</f>
        <v/>
      </c>
      <c r="J582" s="10"/>
    </row>
    <row r="583">
      <c r="A583" s="1" t="str">
        <f>IFNA(right(VLOOKUP(pts_traje!$A583,trj!$B$2:$D1000,3,FALSE),4),"")</f>
        <v/>
      </c>
      <c r="B583" s="10"/>
      <c r="C583" s="10"/>
      <c r="D583" s="1" t="str">
        <f>IFNA(VLOOKUP(pts_traje!$D583,FIX!$A$2:$D1000,4,FALSE),"")</f>
        <v/>
      </c>
      <c r="E583" s="10"/>
      <c r="F583" s="10"/>
      <c r="G583" s="10"/>
      <c r="H583" s="10"/>
      <c r="I583" s="10" t="str">
        <f>IF(pts_traje!$I583&lt;&gt;0,(ROUND(pts_traje!$I583+(pts_traje!$I583*0.02*pts_traje!$H583/1000),0)),"")</f>
        <v/>
      </c>
      <c r="J583" s="10"/>
    </row>
    <row r="584">
      <c r="A584" s="1" t="str">
        <f>IFNA(right(VLOOKUP(pts_traje!$A584,trj!$B$2:$D1000,3,FALSE),4),"")</f>
        <v/>
      </c>
      <c r="B584" s="10"/>
      <c r="C584" s="10"/>
      <c r="D584" s="1" t="str">
        <f>IFNA(VLOOKUP(pts_traje!$D584,FIX!$A$2:$D1000,4,FALSE),"")</f>
        <v/>
      </c>
      <c r="E584" s="10"/>
      <c r="F584" s="10"/>
      <c r="G584" s="10"/>
      <c r="H584" s="10"/>
      <c r="I584" s="10" t="str">
        <f>IF(pts_traje!$I584&lt;&gt;0,(ROUND(pts_traje!$I584+(pts_traje!$I584*0.02*pts_traje!$H584/1000),0)),"")</f>
        <v/>
      </c>
      <c r="J584" s="10"/>
    </row>
    <row r="585">
      <c r="A585" s="1" t="str">
        <f>IFNA(right(VLOOKUP(pts_traje!$A585,trj!$B$2:$D1000,3,FALSE),4),"")</f>
        <v/>
      </c>
      <c r="B585" s="10"/>
      <c r="C585" s="10"/>
      <c r="D585" s="1" t="str">
        <f>IFNA(VLOOKUP(pts_traje!$D585,FIX!$A$2:$D1000,4,FALSE),"")</f>
        <v/>
      </c>
      <c r="E585" s="10"/>
      <c r="F585" s="10"/>
      <c r="G585" s="10"/>
      <c r="H585" s="10"/>
      <c r="I585" s="10" t="str">
        <f>IF(pts_traje!$I585&lt;&gt;0,(ROUND(pts_traje!$I585+(pts_traje!$I585*0.02*pts_traje!$H585/1000),0)),"")</f>
        <v/>
      </c>
      <c r="J585" s="10"/>
    </row>
    <row r="586">
      <c r="A586" s="1" t="str">
        <f>IFNA(right(VLOOKUP(pts_traje!$A586,trj!$B$2:$D1000,3,FALSE),4),"")</f>
        <v/>
      </c>
      <c r="B586" s="10"/>
      <c r="C586" s="10"/>
      <c r="D586" s="1" t="str">
        <f>IFNA(VLOOKUP(pts_traje!$D586,FIX!$A$2:$D1000,4,FALSE),"")</f>
        <v/>
      </c>
      <c r="E586" s="10"/>
      <c r="F586" s="10"/>
      <c r="G586" s="10"/>
      <c r="H586" s="10"/>
      <c r="I586" s="10" t="str">
        <f>IF(pts_traje!$I586&lt;&gt;0,(ROUND(pts_traje!$I586+(pts_traje!$I586*0.02*pts_traje!$H586/1000),0)),"")</f>
        <v/>
      </c>
      <c r="J586" s="10"/>
    </row>
    <row r="587">
      <c r="A587" s="1" t="str">
        <f>IFNA(right(VLOOKUP(pts_traje!$A587,trj!$B$2:$D1000,3,FALSE),4),"")</f>
        <v/>
      </c>
      <c r="B587" s="10"/>
      <c r="C587" s="10"/>
      <c r="D587" s="1" t="str">
        <f>IFNA(VLOOKUP(pts_traje!$D587,FIX!$A$2:$D1000,4,FALSE),"")</f>
        <v/>
      </c>
      <c r="E587" s="10"/>
      <c r="F587" s="10"/>
      <c r="G587" s="10"/>
      <c r="H587" s="10"/>
      <c r="I587" s="10" t="str">
        <f>IF(pts_traje!$I587&lt;&gt;0,(ROUND(pts_traje!$I587+(pts_traje!$I587*0.02*pts_traje!$H587/1000),0)),"")</f>
        <v/>
      </c>
      <c r="J587" s="10"/>
    </row>
    <row r="588">
      <c r="A588" s="1" t="str">
        <f>IFNA(right(VLOOKUP(pts_traje!$A588,trj!$B$2:$D1000,3,FALSE),4),"")</f>
        <v/>
      </c>
      <c r="B588" s="10"/>
      <c r="C588" s="10"/>
      <c r="D588" s="1" t="str">
        <f>IFNA(VLOOKUP(pts_traje!$D588,FIX!$A$2:$D1000,4,FALSE),"")</f>
        <v/>
      </c>
      <c r="E588" s="10"/>
      <c r="F588" s="10"/>
      <c r="G588" s="10"/>
      <c r="H588" s="10"/>
      <c r="I588" s="10" t="str">
        <f>IF(pts_traje!$I588&lt;&gt;0,(ROUND(pts_traje!$I588+(pts_traje!$I588*0.02*pts_traje!$H588/1000),0)),"")</f>
        <v/>
      </c>
      <c r="J588" s="10"/>
    </row>
    <row r="589">
      <c r="A589" s="1" t="str">
        <f>IFNA(right(VLOOKUP(pts_traje!$A589,trj!$B$2:$D1000,3,FALSE),4),"")</f>
        <v/>
      </c>
      <c r="B589" s="10"/>
      <c r="C589" s="10"/>
      <c r="D589" s="1" t="str">
        <f>IFNA(VLOOKUP(pts_traje!$D589,FIX!$A$2:$D1000,4,FALSE),"")</f>
        <v/>
      </c>
      <c r="E589" s="10"/>
      <c r="F589" s="10"/>
      <c r="G589" s="10"/>
      <c r="H589" s="10"/>
      <c r="I589" s="10" t="str">
        <f>IF(pts_traje!$I589&lt;&gt;0,(ROUND(pts_traje!$I589+(pts_traje!$I589*0.02*pts_traje!$H589/1000),0)),"")</f>
        <v/>
      </c>
      <c r="J589" s="10"/>
    </row>
    <row r="590">
      <c r="A590" s="1" t="str">
        <f>IFNA(right(VLOOKUP(pts_traje!$A590,trj!$B$2:$D1000,3,FALSE),4),"")</f>
        <v/>
      </c>
      <c r="B590" s="10"/>
      <c r="C590" s="10"/>
      <c r="D590" s="1" t="str">
        <f>IFNA(VLOOKUP(pts_traje!$D590,FIX!$A$2:$D1000,4,FALSE),"")</f>
        <v/>
      </c>
      <c r="E590" s="10"/>
      <c r="F590" s="10"/>
      <c r="G590" s="10"/>
      <c r="H590" s="10"/>
      <c r="I590" s="10" t="str">
        <f>IF(pts_traje!$I590&lt;&gt;0,(ROUND(pts_traje!$I590+(pts_traje!$I590*0.02*pts_traje!$H590/1000),0)),"")</f>
        <v/>
      </c>
      <c r="J590" s="10"/>
    </row>
    <row r="591">
      <c r="A591" s="1" t="str">
        <f>IFNA(right(VLOOKUP(pts_traje!$A591,trj!$B$2:$D1000,3,FALSE),4),"")</f>
        <v/>
      </c>
      <c r="B591" s="10"/>
      <c r="C591" s="10"/>
      <c r="D591" s="1" t="str">
        <f>IFNA(VLOOKUP(pts_traje!$D591,FIX!$A$2:$D1000,4,FALSE),"")</f>
        <v/>
      </c>
      <c r="E591" s="10"/>
      <c r="F591" s="10"/>
      <c r="G591" s="10"/>
      <c r="H591" s="10"/>
      <c r="I591" s="10" t="str">
        <f>IF(pts_traje!$I591&lt;&gt;0,(ROUND(pts_traje!$I591+(pts_traje!$I591*0.02*pts_traje!$H591/1000),0)),"")</f>
        <v/>
      </c>
      <c r="J591" s="10"/>
    </row>
    <row r="592">
      <c r="A592" s="1" t="str">
        <f>IFNA(right(VLOOKUP(pts_traje!$A592,trj!$B$2:$D1000,3,FALSE),4),"")</f>
        <v/>
      </c>
      <c r="B592" s="10"/>
      <c r="C592" s="10"/>
      <c r="D592" s="1" t="str">
        <f>IFNA(VLOOKUP(pts_traje!$D592,FIX!$A$2:$D1000,4,FALSE),"")</f>
        <v/>
      </c>
      <c r="E592" s="10"/>
      <c r="F592" s="10"/>
      <c r="G592" s="10"/>
      <c r="H592" s="10"/>
      <c r="I592" s="10" t="str">
        <f>IF(pts_traje!$I592&lt;&gt;0,(ROUND(pts_traje!$I592+(pts_traje!$I592*0.02*pts_traje!$H592/1000),0)),"")</f>
        <v/>
      </c>
      <c r="J592" s="10"/>
    </row>
    <row r="593">
      <c r="A593" s="1" t="str">
        <f>IFNA(right(VLOOKUP(pts_traje!$A593,trj!$B$2:$D1000,3,FALSE),4),"")</f>
        <v/>
      </c>
      <c r="B593" s="10"/>
      <c r="C593" s="10"/>
      <c r="D593" s="1" t="str">
        <f>IFNA(VLOOKUP(pts_traje!$D593,FIX!$A$2:$D1000,4,FALSE),"")</f>
        <v/>
      </c>
      <c r="E593" s="10"/>
      <c r="F593" s="10"/>
      <c r="G593" s="10"/>
      <c r="H593" s="10"/>
      <c r="I593" s="10" t="str">
        <f>IF(pts_traje!$I593&lt;&gt;0,(ROUND(pts_traje!$I593+(pts_traje!$I593*0.02*pts_traje!$H593/1000),0)),"")</f>
        <v/>
      </c>
      <c r="J593" s="10"/>
    </row>
    <row r="594">
      <c r="A594" s="1" t="str">
        <f>IFNA(right(VLOOKUP(pts_traje!$A594,trj!$B$2:$D1000,3,FALSE),4),"")</f>
        <v/>
      </c>
      <c r="B594" s="10"/>
      <c r="C594" s="10"/>
      <c r="D594" s="1" t="str">
        <f>IFNA(VLOOKUP(pts_traje!$D594,FIX!$A$2:$D1000,4,FALSE),"")</f>
        <v/>
      </c>
      <c r="E594" s="10"/>
      <c r="F594" s="10"/>
      <c r="G594" s="10"/>
      <c r="H594" s="10"/>
      <c r="I594" s="10" t="str">
        <f>IF(pts_traje!$I594&lt;&gt;0,(ROUND(pts_traje!$I594+(pts_traje!$I594*0.02*pts_traje!$H594/1000),0)),"")</f>
        <v/>
      </c>
      <c r="J594" s="10"/>
    </row>
    <row r="595">
      <c r="A595" s="1" t="str">
        <f>IFNA(right(VLOOKUP(pts_traje!$A595,trj!$B$2:$D1000,3,FALSE),4),"")</f>
        <v/>
      </c>
      <c r="B595" s="10"/>
      <c r="C595" s="10"/>
      <c r="D595" s="1" t="str">
        <f>IFNA(VLOOKUP(pts_traje!$D595,FIX!$A$2:$D1000,4,FALSE),"")</f>
        <v/>
      </c>
      <c r="E595" s="10"/>
      <c r="F595" s="10"/>
      <c r="G595" s="10"/>
      <c r="H595" s="10"/>
      <c r="I595" s="10" t="str">
        <f>IF(pts_traje!$I595&lt;&gt;0,(ROUND(pts_traje!$I595+(pts_traje!$I595*0.02*pts_traje!$H595/1000),0)),"")</f>
        <v/>
      </c>
      <c r="J595" s="10"/>
    </row>
    <row r="596">
      <c r="A596" s="1" t="str">
        <f>IFNA(right(VLOOKUP(pts_traje!$A596,trj!$B$2:$D1000,3,FALSE),4),"")</f>
        <v/>
      </c>
      <c r="B596" s="10"/>
      <c r="C596" s="10"/>
      <c r="D596" s="1" t="str">
        <f>IFNA(VLOOKUP(pts_traje!$D596,FIX!$A$2:$D1000,4,FALSE),"")</f>
        <v/>
      </c>
      <c r="E596" s="10"/>
      <c r="F596" s="10"/>
      <c r="G596" s="10"/>
      <c r="H596" s="10"/>
      <c r="I596" s="10" t="str">
        <f>IF(pts_traje!$I596&lt;&gt;0,(ROUND(pts_traje!$I596+(pts_traje!$I596*0.02*pts_traje!$H596/1000),0)),"")</f>
        <v/>
      </c>
      <c r="J596" s="10"/>
    </row>
    <row r="597">
      <c r="A597" s="1" t="str">
        <f>IFNA(right(VLOOKUP(pts_traje!$A597,trj!$B$2:$D1000,3,FALSE),4),"")</f>
        <v/>
      </c>
      <c r="B597" s="10"/>
      <c r="C597" s="10"/>
      <c r="D597" s="1" t="str">
        <f>IFNA(VLOOKUP(pts_traje!$D597,FIX!$A$2:$D1000,4,FALSE),"")</f>
        <v/>
      </c>
      <c r="E597" s="10"/>
      <c r="F597" s="10"/>
      <c r="G597" s="10"/>
      <c r="H597" s="10"/>
      <c r="I597" s="10" t="str">
        <f>IF(pts_traje!$I597&lt;&gt;0,(ROUND(pts_traje!$I597+(pts_traje!$I597*0.02*pts_traje!$H597/1000),0)),"")</f>
        <v/>
      </c>
      <c r="J597" s="10"/>
    </row>
    <row r="598">
      <c r="A598" s="1" t="str">
        <f>IFNA(right(VLOOKUP(pts_traje!$A598,trj!$B$2:$D1000,3,FALSE),4),"")</f>
        <v/>
      </c>
      <c r="B598" s="10"/>
      <c r="C598" s="10"/>
      <c r="D598" s="1" t="str">
        <f>IFNA(VLOOKUP(pts_traje!$D598,FIX!$A$2:$D1000,4,FALSE),"")</f>
        <v/>
      </c>
      <c r="E598" s="10"/>
      <c r="F598" s="10"/>
      <c r="G598" s="10"/>
      <c r="H598" s="10"/>
      <c r="I598" s="10" t="str">
        <f>IF(pts_traje!$I598&lt;&gt;0,(ROUND(pts_traje!$I598+(pts_traje!$I598*0.02*pts_traje!$H598/1000),0)),"")</f>
        <v/>
      </c>
      <c r="J598" s="10"/>
    </row>
    <row r="599">
      <c r="A599" s="1" t="str">
        <f>IFNA(right(VLOOKUP(pts_traje!$A599,trj!$B$2:$D1000,3,FALSE),4),"")</f>
        <v/>
      </c>
      <c r="B599" s="10"/>
      <c r="C599" s="10"/>
      <c r="D599" s="1" t="str">
        <f>IFNA(VLOOKUP(pts_traje!$D599,FIX!$A$2:$D1000,4,FALSE),"")</f>
        <v/>
      </c>
      <c r="E599" s="10"/>
      <c r="F599" s="10"/>
      <c r="G599" s="10"/>
      <c r="H599" s="10"/>
      <c r="I599" s="10" t="str">
        <f>IF(pts_traje!$I599&lt;&gt;0,(ROUND(pts_traje!$I599+(pts_traje!$I599*0.02*pts_traje!$H599/1000),0)),"")</f>
        <v/>
      </c>
      <c r="J599" s="10"/>
    </row>
    <row r="600">
      <c r="A600" s="1" t="str">
        <f>IFNA(right(VLOOKUP(pts_traje!$A600,trj!$B$2:$D1000,3,FALSE),4),"")</f>
        <v/>
      </c>
      <c r="B600" s="10"/>
      <c r="C600" s="10"/>
      <c r="D600" s="1" t="str">
        <f>IFNA(VLOOKUP(pts_traje!$D600,FIX!$A$2:$D1000,4,FALSE),"")</f>
        <v/>
      </c>
      <c r="E600" s="10"/>
      <c r="F600" s="10"/>
      <c r="G600" s="10"/>
      <c r="H600" s="10"/>
      <c r="I600" s="10" t="str">
        <f>IF(pts_traje!$I600&lt;&gt;0,(ROUND(pts_traje!$I600+(pts_traje!$I600*0.02*pts_traje!$H600/1000),0)),"")</f>
        <v/>
      </c>
      <c r="J600" s="10"/>
    </row>
    <row r="601">
      <c r="A601" s="1" t="str">
        <f>IFNA(right(VLOOKUP(pts_traje!$A601,trj!$B$2:$D1000,3,FALSE),4),"")</f>
        <v/>
      </c>
      <c r="B601" s="10"/>
      <c r="C601" s="10"/>
      <c r="D601" s="1" t="str">
        <f>IFNA(VLOOKUP(pts_traje!$D601,FIX!$A$2:$D1000,4,FALSE),"")</f>
        <v/>
      </c>
      <c r="E601" s="10"/>
      <c r="F601" s="10"/>
      <c r="G601" s="10"/>
      <c r="H601" s="10"/>
      <c r="I601" s="10" t="str">
        <f>IF(pts_traje!$I601&lt;&gt;0,(ROUND(pts_traje!$I601+(pts_traje!$I601*0.02*pts_traje!$H601/1000),0)),"")</f>
        <v/>
      </c>
      <c r="J601" s="10"/>
    </row>
    <row r="602">
      <c r="A602" s="1" t="str">
        <f>IFNA(right(VLOOKUP(pts_traje!$A602,trj!$B$2:$D1000,3,FALSE),4),"")</f>
        <v/>
      </c>
      <c r="B602" s="10"/>
      <c r="C602" s="10"/>
      <c r="D602" s="1" t="str">
        <f>IFNA(VLOOKUP(pts_traje!$D602,FIX!$A$2:$D1000,4,FALSE),"")</f>
        <v/>
      </c>
      <c r="E602" s="10"/>
      <c r="F602" s="10"/>
      <c r="G602" s="10"/>
      <c r="H602" s="10"/>
      <c r="I602" s="10" t="str">
        <f>IF(pts_traje!$I602&lt;&gt;0,(ROUND(pts_traje!$I602+(pts_traje!$I602*0.02*pts_traje!$H602/1000),0)),"")</f>
        <v/>
      </c>
      <c r="J602" s="10"/>
    </row>
    <row r="603">
      <c r="A603" s="1" t="str">
        <f>IFNA(right(VLOOKUP(pts_traje!$A603,trj!$B$2:$D1000,3,FALSE),4),"")</f>
        <v/>
      </c>
      <c r="B603" s="10"/>
      <c r="C603" s="10"/>
      <c r="D603" s="1" t="str">
        <f>IFNA(VLOOKUP(pts_traje!$D603,FIX!$A$2:$D1000,4,FALSE),"")</f>
        <v/>
      </c>
      <c r="E603" s="10"/>
      <c r="F603" s="10"/>
      <c r="G603" s="10"/>
      <c r="H603" s="10"/>
      <c r="I603" s="10" t="str">
        <f>IF(pts_traje!$I603&lt;&gt;0,(ROUND(pts_traje!$I603+(pts_traje!$I603*0.02*pts_traje!$H603/1000),0)),"")</f>
        <v/>
      </c>
      <c r="J603" s="10"/>
    </row>
    <row r="604">
      <c r="A604" s="1" t="str">
        <f>IFNA(right(VLOOKUP(pts_traje!$A604,trj!$B$2:$D1000,3,FALSE),4),"")</f>
        <v/>
      </c>
      <c r="B604" s="10"/>
      <c r="C604" s="10"/>
      <c r="D604" s="1" t="str">
        <f>IFNA(VLOOKUP(pts_traje!$D604,FIX!$A$2:$D1000,4,FALSE),"")</f>
        <v/>
      </c>
      <c r="E604" s="10"/>
      <c r="F604" s="10"/>
      <c r="G604" s="10"/>
      <c r="H604" s="10"/>
      <c r="I604" s="10" t="str">
        <f>IF(pts_traje!$I604&lt;&gt;0,(ROUND(pts_traje!$I604+(pts_traje!$I604*0.02*pts_traje!$H604/1000),0)),"")</f>
        <v/>
      </c>
      <c r="J604" s="10"/>
    </row>
    <row r="605">
      <c r="A605" s="1" t="str">
        <f>IFNA(right(VLOOKUP(pts_traje!$A605,trj!$B$2:$D1000,3,FALSE),4),"")</f>
        <v/>
      </c>
      <c r="B605" s="10"/>
      <c r="C605" s="10"/>
      <c r="D605" s="1" t="str">
        <f>IFNA(VLOOKUP(pts_traje!$D605,FIX!$A$2:$D1000,4,FALSE),"")</f>
        <v/>
      </c>
      <c r="E605" s="10"/>
      <c r="F605" s="10"/>
      <c r="G605" s="10"/>
      <c r="H605" s="10"/>
      <c r="I605" s="10" t="str">
        <f>IF(pts_traje!$I605&lt;&gt;0,(ROUND(pts_traje!$I605+(pts_traje!$I605*0.02*pts_traje!$H605/1000),0)),"")</f>
        <v/>
      </c>
      <c r="J605" s="10"/>
    </row>
    <row r="606">
      <c r="A606" s="1" t="str">
        <f>IFNA(right(VLOOKUP(pts_traje!$A606,trj!$B$2:$D1000,3,FALSE),4),"")</f>
        <v/>
      </c>
      <c r="B606" s="10"/>
      <c r="C606" s="10"/>
      <c r="D606" s="1" t="str">
        <f>IFNA(VLOOKUP(pts_traje!$D606,FIX!$A$2:$D1000,4,FALSE),"")</f>
        <v/>
      </c>
      <c r="E606" s="10"/>
      <c r="F606" s="10"/>
      <c r="G606" s="10"/>
      <c r="H606" s="10"/>
      <c r="I606" s="10" t="str">
        <f>IF(pts_traje!$I606&lt;&gt;0,(ROUND(pts_traje!$I606+(pts_traje!$I606*0.02*pts_traje!$H606/1000),0)),"")</f>
        <v/>
      </c>
      <c r="J606" s="10"/>
    </row>
    <row r="607">
      <c r="A607" s="1" t="str">
        <f>IFNA(right(VLOOKUP(pts_traje!$A607,trj!$B$2:$D1000,3,FALSE),4),"")</f>
        <v/>
      </c>
      <c r="B607" s="10"/>
      <c r="C607" s="10"/>
      <c r="D607" s="1" t="str">
        <f>IFNA(VLOOKUP(pts_traje!$D607,FIX!$A$2:$D1000,4,FALSE),"")</f>
        <v/>
      </c>
      <c r="E607" s="10"/>
      <c r="F607" s="10"/>
      <c r="G607" s="10"/>
      <c r="H607" s="10"/>
      <c r="I607" s="10" t="str">
        <f>IF(pts_traje!$I607&lt;&gt;0,(ROUND(pts_traje!$I607+(pts_traje!$I607*0.02*pts_traje!$H607/1000),0)),"")</f>
        <v/>
      </c>
      <c r="J607" s="10"/>
    </row>
    <row r="608">
      <c r="A608" s="1" t="str">
        <f>IFNA(right(VLOOKUP(pts_traje!$A608,trj!$B$2:$D1000,3,FALSE),4),"")</f>
        <v/>
      </c>
      <c r="B608" s="10"/>
      <c r="C608" s="10"/>
      <c r="D608" s="1" t="str">
        <f>IFNA(VLOOKUP(pts_traje!$D608,FIX!$A$2:$D1000,4,FALSE),"")</f>
        <v/>
      </c>
      <c r="E608" s="10"/>
      <c r="F608" s="10"/>
      <c r="G608" s="10"/>
      <c r="H608" s="10"/>
      <c r="I608" s="10" t="str">
        <f>IF(pts_traje!$I608&lt;&gt;0,(ROUND(pts_traje!$I608+(pts_traje!$I608*0.02*pts_traje!$H608/1000),0)),"")</f>
        <v/>
      </c>
      <c r="J608" s="10"/>
    </row>
    <row r="609">
      <c r="A609" s="1" t="str">
        <f>IFNA(right(VLOOKUP(pts_traje!$A609,trj!$B$2:$D1000,3,FALSE),4),"")</f>
        <v/>
      </c>
      <c r="B609" s="10"/>
      <c r="C609" s="10"/>
      <c r="D609" s="1" t="str">
        <f>IFNA(VLOOKUP(pts_traje!$D609,FIX!$A$2:$D1000,4,FALSE),"")</f>
        <v/>
      </c>
      <c r="E609" s="10"/>
      <c r="F609" s="10"/>
      <c r="G609" s="10"/>
      <c r="H609" s="10"/>
      <c r="I609" s="10" t="str">
        <f>IF(pts_traje!$I609&lt;&gt;0,(ROUND(pts_traje!$I609+(pts_traje!$I609*0.02*pts_traje!$H609/1000),0)),"")</f>
        <v/>
      </c>
      <c r="J609" s="10"/>
    </row>
    <row r="610">
      <c r="A610" s="1" t="str">
        <f>IFNA(right(VLOOKUP(pts_traje!$A610,trj!$B$2:$D1000,3,FALSE),4),"")</f>
        <v/>
      </c>
      <c r="B610" s="10"/>
      <c r="C610" s="10"/>
      <c r="D610" s="1" t="str">
        <f>IFNA(VLOOKUP(pts_traje!$D610,FIX!$A$2:$D1000,4,FALSE),"")</f>
        <v/>
      </c>
      <c r="E610" s="10"/>
      <c r="F610" s="10"/>
      <c r="G610" s="10"/>
      <c r="H610" s="10"/>
      <c r="I610" s="10" t="str">
        <f>IF(pts_traje!$I610&lt;&gt;0,(ROUND(pts_traje!$I610+(pts_traje!$I610*0.02*pts_traje!$H610/1000),0)),"")</f>
        <v/>
      </c>
      <c r="J610" s="10"/>
    </row>
    <row r="611">
      <c r="A611" s="1" t="str">
        <f>IFNA(right(VLOOKUP(pts_traje!$A611,trj!$B$2:$D1000,3,FALSE),4),"")</f>
        <v/>
      </c>
      <c r="B611" s="10"/>
      <c r="C611" s="10"/>
      <c r="D611" s="1" t="str">
        <f>IFNA(VLOOKUP(pts_traje!$D611,FIX!$A$2:$D1000,4,FALSE),"")</f>
        <v/>
      </c>
      <c r="E611" s="10"/>
      <c r="F611" s="10"/>
      <c r="G611" s="10"/>
      <c r="H611" s="10"/>
      <c r="I611" s="10" t="str">
        <f>IF(pts_traje!$I611&lt;&gt;0,(ROUND(pts_traje!$I611+(pts_traje!$I611*0.02*pts_traje!$H611/1000),0)),"")</f>
        <v/>
      </c>
      <c r="J611" s="10"/>
    </row>
    <row r="612">
      <c r="A612" s="1" t="str">
        <f>IFNA(right(VLOOKUP(pts_traje!$A612,trj!$B$2:$D1000,3,FALSE),4),"")</f>
        <v/>
      </c>
      <c r="B612" s="10"/>
      <c r="C612" s="10"/>
      <c r="D612" s="1" t="str">
        <f>IFNA(VLOOKUP(pts_traje!$D612,FIX!$A$2:$D1000,4,FALSE),"")</f>
        <v/>
      </c>
      <c r="E612" s="10"/>
      <c r="F612" s="10"/>
      <c r="G612" s="10"/>
      <c r="H612" s="10"/>
      <c r="I612" s="10" t="str">
        <f>IF(pts_traje!$I612&lt;&gt;0,(ROUND(pts_traje!$I612+(pts_traje!$I612*0.02*pts_traje!$H612/1000),0)),"")</f>
        <v/>
      </c>
      <c r="J612" s="10"/>
    </row>
    <row r="613">
      <c r="A613" s="1" t="str">
        <f>IFNA(right(VLOOKUP(pts_traje!$A613,trj!$B$2:$D1000,3,FALSE),4),"")</f>
        <v/>
      </c>
      <c r="B613" s="10"/>
      <c r="C613" s="10"/>
      <c r="D613" s="1" t="str">
        <f>IFNA(VLOOKUP(pts_traje!$D613,FIX!$A$2:$D1000,4,FALSE),"")</f>
        <v/>
      </c>
      <c r="E613" s="10"/>
      <c r="F613" s="10"/>
      <c r="G613" s="10"/>
      <c r="H613" s="10"/>
      <c r="I613" s="10" t="str">
        <f>IF(pts_traje!$I613&lt;&gt;0,(ROUND(pts_traje!$I613+(pts_traje!$I613*0.02*pts_traje!$H613/1000),0)),"")</f>
        <v/>
      </c>
      <c r="J613" s="10"/>
    </row>
    <row r="614">
      <c r="A614" s="1" t="str">
        <f>IFNA(right(VLOOKUP(pts_traje!$A614,trj!$B$2:$D1000,3,FALSE),4),"")</f>
        <v/>
      </c>
      <c r="B614" s="10"/>
      <c r="C614" s="10"/>
      <c r="D614" s="1" t="str">
        <f>IFNA(VLOOKUP(pts_traje!$D614,FIX!$A$2:$D1000,4,FALSE),"")</f>
        <v/>
      </c>
      <c r="E614" s="10"/>
      <c r="F614" s="10"/>
      <c r="G614" s="10"/>
      <c r="H614" s="10"/>
      <c r="I614" s="10" t="str">
        <f>IF(pts_traje!$I614&lt;&gt;0,(ROUND(pts_traje!$I614+(pts_traje!$I614*0.02*pts_traje!$H614/1000),0)),"")</f>
        <v/>
      </c>
      <c r="J614" s="10"/>
    </row>
    <row r="615">
      <c r="A615" s="1" t="str">
        <f>IFNA(right(VLOOKUP(pts_traje!$A615,trj!$B$2:$D1000,3,FALSE),4),"")</f>
        <v/>
      </c>
      <c r="B615" s="10"/>
      <c r="C615" s="10"/>
      <c r="D615" s="1" t="str">
        <f>IFNA(VLOOKUP(pts_traje!$D615,FIX!$A$2:$D1000,4,FALSE),"")</f>
        <v/>
      </c>
      <c r="E615" s="10"/>
      <c r="F615" s="10"/>
      <c r="G615" s="10"/>
      <c r="H615" s="10"/>
      <c r="I615" s="10" t="str">
        <f>IF(pts_traje!$I615&lt;&gt;0,(ROUND(pts_traje!$I615+(pts_traje!$I615*0.02*pts_traje!$H615/1000),0)),"")</f>
        <v/>
      </c>
      <c r="J615" s="10"/>
    </row>
    <row r="616">
      <c r="A616" s="1" t="str">
        <f>IFNA(right(VLOOKUP(pts_traje!$A616,trj!$B$2:$D1000,3,FALSE),4),"")</f>
        <v/>
      </c>
      <c r="B616" s="10"/>
      <c r="C616" s="10"/>
      <c r="D616" s="1" t="str">
        <f>IFNA(VLOOKUP(pts_traje!$D616,FIX!$A$2:$D1000,4,FALSE),"")</f>
        <v/>
      </c>
      <c r="E616" s="10"/>
      <c r="F616" s="10"/>
      <c r="G616" s="10"/>
      <c r="H616" s="10"/>
      <c r="I616" s="10" t="str">
        <f>IF(pts_traje!$I616&lt;&gt;0,(ROUND(pts_traje!$I616+(pts_traje!$I616*0.02*pts_traje!$H616/1000),0)),"")</f>
        <v/>
      </c>
      <c r="J616" s="10"/>
    </row>
    <row r="617">
      <c r="A617" s="1" t="str">
        <f>IFNA(right(VLOOKUP(pts_traje!$A617,trj!$B$2:$D1000,3,FALSE),4),"")</f>
        <v/>
      </c>
      <c r="B617" s="10"/>
      <c r="C617" s="10"/>
      <c r="D617" s="1" t="str">
        <f>IFNA(VLOOKUP(pts_traje!$D617,FIX!$A$2:$D1000,4,FALSE),"")</f>
        <v/>
      </c>
      <c r="E617" s="10"/>
      <c r="F617" s="10"/>
      <c r="G617" s="10"/>
      <c r="H617" s="10"/>
      <c r="I617" s="10" t="str">
        <f>IF(pts_traje!$I617&lt;&gt;0,(ROUND(pts_traje!$I617+(pts_traje!$I617*0.02*pts_traje!$H617/1000),0)),"")</f>
        <v/>
      </c>
      <c r="J617" s="10"/>
    </row>
    <row r="618">
      <c r="A618" s="1" t="str">
        <f>IFNA(right(VLOOKUP(pts_traje!$A618,trj!$B$2:$D1000,3,FALSE),4),"")</f>
        <v/>
      </c>
      <c r="B618" s="10"/>
      <c r="C618" s="10"/>
      <c r="D618" s="1" t="str">
        <f>IFNA(VLOOKUP(pts_traje!$D618,FIX!$A$2:$D1000,4,FALSE),"")</f>
        <v/>
      </c>
      <c r="E618" s="10"/>
      <c r="F618" s="10"/>
      <c r="G618" s="10"/>
      <c r="H618" s="10"/>
      <c r="I618" s="10" t="str">
        <f>IF(pts_traje!$I618&lt;&gt;0,(ROUND(pts_traje!$I618+(pts_traje!$I618*0.02*pts_traje!$H618/1000),0)),"")</f>
        <v/>
      </c>
      <c r="J618" s="10"/>
    </row>
    <row r="619">
      <c r="A619" s="1" t="str">
        <f>IFNA(right(VLOOKUP(pts_traje!$A619,trj!$B$2:$D1000,3,FALSE),4),"")</f>
        <v/>
      </c>
      <c r="B619" s="10"/>
      <c r="C619" s="10"/>
      <c r="D619" s="1" t="str">
        <f>IFNA(VLOOKUP(pts_traje!$D619,FIX!$A$2:$D1000,4,FALSE),"")</f>
        <v/>
      </c>
      <c r="E619" s="10"/>
      <c r="F619" s="10"/>
      <c r="G619" s="10"/>
      <c r="H619" s="10"/>
      <c r="I619" s="10" t="str">
        <f>IF(pts_traje!$I619&lt;&gt;0,(ROUND(pts_traje!$I619+(pts_traje!$I619*0.02*pts_traje!$H619/1000),0)),"")</f>
        <v/>
      </c>
      <c r="J619" s="10"/>
    </row>
    <row r="620">
      <c r="A620" s="1" t="str">
        <f>IFNA(right(VLOOKUP(pts_traje!$A620,trj!$B$2:$D1000,3,FALSE),4),"")</f>
        <v/>
      </c>
      <c r="B620" s="10"/>
      <c r="C620" s="10"/>
      <c r="D620" s="1" t="str">
        <f>IFNA(VLOOKUP(pts_traje!$D620,FIX!$A$2:$D1000,4,FALSE),"")</f>
        <v/>
      </c>
      <c r="E620" s="10"/>
      <c r="F620" s="10"/>
      <c r="G620" s="10"/>
      <c r="H620" s="10"/>
      <c r="I620" s="10" t="str">
        <f>IF(pts_traje!$I620&lt;&gt;0,(ROUND(pts_traje!$I620+(pts_traje!$I620*0.02*pts_traje!$H620/1000),0)),"")</f>
        <v/>
      </c>
      <c r="J620" s="10"/>
    </row>
    <row r="621">
      <c r="A621" s="1" t="str">
        <f>IFNA(right(VLOOKUP(pts_traje!$A621,trj!$B$2:$D1000,3,FALSE),4),"")</f>
        <v/>
      </c>
      <c r="B621" s="10"/>
      <c r="C621" s="10"/>
      <c r="D621" s="1" t="str">
        <f>IFNA(VLOOKUP(pts_traje!$D621,FIX!$A$2:$D1000,4,FALSE),"")</f>
        <v/>
      </c>
      <c r="E621" s="10"/>
      <c r="F621" s="10"/>
      <c r="G621" s="10"/>
      <c r="H621" s="10"/>
      <c r="I621" s="10" t="str">
        <f>IF(pts_traje!$I621&lt;&gt;0,(ROUND(pts_traje!$I621+(pts_traje!$I621*0.02*pts_traje!$H621/1000),0)),"")</f>
        <v/>
      </c>
      <c r="J621" s="10"/>
    </row>
    <row r="622">
      <c r="A622" s="1" t="str">
        <f>IFNA(right(VLOOKUP(pts_traje!$A622,trj!$B$2:$D1000,3,FALSE),4),"")</f>
        <v/>
      </c>
      <c r="B622" s="10"/>
      <c r="C622" s="10"/>
      <c r="D622" s="1" t="str">
        <f>IFNA(VLOOKUP(pts_traje!$D622,FIX!$A$2:$D1000,4,FALSE),"")</f>
        <v/>
      </c>
      <c r="E622" s="10"/>
      <c r="F622" s="10"/>
      <c r="G622" s="10"/>
      <c r="H622" s="10"/>
      <c r="I622" s="10" t="str">
        <f>IF(pts_traje!$I622&lt;&gt;0,(ROUND(pts_traje!$I622+(pts_traje!$I622*0.02*pts_traje!$H622/1000),0)),"")</f>
        <v/>
      </c>
      <c r="J622" s="10"/>
    </row>
    <row r="623">
      <c r="A623" s="1" t="str">
        <f>IFNA(right(VLOOKUP(pts_traje!$A623,trj!$B$2:$D1000,3,FALSE),4),"")</f>
        <v/>
      </c>
      <c r="B623" s="10"/>
      <c r="C623" s="10"/>
      <c r="D623" s="1" t="str">
        <f>IFNA(VLOOKUP(pts_traje!$D623,FIX!$A$2:$D1000,4,FALSE),"")</f>
        <v/>
      </c>
      <c r="E623" s="10"/>
      <c r="F623" s="10"/>
      <c r="G623" s="10"/>
      <c r="H623" s="10"/>
      <c r="I623" s="10" t="str">
        <f>IF(pts_traje!$I623&lt;&gt;0,(ROUND(pts_traje!$I623+(pts_traje!$I623*0.02*pts_traje!$H623/1000),0)),"")</f>
        <v/>
      </c>
      <c r="J623" s="10"/>
    </row>
    <row r="624">
      <c r="A624" s="1" t="str">
        <f>IFNA(right(VLOOKUP(pts_traje!$A624,trj!$B$2:$D1000,3,FALSE),4),"")</f>
        <v/>
      </c>
      <c r="B624" s="10"/>
      <c r="C624" s="10"/>
      <c r="D624" s="1" t="str">
        <f>IFNA(VLOOKUP(pts_traje!$D624,FIX!$A$2:$D1000,4,FALSE),"")</f>
        <v/>
      </c>
      <c r="E624" s="10"/>
      <c r="F624" s="10"/>
      <c r="G624" s="10"/>
      <c r="H624" s="10"/>
      <c r="I624" s="10" t="str">
        <f>IF(pts_traje!$I624&lt;&gt;0,(ROUND(pts_traje!$I624+(pts_traje!$I624*0.02*pts_traje!$H624/1000),0)),"")</f>
        <v/>
      </c>
      <c r="J624" s="10"/>
    </row>
    <row r="625">
      <c r="A625" s="1" t="str">
        <f>IFNA(right(VLOOKUP(pts_traje!$A625,trj!$B$2:$D1000,3,FALSE),4),"")</f>
        <v/>
      </c>
      <c r="B625" s="10"/>
      <c r="C625" s="10"/>
      <c r="D625" s="1" t="str">
        <f>IFNA(VLOOKUP(pts_traje!$D625,FIX!$A$2:$D1000,4,FALSE),"")</f>
        <v/>
      </c>
      <c r="E625" s="10"/>
      <c r="F625" s="10"/>
      <c r="G625" s="10"/>
      <c r="H625" s="10"/>
      <c r="I625" s="10" t="str">
        <f>IF(pts_traje!$I625&lt;&gt;0,(ROUND(pts_traje!$I625+(pts_traje!$I625*0.02*pts_traje!$H625/1000),0)),"")</f>
        <v/>
      </c>
      <c r="J625" s="10"/>
    </row>
    <row r="626">
      <c r="A626" s="1" t="str">
        <f>IFNA(right(VLOOKUP(pts_traje!$A626,trj!$B$2:$D1000,3,FALSE),4),"")</f>
        <v/>
      </c>
      <c r="B626" s="10"/>
      <c r="C626" s="10"/>
      <c r="D626" s="1" t="str">
        <f>IFNA(VLOOKUP(pts_traje!$D626,FIX!$A$2:$D1000,4,FALSE),"")</f>
        <v/>
      </c>
      <c r="E626" s="10"/>
      <c r="F626" s="10"/>
      <c r="G626" s="10"/>
      <c r="H626" s="10"/>
      <c r="I626" s="10" t="str">
        <f>IF(pts_traje!$I626&lt;&gt;0,(ROUND(pts_traje!$I626+(pts_traje!$I626*0.02*pts_traje!$H626/1000),0)),"")</f>
        <v/>
      </c>
      <c r="J626" s="10"/>
    </row>
    <row r="627">
      <c r="A627" s="1" t="str">
        <f>IFNA(right(VLOOKUP(pts_traje!$A627,trj!$B$2:$D1000,3,FALSE),4),"")</f>
        <v/>
      </c>
      <c r="B627" s="10"/>
      <c r="C627" s="10"/>
      <c r="D627" s="1" t="str">
        <f>IFNA(VLOOKUP(pts_traje!$D627,FIX!$A$2:$D1000,4,FALSE),"")</f>
        <v/>
      </c>
      <c r="E627" s="10"/>
      <c r="F627" s="10"/>
      <c r="G627" s="10"/>
      <c r="H627" s="10"/>
      <c r="I627" s="10" t="str">
        <f>IF(pts_traje!$I627&lt;&gt;0,(ROUND(pts_traje!$I627+(pts_traje!$I627*0.02*pts_traje!$H627/1000),0)),"")</f>
        <v/>
      </c>
      <c r="J627" s="10"/>
    </row>
    <row r="628">
      <c r="A628" s="1" t="str">
        <f>IFNA(right(VLOOKUP(pts_traje!$A628,trj!$B$2:$D1000,3,FALSE),4),"")</f>
        <v/>
      </c>
      <c r="B628" s="10"/>
      <c r="C628" s="10"/>
      <c r="D628" s="1" t="str">
        <f>IFNA(VLOOKUP(pts_traje!$D628,FIX!$A$2:$D1000,4,FALSE),"")</f>
        <v/>
      </c>
      <c r="E628" s="10"/>
      <c r="F628" s="10"/>
      <c r="G628" s="10"/>
      <c r="H628" s="10"/>
      <c r="I628" s="10" t="str">
        <f>IF(pts_traje!$I628&lt;&gt;0,(ROUND(pts_traje!$I628+(pts_traje!$I628*0.02*pts_traje!$H628/1000),0)),"")</f>
        <v/>
      </c>
      <c r="J628" s="10"/>
    </row>
    <row r="629">
      <c r="A629" s="1" t="str">
        <f>IFNA(right(VLOOKUP(pts_traje!$A629,trj!$B$2:$D1000,3,FALSE),4),"")</f>
        <v/>
      </c>
      <c r="B629" s="10"/>
      <c r="C629" s="10"/>
      <c r="D629" s="1" t="str">
        <f>IFNA(VLOOKUP(pts_traje!$D629,FIX!$A$2:$D1000,4,FALSE),"")</f>
        <v/>
      </c>
      <c r="E629" s="10"/>
      <c r="F629" s="10"/>
      <c r="G629" s="10"/>
      <c r="H629" s="10"/>
      <c r="I629" s="10" t="str">
        <f>IF(pts_traje!$I629&lt;&gt;0,(ROUND(pts_traje!$I629+(pts_traje!$I629*0.02*pts_traje!$H629/1000),0)),"")</f>
        <v/>
      </c>
      <c r="J629" s="10"/>
    </row>
    <row r="630">
      <c r="A630" s="1" t="str">
        <f>IFNA(right(VLOOKUP(pts_traje!$A630,trj!$B$2:$D1000,3,FALSE),4),"")</f>
        <v/>
      </c>
      <c r="B630" s="10"/>
      <c r="C630" s="10"/>
      <c r="D630" s="1" t="str">
        <f>IFNA(VLOOKUP(pts_traje!$D630,FIX!$A$2:$D1000,4,FALSE),"")</f>
        <v/>
      </c>
      <c r="E630" s="10"/>
      <c r="F630" s="10"/>
      <c r="G630" s="10"/>
      <c r="H630" s="10"/>
      <c r="I630" s="10" t="str">
        <f>IF(pts_traje!$I630&lt;&gt;0,(ROUND(pts_traje!$I630+(pts_traje!$I630*0.02*pts_traje!$H630/1000),0)),"")</f>
        <v/>
      </c>
      <c r="J630" s="10"/>
    </row>
    <row r="631">
      <c r="A631" s="1" t="str">
        <f>IFNA(right(VLOOKUP(pts_traje!$A631,trj!$B$2:$D1000,3,FALSE),4),"")</f>
        <v/>
      </c>
      <c r="B631" s="10"/>
      <c r="C631" s="10"/>
      <c r="D631" s="1" t="str">
        <f>IFNA(VLOOKUP(pts_traje!$D631,FIX!$A$2:$D1000,4,FALSE),"")</f>
        <v/>
      </c>
      <c r="E631" s="10"/>
      <c r="F631" s="10"/>
      <c r="G631" s="10"/>
      <c r="H631" s="10"/>
      <c r="I631" s="10" t="str">
        <f>IF(pts_traje!$I631&lt;&gt;0,(ROUND(pts_traje!$I631+(pts_traje!$I631*0.02*pts_traje!$H631/1000),0)),"")</f>
        <v/>
      </c>
      <c r="J631" s="10"/>
    </row>
    <row r="632">
      <c r="A632" s="1" t="str">
        <f>IFNA(right(VLOOKUP(pts_traje!$A632,trj!$B$2:$D1000,3,FALSE),4),"")</f>
        <v/>
      </c>
      <c r="B632" s="10"/>
      <c r="C632" s="10"/>
      <c r="D632" s="1" t="str">
        <f>IFNA(VLOOKUP(pts_traje!$D632,FIX!$A$2:$D1000,4,FALSE),"")</f>
        <v/>
      </c>
      <c r="E632" s="10"/>
      <c r="F632" s="10"/>
      <c r="G632" s="10"/>
      <c r="H632" s="10"/>
      <c r="I632" s="10" t="str">
        <f>IF(pts_traje!$I632&lt;&gt;0,(ROUND(pts_traje!$I632+(pts_traje!$I632*0.02*pts_traje!$H632/1000),0)),"")</f>
        <v/>
      </c>
      <c r="J632" s="10"/>
    </row>
    <row r="633">
      <c r="A633" s="1" t="str">
        <f>IFNA(right(VLOOKUP(pts_traje!$A633,trj!$B$2:$D1000,3,FALSE),4),"")</f>
        <v/>
      </c>
      <c r="B633" s="10"/>
      <c r="C633" s="10"/>
      <c r="D633" s="1" t="str">
        <f>IFNA(VLOOKUP(pts_traje!$D633,FIX!$A$2:$D1000,4,FALSE),"")</f>
        <v/>
      </c>
      <c r="E633" s="10"/>
      <c r="F633" s="10"/>
      <c r="G633" s="10"/>
      <c r="H633" s="10"/>
      <c r="I633" s="10" t="str">
        <f>IF(pts_traje!$I633&lt;&gt;0,(ROUND(pts_traje!$I633+(pts_traje!$I633*0.02*pts_traje!$H633/1000),0)),"")</f>
        <v/>
      </c>
      <c r="J633" s="10"/>
    </row>
    <row r="634">
      <c r="A634" s="1" t="str">
        <f>IFNA(right(VLOOKUP(pts_traje!$A634,trj!$B$2:$D1000,3,FALSE),4),"")</f>
        <v/>
      </c>
      <c r="B634" s="10"/>
      <c r="C634" s="10"/>
      <c r="D634" s="1" t="str">
        <f>IFNA(VLOOKUP(pts_traje!$D634,FIX!$A$2:$D1000,4,FALSE),"")</f>
        <v/>
      </c>
      <c r="E634" s="10"/>
      <c r="F634" s="10"/>
      <c r="G634" s="10"/>
      <c r="H634" s="10"/>
      <c r="I634" s="10" t="str">
        <f>IF(pts_traje!$I634&lt;&gt;0,(ROUND(pts_traje!$I634+(pts_traje!$I634*0.02*pts_traje!$H634/1000),0)),"")</f>
        <v/>
      </c>
      <c r="J634" s="10"/>
    </row>
    <row r="635">
      <c r="A635" s="1" t="str">
        <f>IFNA(right(VLOOKUP(pts_traje!$A635,trj!$B$2:$D1000,3,FALSE),4),"")</f>
        <v/>
      </c>
      <c r="B635" s="10"/>
      <c r="C635" s="10"/>
      <c r="D635" s="1" t="str">
        <f>IFNA(VLOOKUP(pts_traje!$D635,FIX!$A$2:$D1000,4,FALSE),"")</f>
        <v/>
      </c>
      <c r="E635" s="10"/>
      <c r="F635" s="10"/>
      <c r="G635" s="10"/>
      <c r="H635" s="10"/>
      <c r="I635" s="10" t="str">
        <f>IF(pts_traje!$I635&lt;&gt;0,(ROUND(pts_traje!$I635+(pts_traje!$I635*0.02*pts_traje!$H635/1000),0)),"")</f>
        <v/>
      </c>
      <c r="J635" s="10"/>
    </row>
    <row r="636">
      <c r="A636" s="1" t="str">
        <f>IFNA(right(VLOOKUP(pts_traje!$A636,trj!$B$2:$D1000,3,FALSE),4),"")</f>
        <v/>
      </c>
      <c r="B636" s="10"/>
      <c r="C636" s="10"/>
      <c r="D636" s="1" t="str">
        <f>IFNA(VLOOKUP(pts_traje!$D636,FIX!$A$2:$D1000,4,FALSE),"")</f>
        <v/>
      </c>
      <c r="E636" s="10"/>
      <c r="F636" s="10"/>
      <c r="G636" s="10"/>
      <c r="H636" s="10"/>
      <c r="I636" s="10" t="str">
        <f>IF(pts_traje!$I636&lt;&gt;0,(ROUND(pts_traje!$I636+(pts_traje!$I636*0.02*pts_traje!$H636/1000),0)),"")</f>
        <v/>
      </c>
      <c r="J636" s="10"/>
    </row>
    <row r="637">
      <c r="A637" s="1" t="str">
        <f>IFNA(right(VLOOKUP(pts_traje!$A637,trj!$B$2:$D1000,3,FALSE),4),"")</f>
        <v/>
      </c>
      <c r="B637" s="10"/>
      <c r="C637" s="10"/>
      <c r="D637" s="1" t="str">
        <f>IFNA(VLOOKUP(pts_traje!$D637,FIX!$A$2:$D1000,4,FALSE),"")</f>
        <v/>
      </c>
      <c r="E637" s="10"/>
      <c r="F637" s="10"/>
      <c r="G637" s="10"/>
      <c r="H637" s="10"/>
      <c r="I637" s="10" t="str">
        <f>IF(pts_traje!$I637&lt;&gt;0,(ROUND(pts_traje!$I637+(pts_traje!$I637*0.02*pts_traje!$H637/1000),0)),"")</f>
        <v/>
      </c>
      <c r="J637" s="10"/>
    </row>
    <row r="638">
      <c r="A638" s="1" t="str">
        <f>IFNA(right(VLOOKUP(pts_traje!$A638,trj!$B$2:$D1000,3,FALSE),4),"")</f>
        <v/>
      </c>
      <c r="B638" s="10"/>
      <c r="C638" s="10"/>
      <c r="D638" s="1" t="str">
        <f>IFNA(VLOOKUP(pts_traje!$D638,FIX!$A$2:$D1000,4,FALSE),"")</f>
        <v/>
      </c>
      <c r="E638" s="10"/>
      <c r="F638" s="10"/>
      <c r="G638" s="10"/>
      <c r="H638" s="10"/>
      <c r="I638" s="10" t="str">
        <f>IF(pts_traje!$I638&lt;&gt;0,(ROUND(pts_traje!$I638+(pts_traje!$I638*0.02*pts_traje!$H638/1000),0)),"")</f>
        <v/>
      </c>
      <c r="J638" s="10"/>
    </row>
    <row r="639">
      <c r="A639" s="1" t="str">
        <f>IFNA(right(VLOOKUP(pts_traje!$A639,trj!$B$2:$D1000,3,FALSE),4),"")</f>
        <v/>
      </c>
      <c r="B639" s="10"/>
      <c r="C639" s="10"/>
      <c r="D639" s="1" t="str">
        <f>IFNA(VLOOKUP(pts_traje!$D639,FIX!$A$2:$D1000,4,FALSE),"")</f>
        <v/>
      </c>
      <c r="E639" s="10"/>
      <c r="F639" s="10"/>
      <c r="G639" s="10"/>
      <c r="H639" s="10"/>
      <c r="I639" s="10" t="str">
        <f>IF(pts_traje!$I639&lt;&gt;0,(ROUND(pts_traje!$I639+(pts_traje!$I639*0.02*pts_traje!$H639/1000),0)),"")</f>
        <v/>
      </c>
      <c r="J639" s="10"/>
    </row>
    <row r="640">
      <c r="A640" s="1" t="str">
        <f>IFNA(right(VLOOKUP(pts_traje!$A640,trj!$B$2:$D1000,3,FALSE),4),"")</f>
        <v/>
      </c>
      <c r="B640" s="10"/>
      <c r="C640" s="10"/>
      <c r="D640" s="1" t="str">
        <f>IFNA(VLOOKUP(pts_traje!$D640,FIX!$A$2:$D1000,4,FALSE),"")</f>
        <v/>
      </c>
      <c r="E640" s="10"/>
      <c r="F640" s="10"/>
      <c r="G640" s="10"/>
      <c r="H640" s="10"/>
      <c r="I640" s="10" t="str">
        <f>IF(pts_traje!$I640&lt;&gt;0,(ROUND(pts_traje!$I640+(pts_traje!$I640*0.02*pts_traje!$H640/1000),0)),"")</f>
        <v/>
      </c>
      <c r="J640" s="10"/>
    </row>
    <row r="641">
      <c r="A641" s="1" t="str">
        <f>IFNA(right(VLOOKUP(pts_traje!$A641,trj!$B$2:$D1000,3,FALSE),4),"")</f>
        <v/>
      </c>
      <c r="B641" s="10"/>
      <c r="C641" s="10"/>
      <c r="D641" s="1" t="str">
        <f>IFNA(VLOOKUP(pts_traje!$D641,FIX!$A$2:$D1000,4,FALSE),"")</f>
        <v/>
      </c>
      <c r="E641" s="10"/>
      <c r="F641" s="10"/>
      <c r="G641" s="10"/>
      <c r="H641" s="10"/>
      <c r="I641" s="10" t="str">
        <f>IF(pts_traje!$I641&lt;&gt;0,(ROUND(pts_traje!$I641+(pts_traje!$I641*0.02*pts_traje!$H641/1000),0)),"")</f>
        <v/>
      </c>
      <c r="J641" s="10"/>
    </row>
    <row r="642">
      <c r="A642" s="1" t="str">
        <f>IFNA(right(VLOOKUP(pts_traje!$A642,trj!$B$2:$D1000,3,FALSE),4),"")</f>
        <v/>
      </c>
      <c r="B642" s="10"/>
      <c r="C642" s="10"/>
      <c r="D642" s="1" t="str">
        <f>IFNA(VLOOKUP(pts_traje!$D642,FIX!$A$2:$D1000,4,FALSE),"")</f>
        <v/>
      </c>
      <c r="E642" s="10"/>
      <c r="F642" s="10"/>
      <c r="G642" s="10"/>
      <c r="H642" s="10"/>
      <c r="I642" s="10" t="str">
        <f>IF(pts_traje!$I642&lt;&gt;0,(ROUND(pts_traje!$I642+(pts_traje!$I642*0.02*pts_traje!$H642/1000),0)),"")</f>
        <v/>
      </c>
      <c r="J642" s="10"/>
    </row>
    <row r="643">
      <c r="A643" s="1" t="str">
        <f>IFNA(right(VLOOKUP(pts_traje!$A643,trj!$B$2:$D1000,3,FALSE),4),"")</f>
        <v/>
      </c>
      <c r="B643" s="10"/>
      <c r="C643" s="10"/>
      <c r="D643" s="1" t="str">
        <f>IFNA(VLOOKUP(pts_traje!$D643,FIX!$A$2:$D1000,4,FALSE),"")</f>
        <v/>
      </c>
      <c r="E643" s="10"/>
      <c r="F643" s="10"/>
      <c r="G643" s="10"/>
      <c r="H643" s="10"/>
      <c r="I643" s="10" t="str">
        <f>IF(pts_traje!$I643&lt;&gt;0,(ROUND(pts_traje!$I643+(pts_traje!$I643*0.02*pts_traje!$H643/1000),0)),"")</f>
        <v/>
      </c>
      <c r="J643" s="10"/>
    </row>
    <row r="644">
      <c r="A644" s="1" t="str">
        <f>IFNA(right(VLOOKUP(pts_traje!$A644,trj!$B$2:$D1000,3,FALSE),4),"")</f>
        <v/>
      </c>
      <c r="B644" s="10"/>
      <c r="C644" s="10"/>
      <c r="D644" s="1" t="str">
        <f>IFNA(VLOOKUP(pts_traje!$D644,FIX!$A$2:$D1000,4,FALSE),"")</f>
        <v/>
      </c>
      <c r="E644" s="10"/>
      <c r="F644" s="10"/>
      <c r="G644" s="10"/>
      <c r="H644" s="10"/>
      <c r="I644" s="10" t="str">
        <f>IF(pts_traje!$I644&lt;&gt;0,(ROUND(pts_traje!$I644+(pts_traje!$I644*0.02*pts_traje!$H644/1000),0)),"")</f>
        <v/>
      </c>
      <c r="J644" s="10"/>
    </row>
    <row r="645">
      <c r="A645" s="1" t="str">
        <f>IFNA(right(VLOOKUP(pts_traje!$A645,trj!$B$2:$D1000,3,FALSE),4),"")</f>
        <v/>
      </c>
      <c r="B645" s="10"/>
      <c r="C645" s="10"/>
      <c r="D645" s="1" t="str">
        <f>IFNA(VLOOKUP(pts_traje!$D645,FIX!$A$2:$D1000,4,FALSE),"")</f>
        <v/>
      </c>
      <c r="E645" s="10"/>
      <c r="F645" s="10"/>
      <c r="G645" s="10"/>
      <c r="H645" s="10"/>
      <c r="I645" s="10" t="str">
        <f>IF(pts_traje!$I645&lt;&gt;0,(ROUND(pts_traje!$I645+(pts_traje!$I645*0.02*pts_traje!$H645/1000),0)),"")</f>
        <v/>
      </c>
      <c r="J645" s="10"/>
    </row>
    <row r="646">
      <c r="A646" s="1" t="str">
        <f>IFNA(right(VLOOKUP(pts_traje!$A646,trj!$B$2:$D1000,3,FALSE),4),"")</f>
        <v/>
      </c>
      <c r="B646" s="10"/>
      <c r="C646" s="10"/>
      <c r="D646" s="1" t="str">
        <f>IFNA(VLOOKUP(pts_traje!$D646,FIX!$A$2:$D1000,4,FALSE),"")</f>
        <v/>
      </c>
      <c r="E646" s="10"/>
      <c r="F646" s="10"/>
      <c r="G646" s="10"/>
      <c r="H646" s="10"/>
      <c r="I646" s="10" t="str">
        <f>IF(pts_traje!$I646&lt;&gt;0,(ROUND(pts_traje!$I646+(pts_traje!$I646*0.02*pts_traje!$H646/1000),0)),"")</f>
        <v/>
      </c>
      <c r="J646" s="10"/>
    </row>
    <row r="647">
      <c r="A647" s="1" t="str">
        <f>IFNA(right(VLOOKUP(pts_traje!$A647,trj!$B$2:$D1000,3,FALSE),4),"")</f>
        <v/>
      </c>
      <c r="B647" s="10"/>
      <c r="C647" s="10"/>
      <c r="D647" s="1" t="str">
        <f>IFNA(VLOOKUP(pts_traje!$D647,FIX!$A$2:$D1000,4,FALSE),"")</f>
        <v/>
      </c>
      <c r="E647" s="10"/>
      <c r="F647" s="10"/>
      <c r="G647" s="10"/>
      <c r="H647" s="10"/>
      <c r="I647" s="10" t="str">
        <f>IF(pts_traje!$I647&lt;&gt;0,(ROUND(pts_traje!$I647+(pts_traje!$I647*0.02*pts_traje!$H647/1000),0)),"")</f>
        <v/>
      </c>
      <c r="J647" s="10"/>
    </row>
    <row r="648">
      <c r="A648" s="1" t="str">
        <f>IFNA(right(VLOOKUP(pts_traje!$A648,trj!$B$2:$D1000,3,FALSE),4),"")</f>
        <v/>
      </c>
      <c r="B648" s="10"/>
      <c r="C648" s="10"/>
      <c r="D648" s="1" t="str">
        <f>IFNA(VLOOKUP(pts_traje!$D648,FIX!$A$2:$D1000,4,FALSE),"")</f>
        <v/>
      </c>
      <c r="E648" s="10"/>
      <c r="F648" s="10"/>
      <c r="G648" s="10"/>
      <c r="H648" s="10"/>
      <c r="I648" s="10" t="str">
        <f>IF(pts_traje!$I648&lt;&gt;0,(ROUND(pts_traje!$I648+(pts_traje!$I648*0.02*pts_traje!$H648/1000),0)),"")</f>
        <v/>
      </c>
      <c r="J648" s="10"/>
    </row>
    <row r="649">
      <c r="A649" s="1" t="str">
        <f>IFNA(right(VLOOKUP(pts_traje!$A649,trj!$B$2:$D1000,3,FALSE),4),"")</f>
        <v/>
      </c>
      <c r="B649" s="10"/>
      <c r="C649" s="10"/>
      <c r="D649" s="1" t="str">
        <f>IFNA(VLOOKUP(pts_traje!$D649,FIX!$A$2:$D1000,4,FALSE),"")</f>
        <v/>
      </c>
      <c r="E649" s="10"/>
      <c r="F649" s="10"/>
      <c r="G649" s="10"/>
      <c r="H649" s="10"/>
      <c r="I649" s="10" t="str">
        <f>IF(pts_traje!$I649&lt;&gt;0,(ROUND(pts_traje!$I649+(pts_traje!$I649*0.02*pts_traje!$H649/1000),0)),"")</f>
        <v/>
      </c>
      <c r="J649" s="10"/>
    </row>
    <row r="650">
      <c r="A650" s="1" t="str">
        <f>IFNA(right(VLOOKUP(pts_traje!$A650,trj!$B$2:$D1000,3,FALSE),4),"")</f>
        <v/>
      </c>
      <c r="B650" s="10"/>
      <c r="C650" s="10"/>
      <c r="D650" s="1" t="str">
        <f>IFNA(VLOOKUP(pts_traje!$D650,FIX!$A$2:$D1000,4,FALSE),"")</f>
        <v/>
      </c>
      <c r="E650" s="10"/>
      <c r="F650" s="10"/>
      <c r="G650" s="10"/>
      <c r="H650" s="10"/>
      <c r="I650" s="10" t="str">
        <f>IF(pts_traje!$I650&lt;&gt;0,(ROUND(pts_traje!$I650+(pts_traje!$I650*0.02*pts_traje!$H650/1000),0)),"")</f>
        <v/>
      </c>
      <c r="J650" s="10"/>
    </row>
    <row r="651">
      <c r="A651" s="1" t="str">
        <f>IFNA(right(VLOOKUP(pts_traje!$A651,trj!$B$2:$D1000,3,FALSE),4),"")</f>
        <v/>
      </c>
      <c r="B651" s="10"/>
      <c r="C651" s="10"/>
      <c r="D651" s="1" t="str">
        <f>IFNA(VLOOKUP(pts_traje!$D651,FIX!$A$2:$D1000,4,FALSE),"")</f>
        <v/>
      </c>
      <c r="E651" s="10"/>
      <c r="F651" s="10"/>
      <c r="G651" s="10"/>
      <c r="H651" s="10"/>
      <c r="I651" s="10" t="str">
        <f>IF(pts_traje!$I651&lt;&gt;0,(ROUND(pts_traje!$I651+(pts_traje!$I651*0.02*pts_traje!$H651/1000),0)),"")</f>
        <v/>
      </c>
      <c r="J651" s="10"/>
    </row>
    <row r="652">
      <c r="A652" s="1" t="str">
        <f>IFNA(right(VLOOKUP(pts_traje!$A652,trj!$B$2:$D1000,3,FALSE),4),"")</f>
        <v/>
      </c>
      <c r="B652" s="10"/>
      <c r="C652" s="10"/>
      <c r="D652" s="1" t="str">
        <f>IFNA(VLOOKUP(pts_traje!$D652,FIX!$A$2:$D1000,4,FALSE),"")</f>
        <v/>
      </c>
      <c r="E652" s="10"/>
      <c r="F652" s="10"/>
      <c r="G652" s="10"/>
      <c r="H652" s="10"/>
      <c r="I652" s="10" t="str">
        <f>IF(pts_traje!$I652&lt;&gt;0,(ROUND(pts_traje!$I652+(pts_traje!$I652*0.02*pts_traje!$H652/1000),0)),"")</f>
        <v/>
      </c>
      <c r="J652" s="10"/>
    </row>
    <row r="653">
      <c r="A653" s="1" t="str">
        <f>IFNA(right(VLOOKUP(pts_traje!$A653,trj!$B$2:$D1000,3,FALSE),4),"")</f>
        <v/>
      </c>
      <c r="B653" s="10"/>
      <c r="C653" s="10"/>
      <c r="D653" s="1" t="str">
        <f>IFNA(VLOOKUP(pts_traje!$D653,FIX!$A$2:$D1000,4,FALSE),"")</f>
        <v/>
      </c>
      <c r="E653" s="10"/>
      <c r="F653" s="10"/>
      <c r="G653" s="10"/>
      <c r="H653" s="10"/>
      <c r="I653" s="10" t="str">
        <f>IF(pts_traje!$I653&lt;&gt;0,(ROUND(pts_traje!$I653+(pts_traje!$I653*0.02*pts_traje!$H653/1000),0)),"")</f>
        <v/>
      </c>
      <c r="J653" s="10"/>
    </row>
    <row r="654">
      <c r="A654" s="1" t="str">
        <f>IFNA(right(VLOOKUP(pts_traje!$A654,trj!$B$2:$D1000,3,FALSE),4),"")</f>
        <v/>
      </c>
      <c r="B654" s="10"/>
      <c r="C654" s="10"/>
      <c r="D654" s="1" t="str">
        <f>IFNA(VLOOKUP(pts_traje!$D654,FIX!$A$2:$D1000,4,FALSE),"")</f>
        <v/>
      </c>
      <c r="E654" s="10"/>
      <c r="F654" s="10"/>
      <c r="G654" s="10"/>
      <c r="H654" s="10"/>
      <c r="I654" s="10" t="str">
        <f>IF(pts_traje!$I654&lt;&gt;0,(ROUND(pts_traje!$I654+(pts_traje!$I654*0.02*pts_traje!$H654/1000),0)),"")</f>
        <v/>
      </c>
      <c r="J654" s="10"/>
    </row>
    <row r="655">
      <c r="A655" s="1" t="str">
        <f>IFNA(right(VLOOKUP(pts_traje!$A655,trj!$B$2:$D1000,3,FALSE),4),"")</f>
        <v/>
      </c>
      <c r="B655" s="10"/>
      <c r="C655" s="10"/>
      <c r="D655" s="1" t="str">
        <f>IFNA(VLOOKUP(pts_traje!$D655,FIX!$A$2:$D1000,4,FALSE),"")</f>
        <v/>
      </c>
      <c r="E655" s="10"/>
      <c r="F655" s="10"/>
      <c r="G655" s="10"/>
      <c r="H655" s="10"/>
      <c r="I655" s="10" t="str">
        <f>IF(pts_traje!$I655&lt;&gt;0,(ROUND(pts_traje!$I655+(pts_traje!$I655*0.02*pts_traje!$H655/1000),0)),"")</f>
        <v/>
      </c>
      <c r="J655" s="10"/>
    </row>
    <row r="656">
      <c r="A656" s="1" t="str">
        <f>IFNA(right(VLOOKUP(pts_traje!$A656,trj!$B$2:$D1000,3,FALSE),4),"")</f>
        <v/>
      </c>
      <c r="B656" s="10"/>
      <c r="C656" s="10"/>
      <c r="D656" s="1" t="str">
        <f>IFNA(VLOOKUP(pts_traje!$D656,FIX!$A$2:$D1000,4,FALSE),"")</f>
        <v/>
      </c>
      <c r="E656" s="10"/>
      <c r="F656" s="10"/>
      <c r="G656" s="10"/>
      <c r="H656" s="10"/>
      <c r="I656" s="10" t="str">
        <f>IF(pts_traje!$I656&lt;&gt;0,(ROUND(pts_traje!$I656+(pts_traje!$I656*0.02*pts_traje!$H656/1000),0)),"")</f>
        <v/>
      </c>
      <c r="J656" s="10"/>
    </row>
    <row r="657">
      <c r="A657" s="1" t="str">
        <f>IFNA(right(VLOOKUP(pts_traje!$A657,trj!$B$2:$D1000,3,FALSE),4),"")</f>
        <v/>
      </c>
      <c r="B657" s="10"/>
      <c r="C657" s="10"/>
      <c r="D657" s="1" t="str">
        <f>IFNA(VLOOKUP(pts_traje!$D657,FIX!$A$2:$D1000,4,FALSE),"")</f>
        <v/>
      </c>
      <c r="E657" s="10"/>
      <c r="F657" s="10"/>
      <c r="G657" s="10"/>
      <c r="H657" s="10"/>
      <c r="I657" s="10" t="str">
        <f>IF(pts_traje!$I657&lt;&gt;0,(ROUND(pts_traje!$I657+(pts_traje!$I657*0.02*pts_traje!$H657/1000),0)),"")</f>
        <v/>
      </c>
      <c r="J657" s="10"/>
    </row>
    <row r="658">
      <c r="A658" s="1" t="str">
        <f>IFNA(right(VLOOKUP(pts_traje!$A658,trj!$B$2:$D1000,3,FALSE),4),"")</f>
        <v/>
      </c>
      <c r="B658" s="10"/>
      <c r="C658" s="10"/>
      <c r="D658" s="1" t="str">
        <f>IFNA(VLOOKUP(pts_traje!$D658,FIX!$A$2:$D1000,4,FALSE),"")</f>
        <v/>
      </c>
      <c r="E658" s="10"/>
      <c r="F658" s="10"/>
      <c r="G658" s="10"/>
      <c r="H658" s="10"/>
      <c r="I658" s="10" t="str">
        <f>IF(pts_traje!$I658&lt;&gt;0,(ROUND(pts_traje!$I658+(pts_traje!$I658*0.02*pts_traje!$H658/1000),0)),"")</f>
        <v/>
      </c>
      <c r="J658" s="10"/>
    </row>
    <row r="659">
      <c r="A659" s="1" t="str">
        <f>IFNA(right(VLOOKUP(pts_traje!$A659,trj!$B$2:$D1000,3,FALSE),4),"")</f>
        <v/>
      </c>
      <c r="B659" s="10"/>
      <c r="C659" s="10"/>
      <c r="D659" s="1" t="str">
        <f>IFNA(VLOOKUP(pts_traje!$D659,FIX!$A$2:$D1000,4,FALSE),"")</f>
        <v/>
      </c>
      <c r="E659" s="10"/>
      <c r="F659" s="10"/>
      <c r="G659" s="10"/>
      <c r="H659" s="10"/>
      <c r="I659" s="10" t="str">
        <f>IF(pts_traje!$I659&lt;&gt;0,(ROUND(pts_traje!$I659+(pts_traje!$I659*0.02*pts_traje!$H659/1000),0)),"")</f>
        <v/>
      </c>
      <c r="J659" s="10"/>
    </row>
    <row r="660">
      <c r="A660" s="1" t="str">
        <f>IFNA(right(VLOOKUP(pts_traje!$A660,trj!$B$2:$D1000,3,FALSE),4),"")</f>
        <v/>
      </c>
      <c r="B660" s="10"/>
      <c r="C660" s="10"/>
      <c r="D660" s="1" t="str">
        <f>IFNA(VLOOKUP(pts_traje!$D660,FIX!$A$2:$D1000,4,FALSE),"")</f>
        <v/>
      </c>
      <c r="E660" s="10"/>
      <c r="F660" s="10"/>
      <c r="G660" s="10"/>
      <c r="H660" s="10"/>
      <c r="I660" s="10" t="str">
        <f>IF(pts_traje!$I660&lt;&gt;0,(ROUND(pts_traje!$I660+(pts_traje!$I660*0.02*pts_traje!$H660/1000),0)),"")</f>
        <v/>
      </c>
      <c r="J660" s="10"/>
    </row>
    <row r="661">
      <c r="A661" s="1" t="str">
        <f>IFNA(right(VLOOKUP(pts_traje!$A661,trj!$B$2:$D1000,3,FALSE),4),"")</f>
        <v/>
      </c>
      <c r="B661" s="10"/>
      <c r="C661" s="10"/>
      <c r="D661" s="1" t="str">
        <f>IFNA(VLOOKUP(pts_traje!$D661,FIX!$A$2:$D1000,4,FALSE),"")</f>
        <v/>
      </c>
      <c r="E661" s="10"/>
      <c r="F661" s="10"/>
      <c r="G661" s="10"/>
      <c r="H661" s="10"/>
      <c r="I661" s="10" t="str">
        <f>IF(pts_traje!$I661&lt;&gt;0,(ROUND(pts_traje!$I661+(pts_traje!$I661*0.02*pts_traje!$H661/1000),0)),"")</f>
        <v/>
      </c>
      <c r="J661" s="10"/>
    </row>
    <row r="662">
      <c r="A662" s="1" t="str">
        <f>IFNA(right(VLOOKUP(pts_traje!$A662,trj!$B$2:$D1000,3,FALSE),4),"")</f>
        <v/>
      </c>
      <c r="B662" s="10"/>
      <c r="C662" s="10"/>
      <c r="D662" s="1" t="str">
        <f>IFNA(VLOOKUP(pts_traje!$D662,FIX!$A$2:$D1000,4,FALSE),"")</f>
        <v/>
      </c>
      <c r="E662" s="10"/>
      <c r="F662" s="10"/>
      <c r="G662" s="10"/>
      <c r="H662" s="10"/>
      <c r="I662" s="10" t="str">
        <f>IF(pts_traje!$I662&lt;&gt;0,(ROUND(pts_traje!$I662+(pts_traje!$I662*0.02*pts_traje!$H662/1000),0)),"")</f>
        <v/>
      </c>
      <c r="J662" s="10"/>
    </row>
    <row r="663">
      <c r="A663" s="1" t="str">
        <f>IFNA(right(VLOOKUP(pts_traje!$A663,trj!$B$2:$D1000,3,FALSE),4),"")</f>
        <v/>
      </c>
      <c r="B663" s="10"/>
      <c r="C663" s="10"/>
      <c r="D663" s="1" t="str">
        <f>IFNA(VLOOKUP(pts_traje!$D663,FIX!$A$2:$D1000,4,FALSE),"")</f>
        <v/>
      </c>
      <c r="E663" s="10"/>
      <c r="F663" s="10"/>
      <c r="G663" s="10"/>
      <c r="H663" s="10"/>
      <c r="I663" s="10" t="str">
        <f>IF(pts_traje!$I663&lt;&gt;0,(ROUND(pts_traje!$I663+(pts_traje!$I663*0.02*pts_traje!$H663/1000),0)),"")</f>
        <v/>
      </c>
      <c r="J663" s="10"/>
    </row>
    <row r="664">
      <c r="A664" s="1" t="str">
        <f>IFNA(right(VLOOKUP(pts_traje!$A664,trj!$B$2:$D1000,3,FALSE),4),"")</f>
        <v/>
      </c>
      <c r="B664" s="10"/>
      <c r="C664" s="10"/>
      <c r="D664" s="1" t="str">
        <f>IFNA(VLOOKUP(pts_traje!$D664,FIX!$A$2:$D1000,4,FALSE),"")</f>
        <v/>
      </c>
      <c r="E664" s="10"/>
      <c r="F664" s="10"/>
      <c r="G664" s="10"/>
      <c r="H664" s="10"/>
      <c r="I664" s="10" t="str">
        <f>IF(pts_traje!$I664&lt;&gt;0,(ROUND(pts_traje!$I664+(pts_traje!$I664*0.02*pts_traje!$H664/1000),0)),"")</f>
        <v/>
      </c>
      <c r="J664" s="10"/>
    </row>
    <row r="665">
      <c r="A665" s="1" t="str">
        <f>IFNA(right(VLOOKUP(pts_traje!$A665,trj!$B$2:$D1000,3,FALSE),4),"")</f>
        <v/>
      </c>
      <c r="B665" s="10"/>
      <c r="C665" s="10"/>
      <c r="D665" s="1" t="str">
        <f>IFNA(VLOOKUP(pts_traje!$D665,FIX!$A$2:$D1000,4,FALSE),"")</f>
        <v/>
      </c>
      <c r="E665" s="10"/>
      <c r="F665" s="10"/>
      <c r="G665" s="10"/>
      <c r="H665" s="10"/>
      <c r="I665" s="10" t="str">
        <f>IF(pts_traje!$I665&lt;&gt;0,(ROUND(pts_traje!$I665+(pts_traje!$I665*0.02*pts_traje!$H665/1000),0)),"")</f>
        <v/>
      </c>
      <c r="J665" s="10"/>
    </row>
    <row r="666">
      <c r="A666" s="1" t="str">
        <f>IFNA(right(VLOOKUP(pts_traje!$A666,trj!$B$2:$D1000,3,FALSE),4),"")</f>
        <v/>
      </c>
      <c r="B666" s="10"/>
      <c r="C666" s="10"/>
      <c r="D666" s="1" t="str">
        <f>IFNA(VLOOKUP(pts_traje!$D666,FIX!$A$2:$D1000,4,FALSE),"")</f>
        <v/>
      </c>
      <c r="E666" s="10"/>
      <c r="F666" s="10"/>
      <c r="G666" s="10"/>
      <c r="H666" s="10"/>
      <c r="I666" s="10" t="str">
        <f>IF(pts_traje!$I666&lt;&gt;0,(ROUND(pts_traje!$I666+(pts_traje!$I666*0.02*pts_traje!$H666/1000),0)),"")</f>
        <v/>
      </c>
      <c r="J666" s="10"/>
    </row>
    <row r="667">
      <c r="A667" s="1" t="str">
        <f>IFNA(right(VLOOKUP(pts_traje!$A667,trj!$B$2:$D1000,3,FALSE),4),"")</f>
        <v/>
      </c>
      <c r="B667" s="10"/>
      <c r="C667" s="10"/>
      <c r="D667" s="1" t="str">
        <f>IFNA(VLOOKUP(pts_traje!$D667,FIX!$A$2:$D1000,4,FALSE),"")</f>
        <v/>
      </c>
      <c r="E667" s="10"/>
      <c r="F667" s="10"/>
      <c r="G667" s="10"/>
      <c r="H667" s="10"/>
      <c r="I667" s="10" t="str">
        <f>IF(pts_traje!$I667&lt;&gt;0,(ROUND(pts_traje!$I667+(pts_traje!$I667*0.02*pts_traje!$H667/1000),0)),"")</f>
        <v/>
      </c>
      <c r="J667" s="10"/>
    </row>
    <row r="668">
      <c r="A668" s="1" t="str">
        <f>IFNA(right(VLOOKUP(pts_traje!$A668,trj!$B$2:$D1000,3,FALSE),4),"")</f>
        <v/>
      </c>
      <c r="B668" s="10"/>
      <c r="C668" s="10"/>
      <c r="D668" s="1" t="str">
        <f>IFNA(VLOOKUP(pts_traje!$D668,FIX!$A$2:$D1000,4,FALSE),"")</f>
        <v/>
      </c>
      <c r="E668" s="10"/>
      <c r="F668" s="10"/>
      <c r="G668" s="10"/>
      <c r="H668" s="10"/>
      <c r="I668" s="10" t="str">
        <f>IF(pts_traje!$I668&lt;&gt;0,(ROUND(pts_traje!$I668+(pts_traje!$I668*0.02*pts_traje!$H668/1000),0)),"")</f>
        <v/>
      </c>
      <c r="J668" s="10"/>
    </row>
    <row r="669">
      <c r="A669" s="1" t="str">
        <f>IFNA(right(VLOOKUP(pts_traje!$A669,trj!$B$2:$D1000,3,FALSE),4),"")</f>
        <v/>
      </c>
      <c r="B669" s="10"/>
      <c r="C669" s="10"/>
      <c r="D669" s="1" t="str">
        <f>IFNA(VLOOKUP(pts_traje!$D669,FIX!$A$2:$D1000,4,FALSE),"")</f>
        <v/>
      </c>
      <c r="E669" s="10"/>
      <c r="F669" s="10"/>
      <c r="G669" s="10"/>
      <c r="H669" s="10"/>
      <c r="I669" s="10" t="str">
        <f>IF(pts_traje!$I669&lt;&gt;0,(ROUND(pts_traje!$I669+(pts_traje!$I669*0.02*pts_traje!$H669/1000),0)),"")</f>
        <v/>
      </c>
      <c r="J669" s="10"/>
    </row>
    <row r="670">
      <c r="A670" s="1" t="str">
        <f>IFNA(right(VLOOKUP(pts_traje!$A670,trj!$B$2:$D1000,3,FALSE),4),"")</f>
        <v/>
      </c>
      <c r="B670" s="10"/>
      <c r="C670" s="10"/>
      <c r="D670" s="1" t="str">
        <f>IFNA(VLOOKUP(pts_traje!$D670,FIX!$A$2:$D1000,4,FALSE),"")</f>
        <v/>
      </c>
      <c r="E670" s="10"/>
      <c r="F670" s="10"/>
      <c r="G670" s="10"/>
      <c r="H670" s="10"/>
      <c r="I670" s="10" t="str">
        <f>IF(pts_traje!$I670&lt;&gt;0,(ROUND(pts_traje!$I670+(pts_traje!$I670*0.02*pts_traje!$H670/1000),0)),"")</f>
        <v/>
      </c>
      <c r="J670" s="10"/>
    </row>
    <row r="671">
      <c r="A671" s="1" t="str">
        <f>IFNA(right(VLOOKUP(pts_traje!$A671,trj!$B$2:$D1000,3,FALSE),4),"")</f>
        <v/>
      </c>
      <c r="B671" s="10"/>
      <c r="C671" s="10"/>
      <c r="D671" s="1" t="str">
        <f>IFNA(VLOOKUP(pts_traje!$D671,FIX!$A$2:$D1000,4,FALSE),"")</f>
        <v/>
      </c>
      <c r="E671" s="10"/>
      <c r="F671" s="10"/>
      <c r="G671" s="10"/>
      <c r="H671" s="10"/>
      <c r="I671" s="10" t="str">
        <f>IF(pts_traje!$I671&lt;&gt;0,(ROUND(pts_traje!$I671+(pts_traje!$I671*0.02*pts_traje!$H671/1000),0)),"")</f>
        <v/>
      </c>
      <c r="J671" s="10"/>
    </row>
    <row r="672">
      <c r="A672" s="1" t="str">
        <f>IFNA(right(VLOOKUP(pts_traje!$A672,trj!$B$2:$D1000,3,FALSE),4),"")</f>
        <v/>
      </c>
      <c r="B672" s="10"/>
      <c r="C672" s="10"/>
      <c r="D672" s="1" t="str">
        <f>IFNA(VLOOKUP(pts_traje!$D672,FIX!$A$2:$D1000,4,FALSE),"")</f>
        <v/>
      </c>
      <c r="E672" s="10"/>
      <c r="F672" s="10"/>
      <c r="G672" s="10"/>
      <c r="H672" s="10"/>
      <c r="I672" s="10" t="str">
        <f>IF(pts_traje!$I672&lt;&gt;0,(ROUND(pts_traje!$I672+(pts_traje!$I672*0.02*pts_traje!$H672/1000),0)),"")</f>
        <v/>
      </c>
      <c r="J672" s="10"/>
    </row>
    <row r="673">
      <c r="A673" s="1" t="str">
        <f>IFNA(right(VLOOKUP(pts_traje!$A673,trj!$B$2:$D1000,3,FALSE),4),"")</f>
        <v/>
      </c>
      <c r="B673" s="10"/>
      <c r="C673" s="10"/>
      <c r="D673" s="1" t="str">
        <f>IFNA(VLOOKUP(pts_traje!$D673,FIX!$A$2:$D1000,4,FALSE),"")</f>
        <v/>
      </c>
      <c r="E673" s="10"/>
      <c r="F673" s="10"/>
      <c r="G673" s="10"/>
      <c r="H673" s="10"/>
      <c r="I673" s="10" t="str">
        <f>IF(pts_traje!$I673&lt;&gt;0,(ROUND(pts_traje!$I673+(pts_traje!$I673*0.02*pts_traje!$H673/1000),0)),"")</f>
        <v/>
      </c>
      <c r="J673" s="10"/>
    </row>
    <row r="674">
      <c r="A674" s="1" t="str">
        <f>IFNA(right(VLOOKUP(pts_traje!$A674,trj!$B$2:$D1000,3,FALSE),4),"")</f>
        <v/>
      </c>
      <c r="B674" s="10"/>
      <c r="C674" s="10"/>
      <c r="D674" s="1" t="str">
        <f>IFNA(VLOOKUP(pts_traje!$D674,FIX!$A$2:$D1000,4,FALSE),"")</f>
        <v/>
      </c>
      <c r="E674" s="10"/>
      <c r="F674" s="10"/>
      <c r="G674" s="10"/>
      <c r="H674" s="10"/>
      <c r="I674" s="10" t="str">
        <f>IF(pts_traje!$I674&lt;&gt;0,(ROUND(pts_traje!$I674+(pts_traje!$I674*0.02*pts_traje!$H674/1000),0)),"")</f>
        <v/>
      </c>
      <c r="J674" s="10"/>
    </row>
    <row r="675">
      <c r="A675" s="1" t="str">
        <f>IFNA(right(VLOOKUP(pts_traje!$A675,trj!$B$2:$D1000,3,FALSE),4),"")</f>
        <v/>
      </c>
      <c r="B675" s="10"/>
      <c r="C675" s="10"/>
      <c r="D675" s="1" t="str">
        <f>IFNA(VLOOKUP(pts_traje!$D675,FIX!$A$2:$D1000,4,FALSE),"")</f>
        <v/>
      </c>
      <c r="E675" s="10"/>
      <c r="F675" s="10"/>
      <c r="G675" s="10"/>
      <c r="H675" s="10"/>
      <c r="I675" s="10" t="str">
        <f>IF(pts_traje!$I675&lt;&gt;0,(ROUND(pts_traje!$I675+(pts_traje!$I675*0.02*pts_traje!$H675/1000),0)),"")</f>
        <v/>
      </c>
      <c r="J675" s="10"/>
    </row>
    <row r="676">
      <c r="A676" s="1" t="str">
        <f>IFNA(right(VLOOKUP(pts_traje!$A676,trj!$B$2:$D1000,3,FALSE),4),"")</f>
        <v/>
      </c>
      <c r="B676" s="10"/>
      <c r="C676" s="10"/>
      <c r="D676" s="1" t="str">
        <f>IFNA(VLOOKUP(pts_traje!$D676,FIX!$A$2:$D1000,4,FALSE),"")</f>
        <v/>
      </c>
      <c r="E676" s="10"/>
      <c r="F676" s="10"/>
      <c r="G676" s="10"/>
      <c r="H676" s="10"/>
      <c r="I676" s="10" t="str">
        <f>IF(pts_traje!$I676&lt;&gt;0,(ROUND(pts_traje!$I676+(pts_traje!$I676*0.02*pts_traje!$H676/1000),0)),"")</f>
        <v/>
      </c>
      <c r="J676" s="10"/>
    </row>
    <row r="677">
      <c r="A677" s="1" t="str">
        <f>IFNA(right(VLOOKUP(pts_traje!$A677,trj!$B$2:$D1000,3,FALSE),4),"")</f>
        <v/>
      </c>
      <c r="B677" s="10"/>
      <c r="C677" s="10"/>
      <c r="D677" s="1" t="str">
        <f>IFNA(VLOOKUP(pts_traje!$D677,FIX!$A$2:$D1000,4,FALSE),"")</f>
        <v/>
      </c>
      <c r="E677" s="10"/>
      <c r="F677" s="10"/>
      <c r="G677" s="10"/>
      <c r="H677" s="10"/>
      <c r="I677" s="10" t="str">
        <f>IF(pts_traje!$I677&lt;&gt;0,(ROUND(pts_traje!$I677+(pts_traje!$I677*0.02*pts_traje!$H677/1000),0)),"")</f>
        <v/>
      </c>
      <c r="J677" s="10"/>
    </row>
    <row r="678">
      <c r="A678" s="1" t="str">
        <f>IFNA(right(VLOOKUP(pts_traje!$A678,trj!$B$2:$D1000,3,FALSE),4),"")</f>
        <v/>
      </c>
      <c r="B678" s="10"/>
      <c r="C678" s="10"/>
      <c r="D678" s="1" t="str">
        <f>IFNA(VLOOKUP(pts_traje!$D678,FIX!$A$2:$D1000,4,FALSE),"")</f>
        <v/>
      </c>
      <c r="E678" s="10"/>
      <c r="F678" s="10"/>
      <c r="G678" s="10"/>
      <c r="H678" s="10"/>
      <c r="I678" s="10" t="str">
        <f>IF(pts_traje!$I678&lt;&gt;0,(ROUND(pts_traje!$I678+(pts_traje!$I678*0.02*pts_traje!$H678/1000),0)),"")</f>
        <v/>
      </c>
      <c r="J678" s="10"/>
    </row>
    <row r="679">
      <c r="A679" s="1" t="str">
        <f>IFNA(right(VLOOKUP(pts_traje!$A679,trj!$B$2:$D1000,3,FALSE),4),"")</f>
        <v/>
      </c>
      <c r="B679" s="10"/>
      <c r="C679" s="10"/>
      <c r="D679" s="1" t="str">
        <f>IFNA(VLOOKUP(pts_traje!$D679,FIX!$A$2:$D1000,4,FALSE),"")</f>
        <v/>
      </c>
      <c r="E679" s="10"/>
      <c r="F679" s="10"/>
      <c r="G679" s="10"/>
      <c r="H679" s="10"/>
      <c r="I679" s="10" t="str">
        <f>IF(pts_traje!$I679&lt;&gt;0,(ROUND(pts_traje!$I679+(pts_traje!$I679*0.02*pts_traje!$H679/1000),0)),"")</f>
        <v/>
      </c>
      <c r="J679" s="10"/>
    </row>
    <row r="680">
      <c r="A680" s="1" t="str">
        <f>IFNA(right(VLOOKUP(pts_traje!$A680,trj!$B$2:$D1000,3,FALSE),4),"")</f>
        <v/>
      </c>
      <c r="B680" s="10"/>
      <c r="C680" s="10"/>
      <c r="D680" s="1" t="str">
        <f>IFNA(VLOOKUP(pts_traje!$D680,FIX!$A$2:$D1000,4,FALSE),"")</f>
        <v/>
      </c>
      <c r="E680" s="10"/>
      <c r="F680" s="10"/>
      <c r="G680" s="10"/>
      <c r="H680" s="10"/>
      <c r="I680" s="10" t="str">
        <f>IF(pts_traje!$I680&lt;&gt;0,(ROUND(pts_traje!$I680+(pts_traje!$I680*0.02*pts_traje!$H680/1000),0)),"")</f>
        <v/>
      </c>
      <c r="J680" s="10"/>
    </row>
    <row r="681">
      <c r="A681" s="1" t="str">
        <f>IFNA(right(VLOOKUP(pts_traje!$A681,trj!$B$2:$D1000,3,FALSE),4),"")</f>
        <v/>
      </c>
      <c r="B681" s="10"/>
      <c r="C681" s="10"/>
      <c r="D681" s="1" t="str">
        <f>IFNA(VLOOKUP(pts_traje!$D681,FIX!$A$2:$D1000,4,FALSE),"")</f>
        <v/>
      </c>
      <c r="E681" s="10"/>
      <c r="F681" s="10"/>
      <c r="G681" s="10"/>
      <c r="H681" s="10"/>
      <c r="I681" s="10" t="str">
        <f>IF(pts_traje!$I681&lt;&gt;0,(ROUND(pts_traje!$I681+(pts_traje!$I681*0.02*pts_traje!$H681/1000),0)),"")</f>
        <v/>
      </c>
      <c r="J681" s="10"/>
    </row>
    <row r="682">
      <c r="A682" s="1" t="str">
        <f>IFNA(right(VLOOKUP(pts_traje!$A682,trj!$B$2:$D1000,3,FALSE),4),"")</f>
        <v/>
      </c>
      <c r="B682" s="10"/>
      <c r="C682" s="10"/>
      <c r="D682" s="1" t="str">
        <f>IFNA(VLOOKUP(pts_traje!$D682,FIX!$A$2:$D1000,4,FALSE),"")</f>
        <v/>
      </c>
      <c r="E682" s="10"/>
      <c r="F682" s="10"/>
      <c r="G682" s="10"/>
      <c r="H682" s="10"/>
      <c r="I682" s="10" t="str">
        <f>IF(pts_traje!$I682&lt;&gt;0,(ROUND(pts_traje!$I682+(pts_traje!$I682*0.02*pts_traje!$H682/1000),0)),"")</f>
        <v/>
      </c>
      <c r="J682" s="10"/>
    </row>
    <row r="683">
      <c r="A683" s="1" t="str">
        <f>IFNA(right(VLOOKUP(pts_traje!$A683,trj!$B$2:$D1000,3,FALSE),4),"")</f>
        <v/>
      </c>
      <c r="B683" s="10"/>
      <c r="C683" s="10"/>
      <c r="D683" s="1" t="str">
        <f>IFNA(VLOOKUP(pts_traje!$D683,FIX!$A$2:$D1000,4,FALSE),"")</f>
        <v/>
      </c>
      <c r="E683" s="10"/>
      <c r="F683" s="10"/>
      <c r="G683" s="10"/>
      <c r="H683" s="10"/>
      <c r="I683" s="10" t="str">
        <f>IF(pts_traje!$I683&lt;&gt;0,(ROUND(pts_traje!$I683+(pts_traje!$I683*0.02*pts_traje!$H683/1000),0)),"")</f>
        <v/>
      </c>
      <c r="J683" s="10"/>
    </row>
    <row r="684">
      <c r="A684" s="1" t="str">
        <f>IFNA(right(VLOOKUP(pts_traje!$A684,trj!$B$2:$D1000,3,FALSE),4),"")</f>
        <v/>
      </c>
      <c r="B684" s="10"/>
      <c r="C684" s="10"/>
      <c r="D684" s="1" t="str">
        <f>IFNA(VLOOKUP(pts_traje!$D684,FIX!$A$2:$D1000,4,FALSE),"")</f>
        <v/>
      </c>
      <c r="E684" s="10"/>
      <c r="F684" s="10"/>
      <c r="G684" s="10"/>
      <c r="H684" s="10"/>
      <c r="I684" s="10" t="str">
        <f>IF(pts_traje!$I684&lt;&gt;0,(ROUND(pts_traje!$I684+(pts_traje!$I684*0.02*pts_traje!$H684/1000),0)),"")</f>
        <v/>
      </c>
      <c r="J684" s="10"/>
    </row>
    <row r="685">
      <c r="A685" s="1" t="str">
        <f>IFNA(right(VLOOKUP(pts_traje!$A685,trj!$B$2:$D1000,3,FALSE),4),"")</f>
        <v/>
      </c>
      <c r="B685" s="10"/>
      <c r="C685" s="10"/>
      <c r="D685" s="1" t="str">
        <f>IFNA(VLOOKUP(pts_traje!$D685,FIX!$A$2:$D1000,4,FALSE),"")</f>
        <v/>
      </c>
      <c r="E685" s="10"/>
      <c r="F685" s="10"/>
      <c r="G685" s="10"/>
      <c r="H685" s="10"/>
      <c r="I685" s="10" t="str">
        <f>IF(pts_traje!$I685&lt;&gt;0,(ROUND(pts_traje!$I685+(pts_traje!$I685*0.02*pts_traje!$H685/1000),0)),"")</f>
        <v/>
      </c>
      <c r="J685" s="10"/>
    </row>
    <row r="686">
      <c r="A686" s="1" t="str">
        <f>IFNA(right(VLOOKUP(pts_traje!$A686,trj!$B$2:$D1000,3,FALSE),4),"")</f>
        <v/>
      </c>
      <c r="B686" s="10"/>
      <c r="C686" s="10"/>
      <c r="D686" s="1" t="str">
        <f>IFNA(VLOOKUP(pts_traje!$D686,FIX!$A$2:$D1000,4,FALSE),"")</f>
        <v/>
      </c>
      <c r="E686" s="10"/>
      <c r="F686" s="10"/>
      <c r="G686" s="10"/>
      <c r="H686" s="10"/>
      <c r="I686" s="10" t="str">
        <f>IF(pts_traje!$I686&lt;&gt;0,(ROUND(pts_traje!$I686+(pts_traje!$I686*0.02*pts_traje!$H686/1000),0)),"")</f>
        <v/>
      </c>
      <c r="J686" s="10"/>
    </row>
    <row r="687">
      <c r="A687" s="1" t="str">
        <f>IFNA(right(VLOOKUP(pts_traje!$A687,trj!$B$2:$D1000,3,FALSE),4),"")</f>
        <v/>
      </c>
      <c r="B687" s="10"/>
      <c r="C687" s="10"/>
      <c r="D687" s="1" t="str">
        <f>IFNA(VLOOKUP(pts_traje!$D687,FIX!$A$2:$D1000,4,FALSE),"")</f>
        <v/>
      </c>
      <c r="E687" s="10"/>
      <c r="F687" s="10"/>
      <c r="G687" s="10"/>
      <c r="H687" s="10"/>
      <c r="I687" s="10" t="str">
        <f>IF(pts_traje!$I687&lt;&gt;0,(ROUND(pts_traje!$I687+(pts_traje!$I687*0.02*pts_traje!$H687/1000),0)),"")</f>
        <v/>
      </c>
      <c r="J687" s="10"/>
    </row>
    <row r="688">
      <c r="A688" s="1" t="str">
        <f>IFNA(right(VLOOKUP(pts_traje!$A688,trj!$B$2:$D1000,3,FALSE),4),"")</f>
        <v/>
      </c>
      <c r="B688" s="10"/>
      <c r="C688" s="10"/>
      <c r="D688" s="1" t="str">
        <f>IFNA(VLOOKUP(pts_traje!$D688,FIX!$A$2:$D1000,4,FALSE),"")</f>
        <v/>
      </c>
      <c r="E688" s="10"/>
      <c r="F688" s="10"/>
      <c r="G688" s="10"/>
      <c r="H688" s="10"/>
      <c r="I688" s="10" t="str">
        <f>IF(pts_traje!$I688&lt;&gt;0,(ROUND(pts_traje!$I688+(pts_traje!$I688*0.02*pts_traje!$H688/1000),0)),"")</f>
        <v/>
      </c>
      <c r="J688" s="10"/>
    </row>
    <row r="689">
      <c r="A689" s="1" t="str">
        <f>IFNA(right(VLOOKUP(pts_traje!$A689,trj!$B$2:$D1000,3,FALSE),4),"")</f>
        <v/>
      </c>
      <c r="B689" s="10"/>
      <c r="C689" s="10"/>
      <c r="D689" s="1" t="str">
        <f>IFNA(VLOOKUP(pts_traje!$D689,FIX!$A$2:$D1000,4,FALSE),"")</f>
        <v/>
      </c>
      <c r="E689" s="10"/>
      <c r="F689" s="10"/>
      <c r="G689" s="10"/>
      <c r="H689" s="10"/>
      <c r="I689" s="10" t="str">
        <f>IF(pts_traje!$I689&lt;&gt;0,(ROUND(pts_traje!$I689+(pts_traje!$I689*0.02*pts_traje!$H689/1000),0)),"")</f>
        <v/>
      </c>
      <c r="J689" s="10"/>
    </row>
    <row r="690">
      <c r="A690" s="1" t="str">
        <f>IFNA(right(VLOOKUP(pts_traje!$A690,trj!$B$2:$D1000,3,FALSE),4),"")</f>
        <v/>
      </c>
      <c r="B690" s="10"/>
      <c r="C690" s="10"/>
      <c r="D690" s="1" t="str">
        <f>IFNA(VLOOKUP(pts_traje!$D690,FIX!$A$2:$D1000,4,FALSE),"")</f>
        <v/>
      </c>
      <c r="E690" s="10"/>
      <c r="F690" s="10"/>
      <c r="G690" s="10"/>
      <c r="H690" s="10"/>
      <c r="I690" s="10" t="str">
        <f>IF(pts_traje!$I690&lt;&gt;0,(ROUND(pts_traje!$I690+(pts_traje!$I690*0.02*pts_traje!$H690/1000),0)),"")</f>
        <v/>
      </c>
      <c r="J690" s="10"/>
    </row>
    <row r="691">
      <c r="A691" s="1" t="str">
        <f>IFNA(right(VLOOKUP(pts_traje!$A691,trj!$B$2:$D1000,3,FALSE),4),"")</f>
        <v/>
      </c>
      <c r="B691" s="10"/>
      <c r="C691" s="10"/>
      <c r="D691" s="1" t="str">
        <f>IFNA(VLOOKUP(pts_traje!$D691,FIX!$A$2:$D1000,4,FALSE),"")</f>
        <v/>
      </c>
      <c r="E691" s="10"/>
      <c r="F691" s="10"/>
      <c r="G691" s="10"/>
      <c r="H691" s="10"/>
      <c r="I691" s="10" t="str">
        <f>IF(pts_traje!$I691&lt;&gt;0,(ROUND(pts_traje!$I691+(pts_traje!$I691*0.02*pts_traje!$H691/1000),0)),"")</f>
        <v/>
      </c>
      <c r="J691" s="10"/>
    </row>
    <row r="692">
      <c r="A692" s="1" t="str">
        <f>IFNA(right(VLOOKUP(pts_traje!$A692,trj!$B$2:$D1000,3,FALSE),4),"")</f>
        <v/>
      </c>
      <c r="B692" s="10"/>
      <c r="C692" s="10"/>
      <c r="D692" s="1" t="str">
        <f>IFNA(VLOOKUP(pts_traje!$D692,FIX!$A$2:$D1000,4,FALSE),"")</f>
        <v/>
      </c>
      <c r="E692" s="10"/>
      <c r="F692" s="10"/>
      <c r="G692" s="10"/>
      <c r="H692" s="10"/>
      <c r="I692" s="10" t="str">
        <f>IF(pts_traje!$I692&lt;&gt;0,(ROUND(pts_traje!$I692+(pts_traje!$I692*0.02*pts_traje!$H692/1000),0)),"")</f>
        <v/>
      </c>
      <c r="J692" s="10"/>
    </row>
    <row r="693">
      <c r="A693" s="1" t="str">
        <f>IFNA(right(VLOOKUP(pts_traje!$A693,trj!$B$2:$D1000,3,FALSE),4),"")</f>
        <v/>
      </c>
      <c r="B693" s="10"/>
      <c r="C693" s="10"/>
      <c r="D693" s="1" t="str">
        <f>IFNA(VLOOKUP(pts_traje!$D693,FIX!$A$2:$D1000,4,FALSE),"")</f>
        <v/>
      </c>
      <c r="E693" s="10"/>
      <c r="F693" s="10"/>
      <c r="G693" s="10"/>
      <c r="H693" s="10"/>
      <c r="I693" s="10" t="str">
        <f>IF(pts_traje!$I693&lt;&gt;0,(ROUND(pts_traje!$I693+(pts_traje!$I693*0.02*pts_traje!$H693/1000),0)),"")</f>
        <v/>
      </c>
      <c r="J693" s="10"/>
    </row>
    <row r="694">
      <c r="A694" s="1" t="str">
        <f>IFNA(right(VLOOKUP(pts_traje!$A694,trj!$B$2:$D1000,3,FALSE),4),"")</f>
        <v/>
      </c>
      <c r="B694" s="10"/>
      <c r="C694" s="10"/>
      <c r="D694" s="1" t="str">
        <f>IFNA(VLOOKUP(pts_traje!$D694,FIX!$A$2:$D1000,4,FALSE),"")</f>
        <v/>
      </c>
      <c r="E694" s="10"/>
      <c r="F694" s="10"/>
      <c r="G694" s="10"/>
      <c r="H694" s="10"/>
      <c r="I694" s="10" t="str">
        <f>IF(pts_traje!$I694&lt;&gt;0,(ROUND(pts_traje!$I694+(pts_traje!$I694*0.02*pts_traje!$H694/1000),0)),"")</f>
        <v/>
      </c>
      <c r="J694" s="10"/>
    </row>
    <row r="695">
      <c r="A695" s="1" t="str">
        <f>IFNA(right(VLOOKUP(pts_traje!$A695,trj!$B$2:$D1000,3,FALSE),4),"")</f>
        <v/>
      </c>
      <c r="B695" s="10"/>
      <c r="C695" s="10"/>
      <c r="D695" s="1" t="str">
        <f>IFNA(VLOOKUP(pts_traje!$D695,FIX!$A$2:$D1000,4,FALSE),"")</f>
        <v/>
      </c>
      <c r="E695" s="10"/>
      <c r="F695" s="10"/>
      <c r="G695" s="10"/>
      <c r="H695" s="10"/>
      <c r="I695" s="10" t="str">
        <f>IF(pts_traje!$I695&lt;&gt;0,(ROUND(pts_traje!$I695+(pts_traje!$I695*0.02*pts_traje!$H695/1000),0)),"")</f>
        <v/>
      </c>
      <c r="J695" s="10"/>
    </row>
    <row r="696">
      <c r="A696" s="1" t="str">
        <f>IFNA(right(VLOOKUP(pts_traje!$A696,trj!$B$2:$D1000,3,FALSE),4),"")</f>
        <v/>
      </c>
      <c r="B696" s="10"/>
      <c r="C696" s="10"/>
      <c r="D696" s="1" t="str">
        <f>IFNA(VLOOKUP(pts_traje!$D696,FIX!$A$2:$D1000,4,FALSE),"")</f>
        <v/>
      </c>
      <c r="E696" s="10"/>
      <c r="F696" s="10"/>
      <c r="G696" s="10"/>
      <c r="H696" s="10"/>
      <c r="I696" s="10" t="str">
        <f>IF(pts_traje!$I696&lt;&gt;0,(ROUND(pts_traje!$I696+(pts_traje!$I696*0.02*pts_traje!$H696/1000),0)),"")</f>
        <v/>
      </c>
      <c r="J696" s="10"/>
    </row>
    <row r="697">
      <c r="A697" s="1" t="str">
        <f>IFNA(right(VLOOKUP(pts_traje!$A697,trj!$B$2:$D1000,3,FALSE),4),"")</f>
        <v/>
      </c>
      <c r="B697" s="10"/>
      <c r="C697" s="10"/>
      <c r="D697" s="1" t="str">
        <f>IFNA(VLOOKUP(pts_traje!$D697,FIX!$A$2:$D1000,4,FALSE),"")</f>
        <v/>
      </c>
      <c r="E697" s="10"/>
      <c r="F697" s="10"/>
      <c r="G697" s="10"/>
      <c r="H697" s="10"/>
      <c r="I697" s="10" t="str">
        <f>IF(pts_traje!$I697&lt;&gt;0,(ROUND(pts_traje!$I697+(pts_traje!$I697*0.02*pts_traje!$H697/1000),0)),"")</f>
        <v/>
      </c>
      <c r="J697" s="10"/>
    </row>
    <row r="698">
      <c r="A698" s="1" t="str">
        <f>IFNA(right(VLOOKUP(pts_traje!$A698,trj!$B$2:$D1000,3,FALSE),4),"")</f>
        <v/>
      </c>
      <c r="B698" s="10"/>
      <c r="C698" s="10"/>
      <c r="D698" s="1" t="str">
        <f>IFNA(VLOOKUP(pts_traje!$D698,FIX!$A$2:$D1000,4,FALSE),"")</f>
        <v/>
      </c>
      <c r="E698" s="10"/>
      <c r="F698" s="10"/>
      <c r="G698" s="10"/>
      <c r="H698" s="10"/>
      <c r="I698" s="10" t="str">
        <f>IF(pts_traje!$I698&lt;&gt;0,(ROUND(pts_traje!$I698+(pts_traje!$I698*0.02*pts_traje!$H698/1000),0)),"")</f>
        <v/>
      </c>
      <c r="J698" s="10"/>
    </row>
    <row r="699">
      <c r="A699" s="1" t="str">
        <f>IFNA(right(VLOOKUP(pts_traje!$A699,trj!$B$2:$D1000,3,FALSE),4),"")</f>
        <v/>
      </c>
      <c r="B699" s="10"/>
      <c r="C699" s="10"/>
      <c r="D699" s="1" t="str">
        <f>IFNA(VLOOKUP(pts_traje!$D699,FIX!$A$2:$D1000,4,FALSE),"")</f>
        <v/>
      </c>
      <c r="E699" s="10"/>
      <c r="F699" s="10"/>
      <c r="G699" s="10"/>
      <c r="H699" s="10"/>
      <c r="I699" s="10" t="str">
        <f>IF(pts_traje!$I699&lt;&gt;0,(ROUND(pts_traje!$I699+(pts_traje!$I699*0.02*pts_traje!$H699/1000),0)),"")</f>
        <v/>
      </c>
      <c r="J699" s="10"/>
    </row>
    <row r="700">
      <c r="A700" s="1" t="str">
        <f>IFNA(right(VLOOKUP(pts_traje!$A700,trj!$B$2:$D1000,3,FALSE),4),"")</f>
        <v/>
      </c>
      <c r="B700" s="10"/>
      <c r="C700" s="10"/>
      <c r="D700" s="1" t="str">
        <f>IFNA(VLOOKUP(pts_traje!$D700,FIX!$A$2:$D1000,4,FALSE),"")</f>
        <v/>
      </c>
      <c r="E700" s="10"/>
      <c r="F700" s="10"/>
      <c r="G700" s="10"/>
      <c r="H700" s="10"/>
      <c r="I700" s="10" t="str">
        <f>IF(pts_traje!$I700&lt;&gt;0,(ROUND(pts_traje!$I700+(pts_traje!$I700*0.02*pts_traje!$H700/1000),0)),"")</f>
        <v/>
      </c>
      <c r="J700" s="10"/>
    </row>
    <row r="701">
      <c r="A701" s="1" t="str">
        <f>IFNA(right(VLOOKUP(pts_traje!$A701,trj!$B$2:$D1000,3,FALSE),4),"")</f>
        <v/>
      </c>
      <c r="B701" s="10"/>
      <c r="C701" s="10"/>
      <c r="D701" s="1" t="str">
        <f>IFNA(VLOOKUP(pts_traje!$D701,FIX!$A$2:$D1000,4,FALSE),"")</f>
        <v/>
      </c>
      <c r="E701" s="10"/>
      <c r="F701" s="10"/>
      <c r="G701" s="10"/>
      <c r="H701" s="10"/>
      <c r="I701" s="10" t="str">
        <f>IF(pts_traje!$I701&lt;&gt;0,(ROUND(pts_traje!$I701+(pts_traje!$I701*0.02*pts_traje!$H701/1000),0)),"")</f>
        <v/>
      </c>
      <c r="J701" s="10"/>
    </row>
    <row r="702">
      <c r="A702" s="1" t="str">
        <f>IFNA(right(VLOOKUP(pts_traje!$A702,trj!$B$2:$D1000,3,FALSE),4),"")</f>
        <v/>
      </c>
      <c r="B702" s="10"/>
      <c r="C702" s="10"/>
      <c r="D702" s="1" t="str">
        <f>IFNA(VLOOKUP(pts_traje!$D702,FIX!$A$2:$D1000,4,FALSE),"")</f>
        <v/>
      </c>
      <c r="E702" s="10"/>
      <c r="F702" s="10"/>
      <c r="G702" s="10"/>
      <c r="H702" s="10"/>
      <c r="I702" s="10" t="str">
        <f>IF(pts_traje!$I702&lt;&gt;0,(ROUND(pts_traje!$I702+(pts_traje!$I702*0.02*pts_traje!$H702/1000),0)),"")</f>
        <v/>
      </c>
      <c r="J702" s="10"/>
    </row>
    <row r="703">
      <c r="A703" s="1" t="str">
        <f>IFNA(right(VLOOKUP(pts_traje!$A703,trj!$B$2:$D1000,3,FALSE),4),"")</f>
        <v/>
      </c>
      <c r="B703" s="10"/>
      <c r="C703" s="10"/>
      <c r="D703" s="1" t="str">
        <f>IFNA(VLOOKUP(pts_traje!$D703,FIX!$A$2:$D1000,4,FALSE),"")</f>
        <v/>
      </c>
      <c r="E703" s="10"/>
      <c r="F703" s="10"/>
      <c r="G703" s="10"/>
      <c r="H703" s="10"/>
      <c r="I703" s="10" t="str">
        <f>IF(pts_traje!$I703&lt;&gt;0,(ROUND(pts_traje!$I703+(pts_traje!$I703*0.02*pts_traje!$H703/1000),0)),"")</f>
        <v/>
      </c>
      <c r="J703" s="10"/>
    </row>
    <row r="704">
      <c r="A704" s="1" t="str">
        <f>IFNA(right(VLOOKUP(pts_traje!$A704,trj!$B$2:$D1000,3,FALSE),4),"")</f>
        <v/>
      </c>
      <c r="B704" s="10"/>
      <c r="C704" s="10"/>
      <c r="D704" s="1" t="str">
        <f>IFNA(VLOOKUP(pts_traje!$D704,FIX!$A$2:$D1000,4,FALSE),"")</f>
        <v/>
      </c>
      <c r="E704" s="10"/>
      <c r="F704" s="10"/>
      <c r="G704" s="10"/>
      <c r="H704" s="10"/>
      <c r="I704" s="10" t="str">
        <f>IF(pts_traje!$I704&lt;&gt;0,(ROUND(pts_traje!$I704+(pts_traje!$I704*0.02*pts_traje!$H704/1000),0)),"")</f>
        <v/>
      </c>
      <c r="J704" s="10"/>
    </row>
    <row r="705">
      <c r="A705" s="1" t="str">
        <f>IFNA(right(VLOOKUP(pts_traje!$A705,trj!$B$2:$D1000,3,FALSE),4),"")</f>
        <v/>
      </c>
      <c r="B705" s="10"/>
      <c r="C705" s="10"/>
      <c r="D705" s="1" t="str">
        <f>IFNA(VLOOKUP(pts_traje!$D705,FIX!$A$2:$D1000,4,FALSE),"")</f>
        <v/>
      </c>
      <c r="E705" s="10"/>
      <c r="F705" s="10"/>
      <c r="G705" s="10"/>
      <c r="H705" s="10"/>
      <c r="I705" s="10" t="str">
        <f>IF(pts_traje!$I705&lt;&gt;0,(ROUND(pts_traje!$I705+(pts_traje!$I705*0.02*pts_traje!$H705/1000),0)),"")</f>
        <v/>
      </c>
      <c r="J705" s="10"/>
    </row>
    <row r="706">
      <c r="A706" s="1" t="str">
        <f>IFNA(right(VLOOKUP(pts_traje!$A706,trj!$B$2:$D1000,3,FALSE),4),"")</f>
        <v/>
      </c>
      <c r="B706" s="10"/>
      <c r="C706" s="10"/>
      <c r="D706" s="1" t="str">
        <f>IFNA(VLOOKUP(pts_traje!$D706,FIX!$A$2:$D1000,4,FALSE),"")</f>
        <v/>
      </c>
      <c r="E706" s="10"/>
      <c r="F706" s="10"/>
      <c r="G706" s="10"/>
      <c r="H706" s="10"/>
      <c r="I706" s="10" t="str">
        <f>IF(pts_traje!$I706&lt;&gt;0,(ROUND(pts_traje!$I706+(pts_traje!$I706*0.02*pts_traje!$H706/1000),0)),"")</f>
        <v/>
      </c>
      <c r="J706" s="10"/>
    </row>
    <row r="707">
      <c r="A707" s="1" t="str">
        <f>IFNA(right(VLOOKUP(pts_traje!$A707,trj!$B$2:$D1000,3,FALSE),4),"")</f>
        <v/>
      </c>
      <c r="B707" s="10"/>
      <c r="C707" s="10"/>
      <c r="D707" s="1" t="str">
        <f>IFNA(VLOOKUP(pts_traje!$D707,FIX!$A$2:$D1000,4,FALSE),"")</f>
        <v/>
      </c>
      <c r="E707" s="10"/>
      <c r="F707" s="10"/>
      <c r="G707" s="10"/>
      <c r="H707" s="10"/>
      <c r="I707" s="10" t="str">
        <f>IF(pts_traje!$I707&lt;&gt;0,(ROUND(pts_traje!$I707+(pts_traje!$I707*0.02*pts_traje!$H707/1000),0)),"")</f>
        <v/>
      </c>
      <c r="J707" s="10"/>
    </row>
    <row r="708">
      <c r="A708" s="1" t="str">
        <f>IFNA(right(VLOOKUP(pts_traje!$A708,trj!$B$2:$D1000,3,FALSE),4),"")</f>
        <v/>
      </c>
      <c r="B708" s="10"/>
      <c r="C708" s="10"/>
      <c r="D708" s="1" t="str">
        <f>IFNA(VLOOKUP(pts_traje!$D708,FIX!$A$2:$D1000,4,FALSE),"")</f>
        <v/>
      </c>
      <c r="E708" s="10"/>
      <c r="F708" s="10"/>
      <c r="G708" s="10"/>
      <c r="H708" s="10"/>
      <c r="I708" s="10" t="str">
        <f>IF(pts_traje!$I708&lt;&gt;0,(ROUND(pts_traje!$I708+(pts_traje!$I708*0.02*pts_traje!$H708/1000),0)),"")</f>
        <v/>
      </c>
      <c r="J708" s="10"/>
    </row>
    <row r="709">
      <c r="A709" s="1" t="str">
        <f>IFNA(right(VLOOKUP(pts_traje!$A709,trj!$B$2:$D1000,3,FALSE),4),"")</f>
        <v/>
      </c>
      <c r="B709" s="10"/>
      <c r="C709" s="10"/>
      <c r="D709" s="1" t="str">
        <f>IFNA(VLOOKUP(pts_traje!$D709,FIX!$A$2:$D1000,4,FALSE),"")</f>
        <v/>
      </c>
      <c r="E709" s="10"/>
      <c r="F709" s="10"/>
      <c r="G709" s="10"/>
      <c r="H709" s="10"/>
      <c r="I709" s="10" t="str">
        <f>IF(pts_traje!$I709&lt;&gt;0,(ROUND(pts_traje!$I709+(pts_traje!$I709*0.02*pts_traje!$H709/1000),0)),"")</f>
        <v/>
      </c>
      <c r="J709" s="10"/>
    </row>
    <row r="710">
      <c r="A710" s="1" t="str">
        <f>IFNA(right(VLOOKUP(pts_traje!$A710,trj!$B$2:$D1000,3,FALSE),4),"")</f>
        <v/>
      </c>
      <c r="B710" s="10"/>
      <c r="C710" s="10"/>
      <c r="D710" s="1" t="str">
        <f>IFNA(VLOOKUP(pts_traje!$D710,FIX!$A$2:$D1000,4,FALSE),"")</f>
        <v/>
      </c>
      <c r="E710" s="10"/>
      <c r="F710" s="10"/>
      <c r="G710" s="10"/>
      <c r="H710" s="10"/>
      <c r="I710" s="10" t="str">
        <f>IF(pts_traje!$I710&lt;&gt;0,(ROUND(pts_traje!$I710+(pts_traje!$I710*0.02*pts_traje!$H710/1000),0)),"")</f>
        <v/>
      </c>
      <c r="J710" s="10"/>
    </row>
    <row r="711">
      <c r="A711" s="1" t="str">
        <f>IFNA(right(VLOOKUP(pts_traje!$A711,trj!$B$2:$D1000,3,FALSE),4),"")</f>
        <v/>
      </c>
      <c r="B711" s="10"/>
      <c r="C711" s="10"/>
      <c r="D711" s="1" t="str">
        <f>IFNA(VLOOKUP(pts_traje!$D711,FIX!$A$2:$D1000,4,FALSE),"")</f>
        <v/>
      </c>
      <c r="E711" s="10"/>
      <c r="F711" s="10"/>
      <c r="G711" s="10"/>
      <c r="H711" s="10"/>
      <c r="I711" s="10" t="str">
        <f>IF(pts_traje!$I711&lt;&gt;0,(ROUND(pts_traje!$I711+(pts_traje!$I711*0.02*pts_traje!$H711/1000),0)),"")</f>
        <v/>
      </c>
      <c r="J711" s="10"/>
    </row>
    <row r="712">
      <c r="A712" s="1" t="str">
        <f>IFNA(right(VLOOKUP(pts_traje!$A712,trj!$B$2:$D1000,3,FALSE),4),"")</f>
        <v/>
      </c>
      <c r="B712" s="10"/>
      <c r="C712" s="10"/>
      <c r="D712" s="1" t="str">
        <f>IFNA(VLOOKUP(pts_traje!$D712,FIX!$A$2:$D1000,4,FALSE),"")</f>
        <v/>
      </c>
      <c r="E712" s="10"/>
      <c r="F712" s="10"/>
      <c r="G712" s="10"/>
      <c r="H712" s="10"/>
      <c r="I712" s="10" t="str">
        <f>IF(pts_traje!$I712&lt;&gt;0,(ROUND(pts_traje!$I712+(pts_traje!$I712*0.02*pts_traje!$H712/1000),0)),"")</f>
        <v/>
      </c>
      <c r="J712" s="10"/>
    </row>
    <row r="713">
      <c r="A713" s="1" t="str">
        <f>IFNA(right(VLOOKUP(pts_traje!$A713,trj!$B$2:$D1000,3,FALSE),4),"")</f>
        <v/>
      </c>
      <c r="B713" s="10"/>
      <c r="C713" s="10"/>
      <c r="D713" s="1" t="str">
        <f>IFNA(VLOOKUP(pts_traje!$D713,FIX!$A$2:$D1000,4,FALSE),"")</f>
        <v/>
      </c>
      <c r="E713" s="10"/>
      <c r="F713" s="10"/>
      <c r="G713" s="10"/>
      <c r="H713" s="10"/>
      <c r="I713" s="10" t="str">
        <f>IF(pts_traje!$I713&lt;&gt;0,(ROUND(pts_traje!$I713+(pts_traje!$I713*0.02*pts_traje!$H713/1000),0)),"")</f>
        <v/>
      </c>
      <c r="J713" s="10"/>
    </row>
    <row r="714">
      <c r="A714" s="1" t="str">
        <f>IFNA(right(VLOOKUP(pts_traje!$A714,trj!$B$2:$D1000,3,FALSE),4),"")</f>
        <v/>
      </c>
      <c r="B714" s="10"/>
      <c r="C714" s="10"/>
      <c r="D714" s="1" t="str">
        <f>IFNA(VLOOKUP(pts_traje!$D714,FIX!$A$2:$D1000,4,FALSE),"")</f>
        <v/>
      </c>
      <c r="E714" s="10"/>
      <c r="F714" s="10"/>
      <c r="G714" s="10"/>
      <c r="H714" s="10"/>
      <c r="I714" s="10" t="str">
        <f>IF(pts_traje!$I714&lt;&gt;0,(ROUND(pts_traje!$I714+(pts_traje!$I714*0.02*pts_traje!$H714/1000),0)),"")</f>
        <v/>
      </c>
      <c r="J714" s="10"/>
    </row>
    <row r="715">
      <c r="A715" s="1" t="str">
        <f>IFNA(right(VLOOKUP(pts_traje!$A715,trj!$B$2:$D1000,3,FALSE),4),"")</f>
        <v/>
      </c>
      <c r="B715" s="10"/>
      <c r="C715" s="10"/>
      <c r="D715" s="1" t="str">
        <f>IFNA(VLOOKUP(pts_traje!$D715,FIX!$A$2:$D1000,4,FALSE),"")</f>
        <v/>
      </c>
      <c r="E715" s="10"/>
      <c r="F715" s="10"/>
      <c r="G715" s="10"/>
      <c r="H715" s="10"/>
      <c r="I715" s="10" t="str">
        <f>IF(pts_traje!$I715&lt;&gt;0,(ROUND(pts_traje!$I715+(pts_traje!$I715*0.02*pts_traje!$H715/1000),0)),"")</f>
        <v/>
      </c>
      <c r="J715" s="10"/>
    </row>
    <row r="716">
      <c r="A716" s="1" t="str">
        <f>IFNA(right(VLOOKUP(pts_traje!$A716,trj!$B$2:$D1000,3,FALSE),4),"")</f>
        <v/>
      </c>
      <c r="B716" s="10"/>
      <c r="C716" s="10"/>
      <c r="D716" s="1" t="str">
        <f>IFNA(VLOOKUP(pts_traje!$D716,FIX!$A$2:$D1000,4,FALSE),"")</f>
        <v/>
      </c>
      <c r="E716" s="10"/>
      <c r="F716" s="10"/>
      <c r="G716" s="10"/>
      <c r="H716" s="10"/>
      <c r="I716" s="10" t="str">
        <f>IF(pts_traje!$I716&lt;&gt;0,(ROUND(pts_traje!$I716+(pts_traje!$I716*0.02*pts_traje!$H716/1000),0)),"")</f>
        <v/>
      </c>
      <c r="J716" s="10"/>
    </row>
    <row r="717">
      <c r="A717" s="1" t="str">
        <f>IFNA(right(VLOOKUP(pts_traje!$A717,trj!$B$2:$D1000,3,FALSE),4),"")</f>
        <v/>
      </c>
      <c r="B717" s="10"/>
      <c r="C717" s="10"/>
      <c r="D717" s="1" t="str">
        <f>IFNA(VLOOKUP(pts_traje!$D717,FIX!$A$2:$D1000,4,FALSE),"")</f>
        <v/>
      </c>
      <c r="E717" s="10"/>
      <c r="F717" s="10"/>
      <c r="G717" s="10"/>
      <c r="H717" s="10"/>
      <c r="I717" s="10" t="str">
        <f>IF(pts_traje!$I717&lt;&gt;0,(ROUND(pts_traje!$I717+(pts_traje!$I717*0.02*pts_traje!$H717/1000),0)),"")</f>
        <v/>
      </c>
      <c r="J717" s="10"/>
    </row>
    <row r="718">
      <c r="A718" s="1" t="str">
        <f>IFNA(right(VLOOKUP(pts_traje!$A718,trj!$B$2:$D1000,3,FALSE),4),"")</f>
        <v/>
      </c>
      <c r="B718" s="10"/>
      <c r="C718" s="10"/>
      <c r="D718" s="1" t="str">
        <f>IFNA(VLOOKUP(pts_traje!$D718,FIX!$A$2:$D1000,4,FALSE),"")</f>
        <v/>
      </c>
      <c r="E718" s="10"/>
      <c r="F718" s="10"/>
      <c r="G718" s="10"/>
      <c r="H718" s="10"/>
      <c r="I718" s="10" t="str">
        <f>IF(pts_traje!$I718&lt;&gt;0,(ROUND(pts_traje!$I718+(pts_traje!$I718*0.02*pts_traje!$H718/1000),0)),"")</f>
        <v/>
      </c>
      <c r="J718" s="10"/>
    </row>
    <row r="719">
      <c r="A719" s="1" t="str">
        <f>IFNA(right(VLOOKUP(pts_traje!$A719,trj!$B$2:$D1000,3,FALSE),4),"")</f>
        <v/>
      </c>
      <c r="B719" s="10"/>
      <c r="C719" s="10"/>
      <c r="D719" s="1" t="str">
        <f>IFNA(VLOOKUP(pts_traje!$D719,FIX!$A$2:$D1000,4,FALSE),"")</f>
        <v/>
      </c>
      <c r="E719" s="10"/>
      <c r="F719" s="10"/>
      <c r="G719" s="10"/>
      <c r="H719" s="10"/>
      <c r="I719" s="10" t="str">
        <f>IF(pts_traje!$I719&lt;&gt;0,(ROUND(pts_traje!$I719+(pts_traje!$I719*0.02*pts_traje!$H719/1000),0)),"")</f>
        <v/>
      </c>
      <c r="J719" s="10"/>
    </row>
    <row r="720">
      <c r="A720" s="1" t="str">
        <f>IFNA(right(VLOOKUP(pts_traje!$A720,trj!$B$2:$D1000,3,FALSE),4),"")</f>
        <v/>
      </c>
      <c r="B720" s="10"/>
      <c r="C720" s="10"/>
      <c r="D720" s="1" t="str">
        <f>IFNA(VLOOKUP(pts_traje!$D720,FIX!$A$2:$D1000,4,FALSE),"")</f>
        <v/>
      </c>
      <c r="E720" s="10"/>
      <c r="F720" s="10"/>
      <c r="G720" s="10"/>
      <c r="H720" s="10"/>
      <c r="I720" s="10" t="str">
        <f>IF(pts_traje!$I720&lt;&gt;0,(ROUND(pts_traje!$I720+(pts_traje!$I720*0.02*pts_traje!$H720/1000),0)),"")</f>
        <v/>
      </c>
      <c r="J720" s="10"/>
    </row>
    <row r="721">
      <c r="A721" s="1" t="str">
        <f>IFNA(right(VLOOKUP(pts_traje!$A721,trj!$B$2:$D1000,3,FALSE),4),"")</f>
        <v/>
      </c>
      <c r="B721" s="10"/>
      <c r="C721" s="10"/>
      <c r="D721" s="1" t="str">
        <f>IFNA(VLOOKUP(pts_traje!$D721,FIX!$A$2:$D1000,4,FALSE),"")</f>
        <v/>
      </c>
      <c r="E721" s="10"/>
      <c r="F721" s="10"/>
      <c r="G721" s="10"/>
      <c r="H721" s="10"/>
      <c r="I721" s="10" t="str">
        <f>IF(pts_traje!$I721&lt;&gt;0,(ROUND(pts_traje!$I721+(pts_traje!$I721*0.02*pts_traje!$H721/1000),0)),"")</f>
        <v/>
      </c>
      <c r="J721" s="10"/>
    </row>
    <row r="722">
      <c r="A722" s="1" t="str">
        <f>IFNA(right(VLOOKUP(pts_traje!$A722,trj!$B$2:$D1000,3,FALSE),4),"")</f>
        <v/>
      </c>
      <c r="B722" s="10"/>
      <c r="C722" s="10"/>
      <c r="D722" s="1" t="str">
        <f>IFNA(VLOOKUP(pts_traje!$D722,FIX!$A$2:$D1000,4,FALSE),"")</f>
        <v/>
      </c>
      <c r="E722" s="10"/>
      <c r="F722" s="10"/>
      <c r="G722" s="10"/>
      <c r="H722" s="10"/>
      <c r="I722" s="10" t="str">
        <f>IF(pts_traje!$I722&lt;&gt;0,(ROUND(pts_traje!$I722+(pts_traje!$I722*0.02*pts_traje!$H722/1000),0)),"")</f>
        <v/>
      </c>
      <c r="J722" s="10"/>
    </row>
    <row r="723">
      <c r="A723" s="1" t="str">
        <f>IFNA(right(VLOOKUP(pts_traje!$A723,trj!$B$2:$D1000,3,FALSE),4),"")</f>
        <v/>
      </c>
      <c r="B723" s="10"/>
      <c r="C723" s="10"/>
      <c r="D723" s="1" t="str">
        <f>IFNA(VLOOKUP(pts_traje!$D723,FIX!$A$2:$D1000,4,FALSE),"")</f>
        <v/>
      </c>
      <c r="E723" s="10"/>
      <c r="F723" s="10"/>
      <c r="G723" s="10"/>
      <c r="H723" s="10"/>
      <c r="I723" s="10" t="str">
        <f>IF(pts_traje!$I723&lt;&gt;0,(ROUND(pts_traje!$I723+(pts_traje!$I723*0.02*pts_traje!$H723/1000),0)),"")</f>
        <v/>
      </c>
      <c r="J723" s="10"/>
    </row>
    <row r="724">
      <c r="A724" s="1" t="str">
        <f>IFNA(right(VLOOKUP(pts_traje!$A724,trj!$B$2:$D1000,3,FALSE),4),"")</f>
        <v/>
      </c>
      <c r="B724" s="10"/>
      <c r="C724" s="10"/>
      <c r="D724" s="1" t="str">
        <f>IFNA(VLOOKUP(pts_traje!$D724,FIX!$A$2:$D1000,4,FALSE),"")</f>
        <v/>
      </c>
      <c r="E724" s="10"/>
      <c r="F724" s="10"/>
      <c r="G724" s="10"/>
      <c r="H724" s="10"/>
      <c r="I724" s="10" t="str">
        <f>IF(pts_traje!$I724&lt;&gt;0,(ROUND(pts_traje!$I724+(pts_traje!$I724*0.02*pts_traje!$H724/1000),0)),"")</f>
        <v/>
      </c>
      <c r="J724" s="10"/>
    </row>
    <row r="725">
      <c r="A725" s="1" t="str">
        <f>IFNA(right(VLOOKUP(pts_traje!$A725,trj!$B$2:$D1000,3,FALSE),4),"")</f>
        <v/>
      </c>
      <c r="B725" s="10"/>
      <c r="C725" s="10"/>
      <c r="D725" s="1" t="str">
        <f>IFNA(VLOOKUP(pts_traje!$D725,FIX!$A$2:$D1000,4,FALSE),"")</f>
        <v/>
      </c>
      <c r="E725" s="10"/>
      <c r="F725" s="10"/>
      <c r="G725" s="10"/>
      <c r="H725" s="10"/>
      <c r="I725" s="10" t="str">
        <f>IF(pts_traje!$I725&lt;&gt;0,(ROUND(pts_traje!$I725+(pts_traje!$I725*0.02*pts_traje!$H725/1000),0)),"")</f>
        <v/>
      </c>
      <c r="J725" s="10"/>
    </row>
    <row r="726">
      <c r="A726" s="1" t="str">
        <f>IFNA(right(VLOOKUP(pts_traje!$A726,trj!$B$2:$D1000,3,FALSE),4),"")</f>
        <v/>
      </c>
      <c r="B726" s="10"/>
      <c r="C726" s="10"/>
      <c r="D726" s="1" t="str">
        <f>IFNA(VLOOKUP(pts_traje!$D726,FIX!$A$2:$D1000,4,FALSE),"")</f>
        <v/>
      </c>
      <c r="E726" s="10"/>
      <c r="F726" s="10"/>
      <c r="G726" s="10"/>
      <c r="H726" s="10"/>
      <c r="I726" s="10" t="str">
        <f>IF(pts_traje!$I726&lt;&gt;0,(ROUND(pts_traje!$I726+(pts_traje!$I726*0.02*pts_traje!$H726/1000),0)),"")</f>
        <v/>
      </c>
      <c r="J726" s="10"/>
    </row>
    <row r="727">
      <c r="A727" s="1" t="str">
        <f>IFNA(right(VLOOKUP(pts_traje!$A727,trj!$B$2:$D1000,3,FALSE),4),"")</f>
        <v/>
      </c>
      <c r="B727" s="10"/>
      <c r="C727" s="10"/>
      <c r="D727" s="1" t="str">
        <f>IFNA(VLOOKUP(pts_traje!$D727,FIX!$A$2:$D1000,4,FALSE),"")</f>
        <v/>
      </c>
      <c r="E727" s="10"/>
      <c r="F727" s="10"/>
      <c r="G727" s="10"/>
      <c r="H727" s="10"/>
      <c r="I727" s="10" t="str">
        <f>IF(pts_traje!$I727&lt;&gt;0,(ROUND(pts_traje!$I727+(pts_traje!$I727*0.02*pts_traje!$H727/1000),0)),"")</f>
        <v/>
      </c>
      <c r="J727" s="10"/>
    </row>
    <row r="728">
      <c r="A728" s="1" t="str">
        <f>IFNA(right(VLOOKUP(pts_traje!$A728,trj!$B$2:$D1000,3,FALSE),4),"")</f>
        <v/>
      </c>
      <c r="B728" s="10"/>
      <c r="C728" s="10"/>
      <c r="D728" s="1" t="str">
        <f>IFNA(VLOOKUP(pts_traje!$D728,FIX!$A$2:$D1000,4,FALSE),"")</f>
        <v/>
      </c>
      <c r="E728" s="10"/>
      <c r="F728" s="10"/>
      <c r="G728" s="10"/>
      <c r="H728" s="10"/>
      <c r="I728" s="10" t="str">
        <f>IF(pts_traje!$I728&lt;&gt;0,(ROUND(pts_traje!$I728+(pts_traje!$I728*0.02*pts_traje!$H728/1000),0)),"")</f>
        <v/>
      </c>
      <c r="J728" s="10"/>
    </row>
    <row r="729">
      <c r="A729" s="1" t="str">
        <f>IFNA(right(VLOOKUP(pts_traje!$A729,trj!$B$2:$D1000,3,FALSE),4),"")</f>
        <v/>
      </c>
      <c r="B729" s="10"/>
      <c r="C729" s="10"/>
      <c r="D729" s="1" t="str">
        <f>IFNA(VLOOKUP(pts_traje!$D729,FIX!$A$2:$D1000,4,FALSE),"")</f>
        <v/>
      </c>
      <c r="E729" s="10"/>
      <c r="F729" s="10"/>
      <c r="G729" s="10"/>
      <c r="H729" s="10"/>
      <c r="I729" s="10" t="str">
        <f>IF(pts_traje!$I729&lt;&gt;0,(ROUND(pts_traje!$I729+(pts_traje!$I729*0.02*pts_traje!$H729/1000),0)),"")</f>
        <v/>
      </c>
      <c r="J729" s="10"/>
    </row>
    <row r="730">
      <c r="A730" s="1" t="str">
        <f>IFNA(right(VLOOKUP(pts_traje!$A730,trj!$B$2:$D1000,3,FALSE),4),"")</f>
        <v/>
      </c>
      <c r="B730" s="10"/>
      <c r="C730" s="10"/>
      <c r="D730" s="1" t="str">
        <f>IFNA(VLOOKUP(pts_traje!$D730,FIX!$A$2:$D1000,4,FALSE),"")</f>
        <v/>
      </c>
      <c r="E730" s="10"/>
      <c r="F730" s="10"/>
      <c r="G730" s="10"/>
      <c r="H730" s="10"/>
      <c r="I730" s="10" t="str">
        <f>IF(pts_traje!$I730&lt;&gt;0,(ROUND(pts_traje!$I730+(pts_traje!$I730*0.02*pts_traje!$H730/1000),0)),"")</f>
        <v/>
      </c>
      <c r="J730" s="10"/>
    </row>
    <row r="731">
      <c r="A731" s="1" t="str">
        <f>IFNA(right(VLOOKUP(pts_traje!$A731,trj!$B$2:$D1000,3,FALSE),4),"")</f>
        <v/>
      </c>
      <c r="B731" s="10"/>
      <c r="C731" s="10"/>
      <c r="D731" s="1" t="str">
        <f>IFNA(VLOOKUP(pts_traje!$D731,FIX!$A$2:$D1000,4,FALSE),"")</f>
        <v/>
      </c>
      <c r="E731" s="10"/>
      <c r="F731" s="10"/>
      <c r="G731" s="10"/>
      <c r="H731" s="10"/>
      <c r="I731" s="10" t="str">
        <f>IF(pts_traje!$I731&lt;&gt;0,(ROUND(pts_traje!$I731+(pts_traje!$I731*0.02*pts_traje!$H731/1000),0)),"")</f>
        <v/>
      </c>
      <c r="J731" s="10"/>
    </row>
    <row r="732">
      <c r="A732" s="1" t="str">
        <f>IFNA(right(VLOOKUP(pts_traje!$A732,trj!$B$2:$D1000,3,FALSE),4),"")</f>
        <v/>
      </c>
      <c r="B732" s="10"/>
      <c r="C732" s="10"/>
      <c r="D732" s="1" t="str">
        <f>IFNA(VLOOKUP(pts_traje!$D732,FIX!$A$2:$D1000,4,FALSE),"")</f>
        <v/>
      </c>
      <c r="E732" s="10"/>
      <c r="F732" s="10"/>
      <c r="G732" s="10"/>
      <c r="H732" s="10"/>
      <c r="I732" s="10" t="str">
        <f>IF(pts_traje!$I732&lt;&gt;0,(ROUND(pts_traje!$I732+(pts_traje!$I732*0.02*pts_traje!$H732/1000),0)),"")</f>
        <v/>
      </c>
      <c r="J732" s="10"/>
    </row>
    <row r="733">
      <c r="A733" s="1" t="str">
        <f>IFNA(right(VLOOKUP(pts_traje!$A733,trj!$B$2:$D1000,3,FALSE),4),"")</f>
        <v/>
      </c>
      <c r="B733" s="10"/>
      <c r="C733" s="10"/>
      <c r="D733" s="1" t="str">
        <f>IFNA(VLOOKUP(pts_traje!$D733,FIX!$A$2:$D1000,4,FALSE),"")</f>
        <v/>
      </c>
      <c r="E733" s="10"/>
      <c r="F733" s="10"/>
      <c r="G733" s="10"/>
      <c r="H733" s="10"/>
      <c r="I733" s="10" t="str">
        <f>IF(pts_traje!$I733&lt;&gt;0,(ROUND(pts_traje!$I733+(pts_traje!$I733*0.02*pts_traje!$H733/1000),0)),"")</f>
        <v/>
      </c>
      <c r="J733" s="10"/>
    </row>
    <row r="734">
      <c r="A734" s="1" t="str">
        <f>IFNA(right(VLOOKUP(pts_traje!$A734,trj!$B$2:$D1000,3,FALSE),4),"")</f>
        <v/>
      </c>
      <c r="B734" s="10"/>
      <c r="C734" s="10"/>
      <c r="D734" s="1" t="str">
        <f>IFNA(VLOOKUP(pts_traje!$D734,FIX!$A$2:$D1000,4,FALSE),"")</f>
        <v/>
      </c>
      <c r="E734" s="10"/>
      <c r="F734" s="10"/>
      <c r="G734" s="10"/>
      <c r="H734" s="10"/>
      <c r="I734" s="10" t="str">
        <f>IF(pts_traje!$I734&lt;&gt;0,(ROUND(pts_traje!$I734+(pts_traje!$I734*0.02*pts_traje!$H734/1000),0)),"")</f>
        <v/>
      </c>
      <c r="J734" s="10"/>
    </row>
    <row r="735">
      <c r="A735" s="1" t="str">
        <f>IFNA(right(VLOOKUP(pts_traje!$A735,trj!$B$2:$D1000,3,FALSE),4),"")</f>
        <v/>
      </c>
      <c r="B735" s="10"/>
      <c r="C735" s="10"/>
      <c r="D735" s="1" t="str">
        <f>IFNA(VLOOKUP(pts_traje!$D735,FIX!$A$2:$D1000,4,FALSE),"")</f>
        <v/>
      </c>
      <c r="E735" s="10"/>
      <c r="F735" s="10"/>
      <c r="G735" s="10"/>
      <c r="H735" s="10"/>
      <c r="I735" s="10" t="str">
        <f>IF(pts_traje!$I735&lt;&gt;0,(ROUND(pts_traje!$I735+(pts_traje!$I735*0.02*pts_traje!$H735/1000),0)),"")</f>
        <v/>
      </c>
      <c r="J735" s="10"/>
    </row>
    <row r="736">
      <c r="A736" s="1" t="str">
        <f>IFNA(right(VLOOKUP(pts_traje!$A736,trj!$B$2:$D1000,3,FALSE),4),"")</f>
        <v/>
      </c>
      <c r="B736" s="10"/>
      <c r="C736" s="10"/>
      <c r="D736" s="1" t="str">
        <f>IFNA(VLOOKUP(pts_traje!$D736,FIX!$A$2:$D1000,4,FALSE),"")</f>
        <v/>
      </c>
      <c r="E736" s="10"/>
      <c r="F736" s="10"/>
      <c r="G736" s="10"/>
      <c r="H736" s="10"/>
      <c r="I736" s="10" t="str">
        <f>IF(pts_traje!$I736&lt;&gt;0,(ROUND(pts_traje!$I736+(pts_traje!$I736*0.02*pts_traje!$H736/1000),0)),"")</f>
        <v/>
      </c>
      <c r="J736" s="10"/>
    </row>
    <row r="737">
      <c r="A737" s="1" t="str">
        <f>IFNA(right(VLOOKUP(pts_traje!$A737,trj!$B$2:$D1000,3,FALSE),4),"")</f>
        <v/>
      </c>
      <c r="B737" s="10"/>
      <c r="C737" s="10"/>
      <c r="D737" s="1" t="str">
        <f>IFNA(VLOOKUP(pts_traje!$D737,FIX!$A$2:$D1000,4,FALSE),"")</f>
        <v/>
      </c>
      <c r="E737" s="10"/>
      <c r="F737" s="10"/>
      <c r="G737" s="10"/>
      <c r="H737" s="10"/>
      <c r="I737" s="10" t="str">
        <f>IF(pts_traje!$I737&lt;&gt;0,(ROUND(pts_traje!$I737+(pts_traje!$I737*0.02*pts_traje!$H737/1000),0)),"")</f>
        <v/>
      </c>
      <c r="J737" s="10"/>
    </row>
    <row r="738">
      <c r="A738" s="1" t="str">
        <f>IFNA(right(VLOOKUP(pts_traje!$A738,trj!$B$2:$D1000,3,FALSE),4),"")</f>
        <v/>
      </c>
      <c r="B738" s="10"/>
      <c r="C738" s="10"/>
      <c r="D738" s="1" t="str">
        <f>IFNA(VLOOKUP(pts_traje!$D738,FIX!$A$2:$D1000,4,FALSE),"")</f>
        <v/>
      </c>
      <c r="E738" s="10"/>
      <c r="F738" s="10"/>
      <c r="G738" s="10"/>
      <c r="H738" s="10"/>
      <c r="I738" s="10" t="str">
        <f>IF(pts_traje!$I738&lt;&gt;0,(ROUND(pts_traje!$I738+(pts_traje!$I738*0.02*pts_traje!$H738/1000),0)),"")</f>
        <v/>
      </c>
      <c r="J738" s="10"/>
    </row>
    <row r="739">
      <c r="A739" s="1" t="str">
        <f>IFNA(right(VLOOKUP(pts_traje!$A739,trj!$B$2:$D1000,3,FALSE),4),"")</f>
        <v/>
      </c>
      <c r="B739" s="10"/>
      <c r="C739" s="10"/>
      <c r="D739" s="1" t="str">
        <f>IFNA(VLOOKUP(pts_traje!$D739,FIX!$A$2:$D1000,4,FALSE),"")</f>
        <v/>
      </c>
      <c r="E739" s="10"/>
      <c r="F739" s="10"/>
      <c r="G739" s="10"/>
      <c r="H739" s="10"/>
      <c r="I739" s="10" t="str">
        <f>IF(pts_traje!$I739&lt;&gt;0,(ROUND(pts_traje!$I739+(pts_traje!$I739*0.02*pts_traje!$H739/1000),0)),"")</f>
        <v/>
      </c>
      <c r="J739" s="10"/>
    </row>
    <row r="740">
      <c r="A740" s="1" t="str">
        <f>IFNA(right(VLOOKUP(pts_traje!$A740,trj!$B$2:$D1000,3,FALSE),4),"")</f>
        <v/>
      </c>
      <c r="B740" s="10"/>
      <c r="C740" s="10"/>
      <c r="D740" s="1" t="str">
        <f>IFNA(VLOOKUP(pts_traje!$D740,FIX!$A$2:$D1000,4,FALSE),"")</f>
        <v/>
      </c>
      <c r="E740" s="10"/>
      <c r="F740" s="10"/>
      <c r="G740" s="10"/>
      <c r="H740" s="10"/>
      <c r="I740" s="10" t="str">
        <f>IF(pts_traje!$I740&lt;&gt;0,(ROUND(pts_traje!$I740+(pts_traje!$I740*0.02*pts_traje!$H740/1000),0)),"")</f>
        <v/>
      </c>
      <c r="J740" s="10"/>
    </row>
    <row r="741">
      <c r="A741" s="1" t="str">
        <f>IFNA(right(VLOOKUP(pts_traje!$A741,trj!$B$2:$D1000,3,FALSE),4),"")</f>
        <v/>
      </c>
      <c r="B741" s="10"/>
      <c r="C741" s="10"/>
      <c r="D741" s="1" t="str">
        <f>IFNA(VLOOKUP(pts_traje!$D741,FIX!$A$2:$D1000,4,FALSE),"")</f>
        <v/>
      </c>
      <c r="E741" s="10"/>
      <c r="F741" s="10"/>
      <c r="G741" s="10"/>
      <c r="H741" s="10"/>
      <c r="I741" s="10" t="str">
        <f>IF(pts_traje!$I741&lt;&gt;0,(ROUND(pts_traje!$I741+(pts_traje!$I741*0.02*pts_traje!$H741/1000),0)),"")</f>
        <v/>
      </c>
      <c r="J741" s="10"/>
    </row>
    <row r="742">
      <c r="A742" s="1" t="str">
        <f>IFNA(right(VLOOKUP(pts_traje!$A742,trj!$B$2:$D1000,3,FALSE),4),"")</f>
        <v/>
      </c>
      <c r="B742" s="10"/>
      <c r="C742" s="10"/>
      <c r="D742" s="1" t="str">
        <f>IFNA(VLOOKUP(pts_traje!$D742,FIX!$A$2:$D1000,4,FALSE),"")</f>
        <v/>
      </c>
      <c r="E742" s="10"/>
      <c r="F742" s="10"/>
      <c r="G742" s="10"/>
      <c r="H742" s="10"/>
      <c r="I742" s="10" t="str">
        <f>IF(pts_traje!$I742&lt;&gt;0,(ROUND(pts_traje!$I742+(pts_traje!$I742*0.02*pts_traje!$H742/1000),0)),"")</f>
        <v/>
      </c>
      <c r="J742" s="10"/>
    </row>
    <row r="743">
      <c r="A743" s="1" t="str">
        <f>IFNA(right(VLOOKUP(pts_traje!$A743,trj!$B$2:$D1000,3,FALSE),4),"")</f>
        <v/>
      </c>
      <c r="B743" s="10"/>
      <c r="C743" s="10"/>
      <c r="D743" s="1" t="str">
        <f>IFNA(VLOOKUP(pts_traje!$D743,FIX!$A$2:$D1000,4,FALSE),"")</f>
        <v/>
      </c>
      <c r="E743" s="10"/>
      <c r="F743" s="10"/>
      <c r="G743" s="10"/>
      <c r="H743" s="10"/>
      <c r="I743" s="10" t="str">
        <f>IF(pts_traje!$I743&lt;&gt;0,(ROUND(pts_traje!$I743+(pts_traje!$I743*0.02*pts_traje!$H743/1000),0)),"")</f>
        <v/>
      </c>
      <c r="J743" s="10"/>
    </row>
    <row r="744">
      <c r="A744" s="1" t="str">
        <f>IFNA(right(VLOOKUP(pts_traje!$A744,trj!$B$2:$D1000,3,FALSE),4),"")</f>
        <v/>
      </c>
      <c r="B744" s="10"/>
      <c r="C744" s="10"/>
      <c r="D744" s="1" t="str">
        <f>IFNA(VLOOKUP(pts_traje!$D744,FIX!$A$2:$D1000,4,FALSE),"")</f>
        <v/>
      </c>
      <c r="E744" s="10"/>
      <c r="F744" s="10"/>
      <c r="G744" s="10"/>
      <c r="H744" s="10"/>
      <c r="I744" s="10" t="str">
        <f>IF(pts_traje!$I744&lt;&gt;0,(ROUND(pts_traje!$I744+(pts_traje!$I744*0.02*pts_traje!$H744/1000),0)),"")</f>
        <v/>
      </c>
      <c r="J744" s="10"/>
    </row>
    <row r="745">
      <c r="A745" s="1" t="str">
        <f>IFNA(right(VLOOKUP(pts_traje!$A745,trj!$B$2:$D1000,3,FALSE),4),"")</f>
        <v/>
      </c>
      <c r="B745" s="10"/>
      <c r="C745" s="10"/>
      <c r="D745" s="1" t="str">
        <f>IFNA(VLOOKUP(pts_traje!$D745,FIX!$A$2:$D1000,4,FALSE),"")</f>
        <v/>
      </c>
      <c r="E745" s="10"/>
      <c r="F745" s="10"/>
      <c r="G745" s="10"/>
      <c r="H745" s="10"/>
      <c r="I745" s="10" t="str">
        <f>IF(pts_traje!$I745&lt;&gt;0,(ROUND(pts_traje!$I745+(pts_traje!$I745*0.02*pts_traje!$H745/1000),0)),"")</f>
        <v/>
      </c>
      <c r="J745" s="10"/>
    </row>
    <row r="746">
      <c r="A746" s="1" t="str">
        <f>IFNA(right(VLOOKUP(pts_traje!$A746,trj!$B$2:$D1000,3,FALSE),4),"")</f>
        <v/>
      </c>
      <c r="B746" s="10"/>
      <c r="C746" s="10"/>
      <c r="D746" s="1" t="str">
        <f>IFNA(VLOOKUP(pts_traje!$D746,FIX!$A$2:$D1000,4,FALSE),"")</f>
        <v/>
      </c>
      <c r="E746" s="10"/>
      <c r="F746" s="10"/>
      <c r="G746" s="10"/>
      <c r="H746" s="10"/>
      <c r="I746" s="10" t="str">
        <f>IF(pts_traje!$I746&lt;&gt;0,(ROUND(pts_traje!$I746+(pts_traje!$I746*0.02*pts_traje!$H746/1000),0)),"")</f>
        <v/>
      </c>
      <c r="J746" s="10"/>
    </row>
    <row r="747">
      <c r="A747" s="1" t="str">
        <f>IFNA(right(VLOOKUP(pts_traje!$A747,trj!$B$2:$D1000,3,FALSE),4),"")</f>
        <v/>
      </c>
      <c r="B747" s="10"/>
      <c r="C747" s="10"/>
      <c r="D747" s="1" t="str">
        <f>IFNA(VLOOKUP(pts_traje!$D747,FIX!$A$2:$D1000,4,FALSE),"")</f>
        <v/>
      </c>
      <c r="E747" s="10"/>
      <c r="F747" s="10"/>
      <c r="G747" s="10"/>
      <c r="H747" s="10"/>
      <c r="I747" s="10" t="str">
        <f>IF(pts_traje!$I747&lt;&gt;0,(ROUND(pts_traje!$I747+(pts_traje!$I747*0.02*pts_traje!$H747/1000),0)),"")</f>
        <v/>
      </c>
      <c r="J747" s="10"/>
    </row>
    <row r="748">
      <c r="A748" s="1" t="str">
        <f>IFNA(right(VLOOKUP(pts_traje!$A748,trj!$B$2:$D1000,3,FALSE),4),"")</f>
        <v/>
      </c>
      <c r="B748" s="10"/>
      <c r="C748" s="10"/>
      <c r="D748" s="1" t="str">
        <f>IFNA(VLOOKUP(pts_traje!$D748,FIX!$A$2:$D1000,4,FALSE),"")</f>
        <v/>
      </c>
      <c r="E748" s="10"/>
      <c r="F748" s="10"/>
      <c r="G748" s="10"/>
      <c r="H748" s="10"/>
      <c r="I748" s="10" t="str">
        <f>IF(pts_traje!$I748&lt;&gt;0,(ROUND(pts_traje!$I748+(pts_traje!$I748*0.02*pts_traje!$H748/1000),0)),"")</f>
        <v/>
      </c>
      <c r="J748" s="10"/>
    </row>
    <row r="749">
      <c r="A749" s="1" t="str">
        <f>IFNA(right(VLOOKUP(pts_traje!$A749,trj!$B$2:$D1000,3,FALSE),4),"")</f>
        <v/>
      </c>
      <c r="B749" s="10"/>
      <c r="C749" s="10"/>
      <c r="D749" s="1" t="str">
        <f>IFNA(VLOOKUP(pts_traje!$D749,FIX!$A$2:$D1000,4,FALSE),"")</f>
        <v/>
      </c>
      <c r="E749" s="10"/>
      <c r="F749" s="10"/>
      <c r="G749" s="10"/>
      <c r="H749" s="10"/>
      <c r="I749" s="10" t="str">
        <f>IF(pts_traje!$I749&lt;&gt;0,(ROUND(pts_traje!$I749+(pts_traje!$I749*0.02*pts_traje!$H749/1000),0)),"")</f>
        <v/>
      </c>
      <c r="J749" s="10"/>
    </row>
    <row r="750">
      <c r="A750" s="1" t="str">
        <f>IFNA(right(VLOOKUP(pts_traje!$A750,trj!$B$2:$D1000,3,FALSE),4),"")</f>
        <v/>
      </c>
      <c r="B750" s="10"/>
      <c r="C750" s="10"/>
      <c r="D750" s="1" t="str">
        <f>IFNA(VLOOKUP(pts_traje!$D750,FIX!$A$2:$D1000,4,FALSE),"")</f>
        <v/>
      </c>
      <c r="E750" s="10"/>
      <c r="F750" s="10"/>
      <c r="G750" s="10"/>
      <c r="H750" s="10"/>
      <c r="I750" s="10" t="str">
        <f>IF(pts_traje!$I750&lt;&gt;0,(ROUND(pts_traje!$I750+(pts_traje!$I750*0.02*pts_traje!$H750/1000),0)),"")</f>
        <v/>
      </c>
      <c r="J750" s="10"/>
    </row>
    <row r="751">
      <c r="A751" s="1" t="str">
        <f>IFNA(right(VLOOKUP(pts_traje!$A751,trj!$B$2:$D1000,3,FALSE),4),"")</f>
        <v/>
      </c>
      <c r="B751" s="10"/>
      <c r="C751" s="10"/>
      <c r="D751" s="1" t="str">
        <f>IFNA(VLOOKUP(pts_traje!$D751,FIX!$A$2:$D1000,4,FALSE),"")</f>
        <v/>
      </c>
      <c r="E751" s="10"/>
      <c r="F751" s="10"/>
      <c r="G751" s="10"/>
      <c r="H751" s="10"/>
      <c r="I751" s="10" t="str">
        <f>IF(pts_traje!$I751&lt;&gt;0,(ROUND(pts_traje!$I751+(pts_traje!$I751*0.02*pts_traje!$H751/1000),0)),"")</f>
        <v/>
      </c>
      <c r="J751" s="10"/>
    </row>
    <row r="752">
      <c r="A752" s="1" t="str">
        <f>IFNA(right(VLOOKUP(pts_traje!$A752,trj!$B$2:$D1000,3,FALSE),4),"")</f>
        <v/>
      </c>
      <c r="B752" s="10"/>
      <c r="C752" s="10"/>
      <c r="D752" s="1" t="str">
        <f>IFNA(VLOOKUP(pts_traje!$D752,FIX!$A$2:$D1000,4,FALSE),"")</f>
        <v/>
      </c>
      <c r="E752" s="10"/>
      <c r="F752" s="10"/>
      <c r="G752" s="10"/>
      <c r="H752" s="10"/>
      <c r="I752" s="10" t="str">
        <f>IF(pts_traje!$I752&lt;&gt;0,(ROUND(pts_traje!$I752+(pts_traje!$I752*0.02*pts_traje!$H752/1000),0)),"")</f>
        <v/>
      </c>
      <c r="J752" s="10"/>
    </row>
    <row r="753">
      <c r="A753" s="1" t="str">
        <f>IFNA(right(VLOOKUP(pts_traje!$A753,trj!$B$2:$D1000,3,FALSE),4),"")</f>
        <v/>
      </c>
      <c r="B753" s="10"/>
      <c r="C753" s="10"/>
      <c r="D753" s="1" t="str">
        <f>IFNA(VLOOKUP(pts_traje!$D753,FIX!$A$2:$D1000,4,FALSE),"")</f>
        <v/>
      </c>
      <c r="E753" s="10"/>
      <c r="F753" s="10"/>
      <c r="G753" s="10"/>
      <c r="H753" s="10"/>
      <c r="I753" s="10" t="str">
        <f>IF(pts_traje!$I753&lt;&gt;0,(ROUND(pts_traje!$I753+(pts_traje!$I753*0.02*pts_traje!$H753/1000),0)),"")</f>
        <v/>
      </c>
      <c r="J753" s="10"/>
    </row>
    <row r="754">
      <c r="A754" s="1" t="str">
        <f>IFNA(right(VLOOKUP(pts_traje!$A754,trj!$B$2:$D1000,3,FALSE),4),"")</f>
        <v/>
      </c>
      <c r="B754" s="10"/>
      <c r="C754" s="10"/>
      <c r="D754" s="1" t="str">
        <f>IFNA(VLOOKUP(pts_traje!$D754,FIX!$A$2:$D1000,4,FALSE),"")</f>
        <v/>
      </c>
      <c r="E754" s="10"/>
      <c r="F754" s="10"/>
      <c r="G754" s="10"/>
      <c r="H754" s="10"/>
      <c r="I754" s="10" t="str">
        <f>IF(pts_traje!$I754&lt;&gt;0,(ROUND(pts_traje!$I754+(pts_traje!$I754*0.02*pts_traje!$H754/1000),0)),"")</f>
        <v/>
      </c>
      <c r="J754" s="10"/>
    </row>
    <row r="755">
      <c r="A755" s="1" t="str">
        <f>IFNA(right(VLOOKUP(pts_traje!$A755,trj!$B$2:$D1000,3,FALSE),4),"")</f>
        <v/>
      </c>
      <c r="B755" s="10"/>
      <c r="C755" s="10"/>
      <c r="D755" s="1" t="str">
        <f>IFNA(VLOOKUP(pts_traje!$D755,FIX!$A$2:$D1000,4,FALSE),"")</f>
        <v/>
      </c>
      <c r="E755" s="10"/>
      <c r="F755" s="10"/>
      <c r="G755" s="10"/>
      <c r="H755" s="10"/>
      <c r="I755" s="10" t="str">
        <f>IF(pts_traje!$I755&lt;&gt;0,(ROUND(pts_traje!$I755+(pts_traje!$I755*0.02*pts_traje!$H755/1000),0)),"")</f>
        <v/>
      </c>
      <c r="J755" s="10"/>
    </row>
    <row r="756">
      <c r="A756" s="1" t="str">
        <f>IFNA(right(VLOOKUP(pts_traje!$A756,trj!$B$2:$D1000,3,FALSE),4),"")</f>
        <v/>
      </c>
      <c r="B756" s="10"/>
      <c r="C756" s="10"/>
      <c r="D756" s="1" t="str">
        <f>IFNA(VLOOKUP(pts_traje!$D756,FIX!$A$2:$D1000,4,FALSE),"")</f>
        <v/>
      </c>
      <c r="E756" s="10"/>
      <c r="F756" s="10"/>
      <c r="G756" s="10"/>
      <c r="H756" s="10"/>
      <c r="I756" s="10" t="str">
        <f>IF(pts_traje!$I756&lt;&gt;0,(ROUND(pts_traje!$I756+(pts_traje!$I756*0.02*pts_traje!$H756/1000),0)),"")</f>
        <v/>
      </c>
      <c r="J756" s="10"/>
    </row>
    <row r="757">
      <c r="A757" s="1" t="str">
        <f>IFNA(right(VLOOKUP(pts_traje!$A757,trj!$B$2:$D1000,3,FALSE),4),"")</f>
        <v/>
      </c>
      <c r="B757" s="10"/>
      <c r="C757" s="10"/>
      <c r="D757" s="1" t="str">
        <f>IFNA(VLOOKUP(pts_traje!$D757,FIX!$A$2:$D1000,4,FALSE),"")</f>
        <v/>
      </c>
      <c r="E757" s="10"/>
      <c r="F757" s="10"/>
      <c r="G757" s="10"/>
      <c r="H757" s="10"/>
      <c r="I757" s="10" t="str">
        <f>IF(pts_traje!$I757&lt;&gt;0,(ROUND(pts_traje!$I757+(pts_traje!$I757*0.02*pts_traje!$H757/1000),0)),"")</f>
        <v/>
      </c>
      <c r="J757" s="10"/>
    </row>
    <row r="758">
      <c r="A758" s="1" t="str">
        <f>IFNA(right(VLOOKUP(pts_traje!$A758,trj!$B$2:$D1000,3,FALSE),4),"")</f>
        <v/>
      </c>
      <c r="B758" s="10"/>
      <c r="C758" s="10"/>
      <c r="D758" s="1" t="str">
        <f>IFNA(VLOOKUP(pts_traje!$D758,FIX!$A$2:$D1000,4,FALSE),"")</f>
        <v/>
      </c>
      <c r="E758" s="10"/>
      <c r="F758" s="10"/>
      <c r="G758" s="10"/>
      <c r="H758" s="10"/>
      <c r="I758" s="10" t="str">
        <f>IF(pts_traje!$I758&lt;&gt;0,(ROUND(pts_traje!$I758+(pts_traje!$I758*0.02*pts_traje!$H758/1000),0)),"")</f>
        <v/>
      </c>
      <c r="J758" s="10"/>
    </row>
    <row r="759">
      <c r="A759" s="1" t="str">
        <f>IFNA(right(VLOOKUP(pts_traje!$A759,trj!$B$2:$D1000,3,FALSE),4),"")</f>
        <v/>
      </c>
      <c r="B759" s="10"/>
      <c r="C759" s="10"/>
      <c r="D759" s="1" t="str">
        <f>IFNA(VLOOKUP(pts_traje!$D759,FIX!$A$2:$D1000,4,FALSE),"")</f>
        <v/>
      </c>
      <c r="E759" s="10"/>
      <c r="F759" s="10"/>
      <c r="G759" s="10"/>
      <c r="H759" s="10"/>
      <c r="I759" s="10" t="str">
        <f>IF(pts_traje!$I759&lt;&gt;0,(ROUND(pts_traje!$I759+(pts_traje!$I759*0.02*pts_traje!$H759/1000),0)),"")</f>
        <v/>
      </c>
      <c r="J759" s="10"/>
    </row>
    <row r="760">
      <c r="A760" s="1" t="str">
        <f>IFNA(right(VLOOKUP(pts_traje!$A760,trj!$B$2:$D1000,3,FALSE),4),"")</f>
        <v/>
      </c>
      <c r="B760" s="10"/>
      <c r="C760" s="10"/>
      <c r="D760" s="1" t="str">
        <f>IFNA(VLOOKUP(pts_traje!$D760,FIX!$A$2:$D1000,4,FALSE),"")</f>
        <v/>
      </c>
      <c r="E760" s="10"/>
      <c r="F760" s="10"/>
      <c r="G760" s="10"/>
      <c r="H760" s="10"/>
      <c r="I760" s="10" t="str">
        <f>IF(pts_traje!$I760&lt;&gt;0,(ROUND(pts_traje!$I760+(pts_traje!$I760*0.02*pts_traje!$H760/1000),0)),"")</f>
        <v/>
      </c>
      <c r="J760" s="10"/>
    </row>
    <row r="761">
      <c r="A761" s="1" t="str">
        <f>IFNA(right(VLOOKUP(pts_traje!$A761,trj!$B$2:$D1000,3,FALSE),4),"")</f>
        <v/>
      </c>
      <c r="B761" s="10"/>
      <c r="C761" s="10"/>
      <c r="D761" s="1" t="str">
        <f>IFNA(VLOOKUP(pts_traje!$D761,FIX!$A$2:$D1000,4,FALSE),"")</f>
        <v/>
      </c>
      <c r="E761" s="10"/>
      <c r="F761" s="10"/>
      <c r="G761" s="10"/>
      <c r="H761" s="10"/>
      <c r="I761" s="10" t="str">
        <f>IF(pts_traje!$I761&lt;&gt;0,(ROUND(pts_traje!$I761+(pts_traje!$I761*0.02*pts_traje!$H761/1000),0)),"")</f>
        <v/>
      </c>
      <c r="J761" s="10"/>
    </row>
    <row r="762">
      <c r="A762" s="1" t="str">
        <f>IFNA(right(VLOOKUP(pts_traje!$A762,trj!$B$2:$D1000,3,FALSE),4),"")</f>
        <v/>
      </c>
      <c r="B762" s="10"/>
      <c r="C762" s="10"/>
      <c r="D762" s="1" t="str">
        <f>IFNA(VLOOKUP(pts_traje!$D762,FIX!$A$2:$D1000,4,FALSE),"")</f>
        <v/>
      </c>
      <c r="E762" s="10"/>
      <c r="F762" s="10"/>
      <c r="G762" s="10"/>
      <c r="H762" s="10"/>
      <c r="I762" s="10" t="str">
        <f>IF(pts_traje!$I762&lt;&gt;0,(ROUND(pts_traje!$I762+(pts_traje!$I762*0.02*pts_traje!$H762/1000),0)),"")</f>
        <v/>
      </c>
      <c r="J762" s="10"/>
    </row>
    <row r="763">
      <c r="A763" s="1" t="str">
        <f>IFNA(right(VLOOKUP(pts_traje!$A763,trj!$B$2:$D1000,3,FALSE),4),"")</f>
        <v/>
      </c>
      <c r="B763" s="10"/>
      <c r="C763" s="10"/>
      <c r="D763" s="1" t="str">
        <f>IFNA(VLOOKUP(pts_traje!$D763,FIX!$A$2:$D1000,4,FALSE),"")</f>
        <v/>
      </c>
      <c r="E763" s="10"/>
      <c r="F763" s="10"/>
      <c r="G763" s="10"/>
      <c r="H763" s="10"/>
      <c r="I763" s="10" t="str">
        <f>IF(pts_traje!$I763&lt;&gt;0,(ROUND(pts_traje!$I763+(pts_traje!$I763*0.02*pts_traje!$H763/1000),0)),"")</f>
        <v/>
      </c>
      <c r="J763" s="10"/>
    </row>
    <row r="764">
      <c r="A764" s="1" t="str">
        <f>IFNA(right(VLOOKUP(pts_traje!$A764,trj!$B$2:$D1000,3,FALSE),4),"")</f>
        <v/>
      </c>
      <c r="B764" s="10"/>
      <c r="C764" s="10"/>
      <c r="D764" s="1" t="str">
        <f>IFNA(VLOOKUP(pts_traje!$D764,FIX!$A$2:$D1000,4,FALSE),"")</f>
        <v/>
      </c>
      <c r="E764" s="10"/>
      <c r="F764" s="10"/>
      <c r="G764" s="10"/>
      <c r="H764" s="10"/>
      <c r="I764" s="10" t="str">
        <f>IF(pts_traje!$I764&lt;&gt;0,(ROUND(pts_traje!$I764+(pts_traje!$I764*0.02*pts_traje!$H764/1000),0)),"")</f>
        <v/>
      </c>
      <c r="J764" s="10"/>
    </row>
    <row r="765">
      <c r="A765" s="1" t="str">
        <f>IFNA(right(VLOOKUP(pts_traje!$A765,trj!$B$2:$D1000,3,FALSE),4),"")</f>
        <v/>
      </c>
      <c r="B765" s="10"/>
      <c r="C765" s="10"/>
      <c r="D765" s="1" t="str">
        <f>IFNA(VLOOKUP(pts_traje!$D765,FIX!$A$2:$D1000,4,FALSE),"")</f>
        <v/>
      </c>
      <c r="E765" s="10"/>
      <c r="F765" s="10"/>
      <c r="G765" s="10"/>
      <c r="H765" s="10"/>
      <c r="I765" s="10" t="str">
        <f>IF(pts_traje!$I765&lt;&gt;0,(ROUND(pts_traje!$I765+(pts_traje!$I765*0.02*pts_traje!$H765/1000),0)),"")</f>
        <v/>
      </c>
      <c r="J765" s="10"/>
    </row>
    <row r="766">
      <c r="A766" s="1" t="str">
        <f>IFNA(right(VLOOKUP(pts_traje!$A766,trj!$B$2:$D1000,3,FALSE),4),"")</f>
        <v/>
      </c>
      <c r="B766" s="10"/>
      <c r="C766" s="10"/>
      <c r="D766" s="1" t="str">
        <f>IFNA(VLOOKUP(pts_traje!$D766,FIX!$A$2:$D1000,4,FALSE),"")</f>
        <v/>
      </c>
      <c r="E766" s="10"/>
      <c r="F766" s="10"/>
      <c r="G766" s="10"/>
      <c r="H766" s="10"/>
      <c r="I766" s="10" t="str">
        <f>IF(pts_traje!$I766&lt;&gt;0,(ROUND(pts_traje!$I766+(pts_traje!$I766*0.02*pts_traje!$H766/1000),0)),"")</f>
        <v/>
      </c>
      <c r="J766" s="10"/>
    </row>
    <row r="767">
      <c r="A767" s="1" t="str">
        <f>IFNA(right(VLOOKUP(pts_traje!$A767,trj!$B$2:$D1000,3,FALSE),4),"")</f>
        <v/>
      </c>
      <c r="B767" s="10"/>
      <c r="C767" s="10"/>
      <c r="D767" s="1" t="str">
        <f>IFNA(VLOOKUP(pts_traje!$D767,FIX!$A$2:$D1000,4,FALSE),"")</f>
        <v/>
      </c>
      <c r="E767" s="10"/>
      <c r="F767" s="10"/>
      <c r="G767" s="10"/>
      <c r="H767" s="10"/>
      <c r="I767" s="10" t="str">
        <f>IF(pts_traje!$I767&lt;&gt;0,(ROUND(pts_traje!$I767+(pts_traje!$I767*0.02*pts_traje!$H767/1000),0)),"")</f>
        <v/>
      </c>
      <c r="J767" s="10"/>
    </row>
    <row r="768">
      <c r="A768" s="1" t="str">
        <f>IFNA(right(VLOOKUP(pts_traje!$A768,trj!$B$2:$D1000,3,FALSE),4),"")</f>
        <v/>
      </c>
      <c r="B768" s="10"/>
      <c r="C768" s="10"/>
      <c r="D768" s="1" t="str">
        <f>IFNA(VLOOKUP(pts_traje!$D768,FIX!$A$2:$D1000,4,FALSE),"")</f>
        <v/>
      </c>
      <c r="E768" s="10"/>
      <c r="F768" s="10"/>
      <c r="G768" s="10"/>
      <c r="H768" s="10"/>
      <c r="I768" s="10" t="str">
        <f>IF(pts_traje!$I768&lt;&gt;0,(ROUND(pts_traje!$I768+(pts_traje!$I768*0.02*pts_traje!$H768/1000),0)),"")</f>
        <v/>
      </c>
      <c r="J768" s="10"/>
    </row>
    <row r="769">
      <c r="A769" s="1" t="str">
        <f>IFNA(right(VLOOKUP(pts_traje!$A769,trj!$B$2:$D1000,3,FALSE),4),"")</f>
        <v/>
      </c>
      <c r="B769" s="10"/>
      <c r="C769" s="10"/>
      <c r="D769" s="1" t="str">
        <f>IFNA(VLOOKUP(pts_traje!$D769,FIX!$A$2:$D1000,4,FALSE),"")</f>
        <v/>
      </c>
      <c r="E769" s="10"/>
      <c r="F769" s="10"/>
      <c r="G769" s="10"/>
      <c r="H769" s="10"/>
      <c r="I769" s="10" t="str">
        <f>IF(pts_traje!$I769&lt;&gt;0,(ROUND(pts_traje!$I769+(pts_traje!$I769*0.02*pts_traje!$H769/1000),0)),"")</f>
        <v/>
      </c>
      <c r="J769" s="10"/>
    </row>
    <row r="770">
      <c r="A770" s="1" t="str">
        <f>IFNA(right(VLOOKUP(pts_traje!$A770,trj!$B$2:$D1000,3,FALSE),4),"")</f>
        <v/>
      </c>
      <c r="B770" s="10"/>
      <c r="C770" s="10"/>
      <c r="D770" s="1" t="str">
        <f>IFNA(VLOOKUP(pts_traje!$D770,FIX!$A$2:$D1000,4,FALSE),"")</f>
        <v/>
      </c>
      <c r="E770" s="10"/>
      <c r="F770" s="10"/>
      <c r="G770" s="10"/>
      <c r="H770" s="10"/>
      <c r="I770" s="10" t="str">
        <f>IF(pts_traje!$I770&lt;&gt;0,(ROUND(pts_traje!$I770+(pts_traje!$I770*0.02*pts_traje!$H770/1000),0)),"")</f>
        <v/>
      </c>
      <c r="J770" s="10"/>
    </row>
    <row r="771">
      <c r="A771" s="1" t="str">
        <f>IFNA(right(VLOOKUP(pts_traje!$A771,trj!$B$2:$D1000,3,FALSE),4),"")</f>
        <v/>
      </c>
      <c r="B771" s="10"/>
      <c r="C771" s="10"/>
      <c r="D771" s="1" t="str">
        <f>IFNA(VLOOKUP(pts_traje!$D771,FIX!$A$2:$D1000,4,FALSE),"")</f>
        <v/>
      </c>
      <c r="E771" s="10"/>
      <c r="F771" s="10"/>
      <c r="G771" s="10"/>
      <c r="H771" s="10"/>
      <c r="I771" s="10" t="str">
        <f>IF(pts_traje!$I771&lt;&gt;0,(ROUND(pts_traje!$I771+(pts_traje!$I771*0.02*pts_traje!$H771/1000),0)),"")</f>
        <v/>
      </c>
      <c r="J771" s="10"/>
    </row>
    <row r="772">
      <c r="A772" s="1" t="str">
        <f>IFNA(right(VLOOKUP(pts_traje!$A772,trj!$B$2:$D1000,3,FALSE),4),"")</f>
        <v/>
      </c>
      <c r="B772" s="10"/>
      <c r="C772" s="10"/>
      <c r="D772" s="1" t="str">
        <f>IFNA(VLOOKUP(pts_traje!$D772,FIX!$A$2:$D1000,4,FALSE),"")</f>
        <v/>
      </c>
      <c r="E772" s="10"/>
      <c r="F772" s="10"/>
      <c r="G772" s="10"/>
      <c r="H772" s="10"/>
      <c r="I772" s="10" t="str">
        <f>IF(pts_traje!$I772&lt;&gt;0,(ROUND(pts_traje!$I772+(pts_traje!$I772*0.02*pts_traje!$H772/1000),0)),"")</f>
        <v/>
      </c>
      <c r="J772" s="10"/>
    </row>
    <row r="773">
      <c r="A773" s="1" t="str">
        <f>IFNA(right(VLOOKUP(pts_traje!$A773,trj!$B$2:$D1000,3,FALSE),4),"")</f>
        <v/>
      </c>
      <c r="B773" s="10"/>
      <c r="C773" s="10"/>
      <c r="D773" s="1" t="str">
        <f>IFNA(VLOOKUP(pts_traje!$D773,FIX!$A$2:$D1000,4,FALSE),"")</f>
        <v/>
      </c>
      <c r="E773" s="10"/>
      <c r="F773" s="10"/>
      <c r="G773" s="10"/>
      <c r="H773" s="10"/>
      <c r="I773" s="10" t="str">
        <f>IF(pts_traje!$I773&lt;&gt;0,(ROUND(pts_traje!$I773+(pts_traje!$I773*0.02*pts_traje!$H773/1000),0)),"")</f>
        <v/>
      </c>
      <c r="J773" s="10"/>
    </row>
    <row r="774">
      <c r="A774" s="1" t="str">
        <f>IFNA(right(VLOOKUP(pts_traje!$A774,trj!$B$2:$D1000,3,FALSE),4),"")</f>
        <v/>
      </c>
      <c r="B774" s="10"/>
      <c r="C774" s="10"/>
      <c r="D774" s="1" t="str">
        <f>IFNA(VLOOKUP(pts_traje!$D774,FIX!$A$2:$D1000,4,FALSE),"")</f>
        <v/>
      </c>
      <c r="E774" s="10"/>
      <c r="F774" s="10"/>
      <c r="G774" s="10"/>
      <c r="H774" s="10"/>
      <c r="I774" s="10" t="str">
        <f>IF(pts_traje!$I774&lt;&gt;0,(ROUND(pts_traje!$I774+(pts_traje!$I774*0.02*pts_traje!$H774/1000),0)),"")</f>
        <v/>
      </c>
      <c r="J774" s="10"/>
    </row>
    <row r="775">
      <c r="A775" s="1" t="str">
        <f>IFNA(right(VLOOKUP(pts_traje!$A775,trj!$B$2:$D1000,3,FALSE),4),"")</f>
        <v/>
      </c>
      <c r="B775" s="10"/>
      <c r="C775" s="10"/>
      <c r="D775" s="1" t="str">
        <f>IFNA(VLOOKUP(pts_traje!$D775,FIX!$A$2:$D1000,4,FALSE),"")</f>
        <v/>
      </c>
      <c r="E775" s="10"/>
      <c r="F775" s="10"/>
      <c r="G775" s="10"/>
      <c r="H775" s="10"/>
      <c r="I775" s="10" t="str">
        <f>IF(pts_traje!$I775&lt;&gt;0,(ROUND(pts_traje!$I775+(pts_traje!$I775*0.02*pts_traje!$H775/1000),0)),"")</f>
        <v/>
      </c>
      <c r="J775" s="10"/>
    </row>
    <row r="776">
      <c r="A776" s="1" t="str">
        <f>IFNA(right(VLOOKUP(pts_traje!$A776,trj!$B$2:$D1000,3,FALSE),4),"")</f>
        <v/>
      </c>
      <c r="B776" s="10"/>
      <c r="C776" s="10"/>
      <c r="D776" s="1" t="str">
        <f>IFNA(VLOOKUP(pts_traje!$D776,FIX!$A$2:$D1000,4,FALSE),"")</f>
        <v/>
      </c>
      <c r="E776" s="10"/>
      <c r="F776" s="10"/>
      <c r="G776" s="10"/>
      <c r="H776" s="10"/>
      <c r="I776" s="10" t="str">
        <f>IF(pts_traje!$I776&lt;&gt;0,(ROUND(pts_traje!$I776+(pts_traje!$I776*0.02*pts_traje!$H776/1000),0)),"")</f>
        <v/>
      </c>
      <c r="J776" s="10"/>
    </row>
    <row r="777">
      <c r="A777" s="1" t="str">
        <f>IFNA(right(VLOOKUP(pts_traje!$A777,trj!$B$2:$D1000,3,FALSE),4),"")</f>
        <v/>
      </c>
      <c r="B777" s="10"/>
      <c r="C777" s="10"/>
      <c r="D777" s="1" t="str">
        <f>IFNA(VLOOKUP(pts_traje!$D777,FIX!$A$2:$D1000,4,FALSE),"")</f>
        <v/>
      </c>
      <c r="E777" s="10"/>
      <c r="F777" s="10"/>
      <c r="G777" s="10"/>
      <c r="H777" s="10"/>
      <c r="I777" s="10" t="str">
        <f>IF(pts_traje!$I777&lt;&gt;0,(ROUND(pts_traje!$I777+(pts_traje!$I777*0.02*pts_traje!$H777/1000),0)),"")</f>
        <v/>
      </c>
      <c r="J777" s="10"/>
    </row>
    <row r="778">
      <c r="A778" s="1" t="str">
        <f>IFNA(right(VLOOKUP(pts_traje!$A778,trj!$B$2:$D1000,3,FALSE),4),"")</f>
        <v/>
      </c>
      <c r="B778" s="10"/>
      <c r="C778" s="10"/>
      <c r="D778" s="1" t="str">
        <f>IFNA(VLOOKUP(pts_traje!$D778,FIX!$A$2:$D1000,4,FALSE),"")</f>
        <v/>
      </c>
      <c r="E778" s="10"/>
      <c r="F778" s="10"/>
      <c r="G778" s="10"/>
      <c r="H778" s="10"/>
      <c r="I778" s="10" t="str">
        <f>IF(pts_traje!$I778&lt;&gt;0,(ROUND(pts_traje!$I778+(pts_traje!$I778*0.02*pts_traje!$H778/1000),0)),"")</f>
        <v/>
      </c>
      <c r="J778" s="10"/>
    </row>
    <row r="779">
      <c r="A779" s="1" t="str">
        <f>IFNA(right(VLOOKUP(pts_traje!$A779,trj!$B$2:$D1000,3,FALSE),4),"")</f>
        <v/>
      </c>
      <c r="B779" s="10"/>
      <c r="C779" s="10"/>
      <c r="D779" s="1" t="str">
        <f>IFNA(VLOOKUP(pts_traje!$D779,FIX!$A$2:$D1000,4,FALSE),"")</f>
        <v/>
      </c>
      <c r="E779" s="10"/>
      <c r="F779" s="10"/>
      <c r="G779" s="10"/>
      <c r="H779" s="10"/>
      <c r="I779" s="10" t="str">
        <f>IF(pts_traje!$I779&lt;&gt;0,(ROUND(pts_traje!$I779+(pts_traje!$I779*0.02*pts_traje!$H779/1000),0)),"")</f>
        <v/>
      </c>
      <c r="J779" s="10"/>
    </row>
    <row r="780">
      <c r="A780" s="1" t="str">
        <f>IFNA(right(VLOOKUP(pts_traje!$A780,trj!$B$2:$D1000,3,FALSE),4),"")</f>
        <v/>
      </c>
      <c r="B780" s="10"/>
      <c r="C780" s="10"/>
      <c r="D780" s="1" t="str">
        <f>IFNA(VLOOKUP(pts_traje!$D780,FIX!$A$2:$D1000,4,FALSE),"")</f>
        <v/>
      </c>
      <c r="E780" s="10"/>
      <c r="F780" s="10"/>
      <c r="G780" s="10"/>
      <c r="H780" s="10"/>
      <c r="I780" s="10" t="str">
        <f>IF(pts_traje!$I780&lt;&gt;0,(ROUND(pts_traje!$I780+(pts_traje!$I780*0.02*pts_traje!$H780/1000),0)),"")</f>
        <v/>
      </c>
      <c r="J780" s="10"/>
    </row>
    <row r="781">
      <c r="A781" s="1" t="str">
        <f>IFNA(right(VLOOKUP(pts_traje!$A781,trj!$B$2:$D1000,3,FALSE),4),"")</f>
        <v/>
      </c>
      <c r="B781" s="10"/>
      <c r="C781" s="10"/>
      <c r="D781" s="1" t="str">
        <f>IFNA(VLOOKUP(pts_traje!$D781,FIX!$A$2:$D1000,4,FALSE),"")</f>
        <v/>
      </c>
      <c r="E781" s="10"/>
      <c r="F781" s="10"/>
      <c r="G781" s="10"/>
      <c r="H781" s="10"/>
      <c r="I781" s="10" t="str">
        <f>IF(pts_traje!$I781&lt;&gt;0,(ROUND(pts_traje!$I781+(pts_traje!$I781*0.02*pts_traje!$H781/1000),0)),"")</f>
        <v/>
      </c>
      <c r="J781" s="10"/>
    </row>
    <row r="782">
      <c r="A782" s="1" t="str">
        <f>IFNA(right(VLOOKUP(pts_traje!$A782,trj!$B$2:$D1000,3,FALSE),4),"")</f>
        <v/>
      </c>
      <c r="B782" s="10"/>
      <c r="C782" s="10"/>
      <c r="D782" s="1" t="str">
        <f>IFNA(VLOOKUP(pts_traje!$D782,FIX!$A$2:$D1000,4,FALSE),"")</f>
        <v/>
      </c>
      <c r="E782" s="10"/>
      <c r="F782" s="10"/>
      <c r="G782" s="10"/>
      <c r="H782" s="10"/>
      <c r="I782" s="10" t="str">
        <f>IF(pts_traje!$I782&lt;&gt;0,(ROUND(pts_traje!$I782+(pts_traje!$I782*0.02*pts_traje!$H782/1000),0)),"")</f>
        <v/>
      </c>
      <c r="J782" s="10"/>
    </row>
    <row r="783">
      <c r="A783" s="1" t="str">
        <f>IFNA(right(VLOOKUP(pts_traje!$A783,trj!$B$2:$D1000,3,FALSE),4),"")</f>
        <v/>
      </c>
      <c r="B783" s="10"/>
      <c r="C783" s="10"/>
      <c r="D783" s="1" t="str">
        <f>IFNA(VLOOKUP(pts_traje!$D783,FIX!$A$2:$D1000,4,FALSE),"")</f>
        <v/>
      </c>
      <c r="E783" s="10"/>
      <c r="F783" s="10"/>
      <c r="G783" s="10"/>
      <c r="H783" s="10"/>
      <c r="I783" s="10" t="str">
        <f>IF(pts_traje!$I783&lt;&gt;0,(ROUND(pts_traje!$I783+(pts_traje!$I783*0.02*pts_traje!$H783/1000),0)),"")</f>
        <v/>
      </c>
      <c r="J783" s="10"/>
    </row>
    <row r="784">
      <c r="A784" s="1" t="str">
        <f>IFNA(right(VLOOKUP(pts_traje!$A784,trj!$B$2:$D1000,3,FALSE),4),"")</f>
        <v/>
      </c>
      <c r="B784" s="10"/>
      <c r="C784" s="10"/>
      <c r="D784" s="1" t="str">
        <f>IFNA(VLOOKUP(pts_traje!$D784,FIX!$A$2:$D1000,4,FALSE),"")</f>
        <v/>
      </c>
      <c r="E784" s="10"/>
      <c r="F784" s="10"/>
      <c r="G784" s="10"/>
      <c r="H784" s="10"/>
      <c r="I784" s="10" t="str">
        <f>IF(pts_traje!$I784&lt;&gt;0,(ROUND(pts_traje!$I784+(pts_traje!$I784*0.02*pts_traje!$H784/1000),0)),"")</f>
        <v/>
      </c>
      <c r="J784" s="10"/>
    </row>
    <row r="785">
      <c r="A785" s="1" t="str">
        <f>IFNA(right(VLOOKUP(pts_traje!$A785,trj!$B$2:$D1000,3,FALSE),4),"")</f>
        <v/>
      </c>
      <c r="B785" s="10"/>
      <c r="C785" s="10"/>
      <c r="D785" s="1" t="str">
        <f>IFNA(VLOOKUP(pts_traje!$D785,FIX!$A$2:$D1000,4,FALSE),"")</f>
        <v/>
      </c>
      <c r="E785" s="10"/>
      <c r="F785" s="10"/>
      <c r="G785" s="10"/>
      <c r="H785" s="10"/>
      <c r="I785" s="10" t="str">
        <f>IF(pts_traje!$I785&lt;&gt;0,(ROUND(pts_traje!$I785+(pts_traje!$I785*0.02*pts_traje!$H785/1000),0)),"")</f>
        <v/>
      </c>
      <c r="J785" s="10"/>
    </row>
    <row r="786">
      <c r="A786" s="1" t="str">
        <f>IFNA(right(VLOOKUP(pts_traje!$A786,trj!$B$2:$D1000,3,FALSE),4),"")</f>
        <v/>
      </c>
      <c r="B786" s="10"/>
      <c r="C786" s="10"/>
      <c r="D786" s="1" t="str">
        <f>IFNA(VLOOKUP(pts_traje!$D786,FIX!$A$2:$D1000,4,FALSE),"")</f>
        <v/>
      </c>
      <c r="E786" s="10"/>
      <c r="F786" s="10"/>
      <c r="G786" s="10"/>
      <c r="H786" s="10"/>
      <c r="I786" s="10" t="str">
        <f>IF(pts_traje!$I786&lt;&gt;0,(ROUND(pts_traje!$I786+(pts_traje!$I786*0.02*pts_traje!$H786/1000),0)),"")</f>
        <v/>
      </c>
      <c r="J786" s="10"/>
    </row>
    <row r="787">
      <c r="A787" s="1" t="str">
        <f>IFNA(right(VLOOKUP(pts_traje!$A787,trj!$B$2:$D1000,3,FALSE),4),"")</f>
        <v/>
      </c>
      <c r="B787" s="10"/>
      <c r="C787" s="10"/>
      <c r="D787" s="1" t="str">
        <f>IFNA(VLOOKUP(pts_traje!$D787,FIX!$A$2:$D1000,4,FALSE),"")</f>
        <v/>
      </c>
      <c r="E787" s="10"/>
      <c r="F787" s="10"/>
      <c r="G787" s="10"/>
      <c r="H787" s="10"/>
      <c r="I787" s="10" t="str">
        <f>IF(pts_traje!$I787&lt;&gt;0,(ROUND(pts_traje!$I787+(pts_traje!$I787*0.02*pts_traje!$H787/1000),0)),"")</f>
        <v/>
      </c>
      <c r="J787" s="10"/>
    </row>
    <row r="788">
      <c r="A788" s="1" t="str">
        <f>IFNA(right(VLOOKUP(pts_traje!$A788,trj!$B$2:$D1000,3,FALSE),4),"")</f>
        <v/>
      </c>
      <c r="B788" s="10"/>
      <c r="C788" s="10"/>
      <c r="D788" s="1" t="str">
        <f>IFNA(VLOOKUP(pts_traje!$D788,FIX!$A$2:$D1000,4,FALSE),"")</f>
        <v/>
      </c>
      <c r="E788" s="10"/>
      <c r="F788" s="10"/>
      <c r="G788" s="10"/>
      <c r="H788" s="10"/>
      <c r="I788" s="10" t="str">
        <f>IF(pts_traje!$I788&lt;&gt;0,(ROUND(pts_traje!$I788+(pts_traje!$I788*0.02*pts_traje!$H788/1000),0)),"")</f>
        <v/>
      </c>
      <c r="J788" s="10"/>
    </row>
    <row r="789">
      <c r="A789" s="1" t="str">
        <f>IFNA(right(VLOOKUP(pts_traje!$A789,trj!$B$2:$D1000,3,FALSE),4),"")</f>
        <v/>
      </c>
      <c r="B789" s="10"/>
      <c r="C789" s="10"/>
      <c r="D789" s="1" t="str">
        <f>IFNA(VLOOKUP(pts_traje!$D789,FIX!$A$2:$D1000,4,FALSE),"")</f>
        <v/>
      </c>
      <c r="E789" s="10"/>
      <c r="F789" s="10"/>
      <c r="G789" s="10"/>
      <c r="H789" s="10"/>
      <c r="I789" s="10" t="str">
        <f>IF(pts_traje!$I789&lt;&gt;0,(ROUND(pts_traje!$I789+(pts_traje!$I789*0.02*pts_traje!$H789/1000),0)),"")</f>
        <v/>
      </c>
      <c r="J789" s="10"/>
    </row>
    <row r="790">
      <c r="A790" s="1" t="str">
        <f>IFNA(right(VLOOKUP(pts_traje!$A790,trj!$B$2:$D1000,3,FALSE),4),"")</f>
        <v/>
      </c>
      <c r="B790" s="10"/>
      <c r="C790" s="10"/>
      <c r="D790" s="1" t="str">
        <f>IFNA(VLOOKUP(pts_traje!$D790,FIX!$A$2:$D1000,4,FALSE),"")</f>
        <v/>
      </c>
      <c r="E790" s="10"/>
      <c r="F790" s="10"/>
      <c r="G790" s="10"/>
      <c r="H790" s="10"/>
      <c r="I790" s="10" t="str">
        <f>IF(pts_traje!$I790&lt;&gt;0,(ROUND(pts_traje!$I790+(pts_traje!$I790*0.02*pts_traje!$H790/1000),0)),"")</f>
        <v/>
      </c>
      <c r="J790" s="10"/>
    </row>
    <row r="791">
      <c r="A791" s="1" t="str">
        <f>IFNA(right(VLOOKUP(pts_traje!$A791,trj!$B$2:$D1000,3,FALSE),4),"")</f>
        <v/>
      </c>
      <c r="B791" s="10"/>
      <c r="C791" s="10"/>
      <c r="D791" s="1" t="str">
        <f>IFNA(VLOOKUP(pts_traje!$D791,FIX!$A$2:$D1000,4,FALSE),"")</f>
        <v/>
      </c>
      <c r="E791" s="10"/>
      <c r="F791" s="10"/>
      <c r="G791" s="10"/>
      <c r="H791" s="10"/>
      <c r="I791" s="10" t="str">
        <f>IF(pts_traje!$I791&lt;&gt;0,(ROUND(pts_traje!$I791+(pts_traje!$I791*0.02*pts_traje!$H791/1000),0)),"")</f>
        <v/>
      </c>
      <c r="J791" s="10"/>
    </row>
    <row r="792">
      <c r="A792" s="1" t="str">
        <f>IFNA(right(VLOOKUP(pts_traje!$A792,trj!$B$2:$D1000,3,FALSE),4),"")</f>
        <v/>
      </c>
      <c r="B792" s="10"/>
      <c r="C792" s="10"/>
      <c r="D792" s="1" t="str">
        <f>IFNA(VLOOKUP(pts_traje!$D792,FIX!$A$2:$D1000,4,FALSE),"")</f>
        <v/>
      </c>
      <c r="E792" s="10"/>
      <c r="F792" s="10"/>
      <c r="G792" s="10"/>
      <c r="H792" s="10"/>
      <c r="I792" s="10" t="str">
        <f>IF(pts_traje!$I792&lt;&gt;0,(ROUND(pts_traje!$I792+(pts_traje!$I792*0.02*pts_traje!$H792/1000),0)),"")</f>
        <v/>
      </c>
      <c r="J792" s="10"/>
    </row>
    <row r="793">
      <c r="A793" s="1" t="str">
        <f>IFNA(right(VLOOKUP(pts_traje!$A793,trj!$B$2:$D1000,3,FALSE),4),"")</f>
        <v/>
      </c>
      <c r="B793" s="10"/>
      <c r="C793" s="10"/>
      <c r="D793" s="1" t="str">
        <f>IFNA(VLOOKUP(pts_traje!$D793,FIX!$A$2:$D1000,4,FALSE),"")</f>
        <v/>
      </c>
      <c r="E793" s="10"/>
      <c r="F793" s="10"/>
      <c r="G793" s="10"/>
      <c r="H793" s="10"/>
      <c r="I793" s="10" t="str">
        <f>IF(pts_traje!$I793&lt;&gt;0,(ROUND(pts_traje!$I793+(pts_traje!$I793*0.02*pts_traje!$H793/1000),0)),"")</f>
        <v/>
      </c>
      <c r="J793" s="10"/>
    </row>
    <row r="794">
      <c r="A794" s="1" t="str">
        <f>IFNA(right(VLOOKUP(pts_traje!$A794,trj!$B$2:$D1000,3,FALSE),4),"")</f>
        <v/>
      </c>
      <c r="B794" s="10"/>
      <c r="C794" s="10"/>
      <c r="D794" s="1" t="str">
        <f>IFNA(VLOOKUP(pts_traje!$D794,FIX!$A$2:$D1000,4,FALSE),"")</f>
        <v/>
      </c>
      <c r="E794" s="10"/>
      <c r="F794" s="10"/>
      <c r="G794" s="10"/>
      <c r="H794" s="10"/>
      <c r="I794" s="10" t="str">
        <f>IF(pts_traje!$I794&lt;&gt;0,(ROUND(pts_traje!$I794+(pts_traje!$I794*0.02*pts_traje!$H794/1000),0)),"")</f>
        <v/>
      </c>
      <c r="J794" s="10"/>
    </row>
    <row r="795">
      <c r="A795" s="1" t="str">
        <f>IFNA(right(VLOOKUP(pts_traje!$A795,trj!$B$2:$D1000,3,FALSE),4),"")</f>
        <v/>
      </c>
      <c r="B795" s="10"/>
      <c r="C795" s="10"/>
      <c r="D795" s="1" t="str">
        <f>IFNA(VLOOKUP(pts_traje!$D795,FIX!$A$2:$D1000,4,FALSE),"")</f>
        <v/>
      </c>
      <c r="E795" s="10"/>
      <c r="F795" s="10"/>
      <c r="G795" s="10"/>
      <c r="H795" s="10"/>
      <c r="I795" s="10" t="str">
        <f>IF(pts_traje!$I795&lt;&gt;0,(ROUND(pts_traje!$I795+(pts_traje!$I795*0.02*pts_traje!$H795/1000),0)),"")</f>
        <v/>
      </c>
      <c r="J795" s="10"/>
    </row>
    <row r="796">
      <c r="A796" s="1" t="str">
        <f>IFNA(right(VLOOKUP(pts_traje!$A796,trj!$B$2:$D1000,3,FALSE),4),"")</f>
        <v/>
      </c>
      <c r="B796" s="10"/>
      <c r="C796" s="10"/>
      <c r="D796" s="1" t="str">
        <f>IFNA(VLOOKUP(pts_traje!$D796,FIX!$A$2:$D1000,4,FALSE),"")</f>
        <v/>
      </c>
      <c r="E796" s="10"/>
      <c r="F796" s="10"/>
      <c r="G796" s="10"/>
      <c r="H796" s="10"/>
      <c r="I796" s="10" t="str">
        <f>IF(pts_traje!$I796&lt;&gt;0,(ROUND(pts_traje!$I796+(pts_traje!$I796*0.02*pts_traje!$H796/1000),0)),"")</f>
        <v/>
      </c>
      <c r="J796" s="10"/>
    </row>
    <row r="797">
      <c r="A797" s="1" t="str">
        <f>IFNA(right(VLOOKUP(pts_traje!$A797,trj!$B$2:$D1000,3,FALSE),4),"")</f>
        <v/>
      </c>
      <c r="B797" s="10"/>
      <c r="C797" s="10"/>
      <c r="D797" s="1" t="str">
        <f>IFNA(VLOOKUP(pts_traje!$D797,FIX!$A$2:$D1000,4,FALSE),"")</f>
        <v/>
      </c>
      <c r="E797" s="10"/>
      <c r="F797" s="10"/>
      <c r="G797" s="10"/>
      <c r="H797" s="10"/>
      <c r="I797" s="10" t="str">
        <f>IF(pts_traje!$I797&lt;&gt;0,(ROUND(pts_traje!$I797+(pts_traje!$I797*0.02*pts_traje!$H797/1000),0)),"")</f>
        <v/>
      </c>
      <c r="J797" s="10"/>
    </row>
    <row r="798">
      <c r="A798" s="1" t="str">
        <f>IFNA(right(VLOOKUP(pts_traje!$A798,trj!$B$2:$D1000,3,FALSE),4),"")</f>
        <v/>
      </c>
      <c r="B798" s="10"/>
      <c r="C798" s="10"/>
      <c r="D798" s="1" t="str">
        <f>IFNA(VLOOKUP(pts_traje!$D798,FIX!$A$2:$D1000,4,FALSE),"")</f>
        <v/>
      </c>
      <c r="E798" s="10"/>
      <c r="F798" s="10"/>
      <c r="G798" s="10"/>
      <c r="H798" s="10"/>
      <c r="I798" s="10" t="str">
        <f>IF(pts_traje!$I798&lt;&gt;0,(ROUND(pts_traje!$I798+(pts_traje!$I798*0.02*pts_traje!$H798/1000),0)),"")</f>
        <v/>
      </c>
      <c r="J798" s="10"/>
    </row>
    <row r="799">
      <c r="A799" s="1" t="str">
        <f>IFNA(right(VLOOKUP(pts_traje!$A799,trj!$B$2:$D1000,3,FALSE),4),"")</f>
        <v/>
      </c>
      <c r="B799" s="10"/>
      <c r="C799" s="10"/>
      <c r="D799" s="1" t="str">
        <f>IFNA(VLOOKUP(pts_traje!$D799,FIX!$A$2:$D1000,4,FALSE),"")</f>
        <v/>
      </c>
      <c r="E799" s="10"/>
      <c r="F799" s="10"/>
      <c r="G799" s="10"/>
      <c r="H799" s="10"/>
      <c r="I799" s="10" t="str">
        <f>IF(pts_traje!$I799&lt;&gt;0,(ROUND(pts_traje!$I799+(pts_traje!$I799*0.02*pts_traje!$H799/1000),0)),"")</f>
        <v/>
      </c>
      <c r="J799" s="10"/>
    </row>
    <row r="800">
      <c r="A800" s="1" t="str">
        <f>IFNA(right(VLOOKUP(pts_traje!$A800,trj!$B$2:$D1000,3,FALSE),4),"")</f>
        <v/>
      </c>
      <c r="B800" s="10"/>
      <c r="C800" s="10"/>
      <c r="D800" s="1" t="str">
        <f>IFNA(VLOOKUP(pts_traje!$D800,FIX!$A$2:$D1000,4,FALSE),"")</f>
        <v/>
      </c>
      <c r="E800" s="10"/>
      <c r="F800" s="10"/>
      <c r="G800" s="10"/>
      <c r="H800" s="10"/>
      <c r="I800" s="10" t="str">
        <f>IF(pts_traje!$I800&lt;&gt;0,(ROUND(pts_traje!$I800+(pts_traje!$I800*0.02*pts_traje!$H800/1000),0)),"")</f>
        <v/>
      </c>
      <c r="J800" s="10"/>
    </row>
    <row r="801">
      <c r="A801" s="1" t="str">
        <f>IFNA(right(VLOOKUP(pts_traje!$A801,trj!$B$2:$D1000,3,FALSE),4),"")</f>
        <v/>
      </c>
      <c r="B801" s="10"/>
      <c r="C801" s="10"/>
      <c r="D801" s="1" t="str">
        <f>IFNA(VLOOKUP(pts_traje!$D801,FIX!$A$2:$D1000,4,FALSE),"")</f>
        <v/>
      </c>
      <c r="E801" s="10"/>
      <c r="F801" s="10"/>
      <c r="G801" s="10"/>
      <c r="H801" s="10"/>
      <c r="I801" s="10" t="str">
        <f>IF(pts_traje!$I801&lt;&gt;0,(ROUND(pts_traje!$I801+(pts_traje!$I801*0.02*pts_traje!$H801/1000),0)),"")</f>
        <v/>
      </c>
      <c r="J801" s="10"/>
    </row>
    <row r="802">
      <c r="A802" s="1" t="str">
        <f>IFNA(right(VLOOKUP(pts_traje!$A802,trj!$B$2:$D1000,3,FALSE),4),"")</f>
        <v/>
      </c>
      <c r="B802" s="10"/>
      <c r="C802" s="10"/>
      <c r="D802" s="1" t="str">
        <f>IFNA(VLOOKUP(pts_traje!$D802,FIX!$A$2:$D1000,4,FALSE),"")</f>
        <v/>
      </c>
      <c r="E802" s="10"/>
      <c r="F802" s="10"/>
      <c r="G802" s="10"/>
      <c r="H802" s="10"/>
      <c r="I802" s="10" t="str">
        <f>IF(pts_traje!$I802&lt;&gt;0,(ROUND(pts_traje!$I802+(pts_traje!$I802*0.02*pts_traje!$H802/1000),0)),"")</f>
        <v/>
      </c>
      <c r="J802" s="10"/>
    </row>
    <row r="803">
      <c r="A803" s="1" t="str">
        <f>IFNA(right(VLOOKUP(pts_traje!$A803,trj!$B$2:$D1000,3,FALSE),4),"")</f>
        <v/>
      </c>
      <c r="B803" s="10"/>
      <c r="C803" s="10"/>
      <c r="D803" s="1" t="str">
        <f>IFNA(VLOOKUP(pts_traje!$D803,FIX!$A$2:$D1000,4,FALSE),"")</f>
        <v/>
      </c>
      <c r="E803" s="10"/>
      <c r="F803" s="10"/>
      <c r="G803" s="10"/>
      <c r="H803" s="10"/>
      <c r="I803" s="10" t="str">
        <f>IF(pts_traje!$I803&lt;&gt;0,(ROUND(pts_traje!$I803+(pts_traje!$I803*0.02*pts_traje!$H803/1000),0)),"")</f>
        <v/>
      </c>
      <c r="J803" s="10"/>
    </row>
    <row r="804">
      <c r="A804" s="1" t="str">
        <f>IFNA(right(VLOOKUP(pts_traje!$A804,trj!$B$2:$D1000,3,FALSE),4),"")</f>
        <v/>
      </c>
      <c r="B804" s="10"/>
      <c r="C804" s="10"/>
      <c r="D804" s="1" t="str">
        <f>IFNA(VLOOKUP(pts_traje!$D804,FIX!$A$2:$D1000,4,FALSE),"")</f>
        <v/>
      </c>
      <c r="E804" s="10"/>
      <c r="F804" s="10"/>
      <c r="G804" s="10"/>
      <c r="H804" s="10"/>
      <c r="I804" s="10" t="str">
        <f>IF(pts_traje!$I804&lt;&gt;0,(ROUND(pts_traje!$I804+(pts_traje!$I804*0.02*pts_traje!$H804/1000),0)),"")</f>
        <v/>
      </c>
      <c r="J804" s="10"/>
    </row>
    <row r="805">
      <c r="A805" s="1" t="str">
        <f>IFNA(right(VLOOKUP(pts_traje!$A805,trj!$B$2:$D1000,3,FALSE),4),"")</f>
        <v/>
      </c>
      <c r="B805" s="10"/>
      <c r="C805" s="10"/>
      <c r="D805" s="1" t="str">
        <f>IFNA(VLOOKUP(pts_traje!$D805,FIX!$A$2:$D1000,4,FALSE),"")</f>
        <v/>
      </c>
      <c r="E805" s="10"/>
      <c r="F805" s="10"/>
      <c r="G805" s="10"/>
      <c r="H805" s="10"/>
      <c r="I805" s="10" t="str">
        <f>IF(pts_traje!$I805&lt;&gt;0,(ROUND(pts_traje!$I805+(pts_traje!$I805*0.02*pts_traje!$H805/1000),0)),"")</f>
        <v/>
      </c>
      <c r="J805" s="10"/>
    </row>
    <row r="806">
      <c r="A806" s="1" t="str">
        <f>IFNA(right(VLOOKUP(pts_traje!$A806,trj!$B$2:$D1000,3,FALSE),4),"")</f>
        <v/>
      </c>
      <c r="B806" s="10"/>
      <c r="C806" s="10"/>
      <c r="D806" s="1" t="str">
        <f>IFNA(VLOOKUP(pts_traje!$D806,FIX!$A$2:$D1000,4,FALSE),"")</f>
        <v/>
      </c>
      <c r="E806" s="10"/>
      <c r="F806" s="10"/>
      <c r="G806" s="10"/>
      <c r="H806" s="10"/>
      <c r="I806" s="10" t="str">
        <f>IF(pts_traje!$I806&lt;&gt;0,(ROUND(pts_traje!$I806+(pts_traje!$I806*0.02*pts_traje!$H806/1000),0)),"")</f>
        <v/>
      </c>
      <c r="J806" s="10"/>
    </row>
    <row r="807">
      <c r="A807" s="1" t="str">
        <f>IFNA(right(VLOOKUP(pts_traje!$A807,trj!$B$2:$D1000,3,FALSE),4),"")</f>
        <v/>
      </c>
      <c r="B807" s="10"/>
      <c r="C807" s="10"/>
      <c r="D807" s="1" t="str">
        <f>IFNA(VLOOKUP(pts_traje!$D807,FIX!$A$2:$D1000,4,FALSE),"")</f>
        <v/>
      </c>
      <c r="E807" s="10"/>
      <c r="F807" s="10"/>
      <c r="G807" s="10"/>
      <c r="H807" s="10"/>
      <c r="I807" s="10" t="str">
        <f>IF(pts_traje!$I807&lt;&gt;0,(ROUND(pts_traje!$I807+(pts_traje!$I807*0.02*pts_traje!$H807/1000),0)),"")</f>
        <v/>
      </c>
      <c r="J807" s="10"/>
    </row>
    <row r="808">
      <c r="A808" s="1" t="str">
        <f>IFNA(right(VLOOKUP(pts_traje!$A808,trj!$B$2:$D1000,3,FALSE),4),"")</f>
        <v/>
      </c>
      <c r="B808" s="10"/>
      <c r="C808" s="10"/>
      <c r="D808" s="1" t="str">
        <f>IFNA(VLOOKUP(pts_traje!$D808,FIX!$A$2:$D1000,4,FALSE),"")</f>
        <v/>
      </c>
      <c r="E808" s="10"/>
      <c r="F808" s="10"/>
      <c r="G808" s="10"/>
      <c r="H808" s="10"/>
      <c r="I808" s="10" t="str">
        <f>IF(pts_traje!$I808&lt;&gt;0,(ROUND(pts_traje!$I808+(pts_traje!$I808*0.02*pts_traje!$H808/1000),0)),"")</f>
        <v/>
      </c>
      <c r="J808" s="10"/>
    </row>
    <row r="809">
      <c r="A809" s="1" t="str">
        <f>IFNA(right(VLOOKUP(pts_traje!$A809,trj!$B$2:$D1000,3,FALSE),4),"")</f>
        <v/>
      </c>
      <c r="B809" s="10"/>
      <c r="C809" s="10"/>
      <c r="D809" s="1" t="str">
        <f>IFNA(VLOOKUP(pts_traje!$D809,FIX!$A$2:$D1000,4,FALSE),"")</f>
        <v/>
      </c>
      <c r="E809" s="10"/>
      <c r="F809" s="10"/>
      <c r="G809" s="10"/>
      <c r="H809" s="10"/>
      <c r="I809" s="10" t="str">
        <f>IF(pts_traje!$I809&lt;&gt;0,(ROUND(pts_traje!$I809+(pts_traje!$I809*0.02*pts_traje!$H809/1000),0)),"")</f>
        <v/>
      </c>
      <c r="J809" s="10"/>
    </row>
    <row r="810">
      <c r="A810" s="1" t="str">
        <f>IFNA(right(VLOOKUP(pts_traje!$A810,trj!$B$2:$D1000,3,FALSE),4),"")</f>
        <v/>
      </c>
      <c r="B810" s="10"/>
      <c r="C810" s="10"/>
      <c r="D810" s="1" t="str">
        <f>IFNA(VLOOKUP(pts_traje!$D810,FIX!$A$2:$D1000,4,FALSE),"")</f>
        <v/>
      </c>
      <c r="E810" s="10"/>
      <c r="F810" s="10"/>
      <c r="G810" s="10"/>
      <c r="H810" s="10"/>
      <c r="I810" s="10" t="str">
        <f>IF(pts_traje!$I810&lt;&gt;0,(ROUND(pts_traje!$I810+(pts_traje!$I810*0.02*pts_traje!$H810/1000),0)),"")</f>
        <v/>
      </c>
      <c r="J810" s="10"/>
    </row>
    <row r="811">
      <c r="A811" s="1" t="str">
        <f>IFNA(right(VLOOKUP(pts_traje!$A811,trj!$B$2:$D1000,3,FALSE),4),"")</f>
        <v/>
      </c>
      <c r="B811" s="10"/>
      <c r="C811" s="10"/>
      <c r="D811" s="1" t="str">
        <f>IFNA(VLOOKUP(pts_traje!$D811,FIX!$A$2:$D1000,4,FALSE),"")</f>
        <v/>
      </c>
      <c r="E811" s="10"/>
      <c r="F811" s="10"/>
      <c r="G811" s="10"/>
      <c r="H811" s="10"/>
      <c r="I811" s="10" t="str">
        <f>IF(pts_traje!$I811&lt;&gt;0,(ROUND(pts_traje!$I811+(pts_traje!$I811*0.02*pts_traje!$H811/1000),0)),"")</f>
        <v/>
      </c>
      <c r="J811" s="10"/>
    </row>
    <row r="812">
      <c r="A812" s="1" t="str">
        <f>IFNA(right(VLOOKUP(pts_traje!$A812,trj!$B$2:$D1000,3,FALSE),4),"")</f>
        <v/>
      </c>
      <c r="B812" s="10"/>
      <c r="C812" s="10"/>
      <c r="D812" s="1" t="str">
        <f>IFNA(VLOOKUP(pts_traje!$D812,FIX!$A$2:$D1000,4,FALSE),"")</f>
        <v/>
      </c>
      <c r="E812" s="10"/>
      <c r="F812" s="10"/>
      <c r="G812" s="10"/>
      <c r="H812" s="10"/>
      <c r="I812" s="10" t="str">
        <f>IF(pts_traje!$I812&lt;&gt;0,(ROUND(pts_traje!$I812+(pts_traje!$I812*0.02*pts_traje!$H812/1000),0)),"")</f>
        <v/>
      </c>
      <c r="J812" s="10"/>
    </row>
    <row r="813">
      <c r="A813" s="1" t="str">
        <f>IFNA(right(VLOOKUP(pts_traje!$A813,trj!$B$2:$D1000,3,FALSE),4),"")</f>
        <v/>
      </c>
      <c r="B813" s="10"/>
      <c r="C813" s="10"/>
      <c r="D813" s="1" t="str">
        <f>IFNA(VLOOKUP(pts_traje!$D813,FIX!$A$2:$D1000,4,FALSE),"")</f>
        <v/>
      </c>
      <c r="E813" s="10"/>
      <c r="F813" s="10"/>
      <c r="G813" s="10"/>
      <c r="H813" s="10"/>
      <c r="I813" s="10" t="str">
        <f>IF(pts_traje!$I813&lt;&gt;0,(ROUND(pts_traje!$I813+(pts_traje!$I813*0.02*pts_traje!$H813/1000),0)),"")</f>
        <v/>
      </c>
      <c r="J813" s="10"/>
    </row>
    <row r="814">
      <c r="A814" s="1" t="str">
        <f>IFNA(right(VLOOKUP(pts_traje!$A814,trj!$B$2:$D1000,3,FALSE),4),"")</f>
        <v/>
      </c>
      <c r="B814" s="10"/>
      <c r="C814" s="10"/>
      <c r="D814" s="1" t="str">
        <f>IFNA(VLOOKUP(pts_traje!$D814,FIX!$A$2:$D1000,4,FALSE),"")</f>
        <v/>
      </c>
      <c r="E814" s="10"/>
      <c r="F814" s="10"/>
      <c r="G814" s="10"/>
      <c r="H814" s="10"/>
      <c r="I814" s="10" t="str">
        <f>IF(pts_traje!$I814&lt;&gt;0,(ROUND(pts_traje!$I814+(pts_traje!$I814*0.02*pts_traje!$H814/1000),0)),"")</f>
        <v/>
      </c>
      <c r="J814" s="10"/>
    </row>
    <row r="815">
      <c r="A815" s="1" t="str">
        <f>IFNA(right(VLOOKUP(pts_traje!$A815,trj!$B$2:$D1000,3,FALSE),4),"")</f>
        <v/>
      </c>
      <c r="B815" s="10"/>
      <c r="C815" s="10"/>
      <c r="D815" s="1" t="str">
        <f>IFNA(VLOOKUP(pts_traje!$D815,FIX!$A$2:$D1000,4,FALSE),"")</f>
        <v/>
      </c>
      <c r="E815" s="10"/>
      <c r="F815" s="10"/>
      <c r="G815" s="10"/>
      <c r="H815" s="10"/>
      <c r="I815" s="10" t="str">
        <f>IF(pts_traje!$I815&lt;&gt;0,(ROUND(pts_traje!$I815+(pts_traje!$I815*0.02*pts_traje!$H815/1000),0)),"")</f>
        <v/>
      </c>
      <c r="J815" s="10"/>
    </row>
    <row r="816">
      <c r="A816" s="1" t="str">
        <f>IFNA(right(VLOOKUP(pts_traje!$A816,trj!$B$2:$D1000,3,FALSE),4),"")</f>
        <v/>
      </c>
      <c r="B816" s="10"/>
      <c r="C816" s="10"/>
      <c r="D816" s="1" t="str">
        <f>IFNA(VLOOKUP(pts_traje!$D816,FIX!$A$2:$D1000,4,FALSE),"")</f>
        <v/>
      </c>
      <c r="E816" s="10"/>
      <c r="F816" s="10"/>
      <c r="G816" s="10"/>
      <c r="H816" s="10"/>
      <c r="I816" s="10" t="str">
        <f>IF(pts_traje!$I816&lt;&gt;0,(ROUND(pts_traje!$I816+(pts_traje!$I816*0.02*pts_traje!$H816/1000),0)),"")</f>
        <v/>
      </c>
      <c r="J816" s="10"/>
    </row>
    <row r="817">
      <c r="A817" s="1" t="str">
        <f>IFNA(right(VLOOKUP(pts_traje!$A817,trj!$B$2:$D1000,3,FALSE),4),"")</f>
        <v/>
      </c>
      <c r="B817" s="10"/>
      <c r="C817" s="10"/>
      <c r="D817" s="1" t="str">
        <f>IFNA(VLOOKUP(pts_traje!$D817,FIX!$A$2:$D1000,4,FALSE),"")</f>
        <v/>
      </c>
      <c r="E817" s="10"/>
      <c r="F817" s="10"/>
      <c r="G817" s="10"/>
      <c r="H817" s="10"/>
      <c r="I817" s="10" t="str">
        <f>IF(pts_traje!$I817&lt;&gt;0,(ROUND(pts_traje!$I817+(pts_traje!$I817*0.02*pts_traje!$H817/1000),0)),"")</f>
        <v/>
      </c>
      <c r="J817" s="10"/>
    </row>
    <row r="818">
      <c r="A818" s="1" t="str">
        <f>IFNA(right(VLOOKUP(pts_traje!$A818,trj!$B$2:$D1000,3,FALSE),4),"")</f>
        <v/>
      </c>
      <c r="B818" s="10"/>
      <c r="C818" s="10"/>
      <c r="D818" s="1" t="str">
        <f>IFNA(VLOOKUP(pts_traje!$D818,FIX!$A$2:$D1000,4,FALSE),"")</f>
        <v/>
      </c>
      <c r="E818" s="10"/>
      <c r="F818" s="10"/>
      <c r="G818" s="10"/>
      <c r="H818" s="10"/>
      <c r="I818" s="10" t="str">
        <f>IF(pts_traje!$I818&lt;&gt;0,(ROUND(pts_traje!$I818+(pts_traje!$I818*0.02*pts_traje!$H818/1000),0)),"")</f>
        <v/>
      </c>
      <c r="J818" s="10"/>
    </row>
    <row r="819">
      <c r="A819" s="1" t="str">
        <f>IFNA(right(VLOOKUP(pts_traje!$A819,trj!$B$2:$D1000,3,FALSE),4),"")</f>
        <v/>
      </c>
      <c r="B819" s="10"/>
      <c r="C819" s="10"/>
      <c r="D819" s="1" t="str">
        <f>IFNA(VLOOKUP(pts_traje!$D819,FIX!$A$2:$D1000,4,FALSE),"")</f>
        <v/>
      </c>
      <c r="E819" s="10"/>
      <c r="F819" s="10"/>
      <c r="G819" s="10"/>
      <c r="H819" s="10"/>
      <c r="I819" s="10" t="str">
        <f>IF(pts_traje!$I819&lt;&gt;0,(ROUND(pts_traje!$I819+(pts_traje!$I819*0.02*pts_traje!$H819/1000),0)),"")</f>
        <v/>
      </c>
      <c r="J819" s="10"/>
    </row>
    <row r="820">
      <c r="A820" s="1" t="str">
        <f>IFNA(right(VLOOKUP(pts_traje!$A820,trj!$B$2:$D1000,3,FALSE),4),"")</f>
        <v/>
      </c>
      <c r="B820" s="10"/>
      <c r="C820" s="10"/>
      <c r="D820" s="1" t="str">
        <f>IFNA(VLOOKUP(pts_traje!$D820,FIX!$A$2:$D1000,4,FALSE),"")</f>
        <v/>
      </c>
      <c r="E820" s="10"/>
      <c r="F820" s="10"/>
      <c r="G820" s="10"/>
      <c r="H820" s="10"/>
      <c r="I820" s="10" t="str">
        <f>IF(pts_traje!$I820&lt;&gt;0,(ROUND(pts_traje!$I820+(pts_traje!$I820*0.02*pts_traje!$H820/1000),0)),"")</f>
        <v/>
      </c>
      <c r="J820" s="10"/>
    </row>
    <row r="821">
      <c r="A821" s="1" t="str">
        <f>IFNA(right(VLOOKUP(pts_traje!$A821,trj!$B$2:$D1000,3,FALSE),4),"")</f>
        <v/>
      </c>
      <c r="B821" s="10"/>
      <c r="C821" s="10"/>
      <c r="D821" s="1" t="str">
        <f>IFNA(VLOOKUP(pts_traje!$D821,FIX!$A$2:$D1000,4,FALSE),"")</f>
        <v/>
      </c>
      <c r="E821" s="10"/>
      <c r="F821" s="10"/>
      <c r="G821" s="10"/>
      <c r="H821" s="10"/>
      <c r="I821" s="10" t="str">
        <f>IF(pts_traje!$I821&lt;&gt;0,(ROUND(pts_traje!$I821+(pts_traje!$I821*0.02*pts_traje!$H821/1000),0)),"")</f>
        <v/>
      </c>
      <c r="J821" s="10"/>
    </row>
    <row r="822">
      <c r="A822" s="1" t="str">
        <f>IFNA(right(VLOOKUP(pts_traje!$A822,trj!$B$2:$D1000,3,FALSE),4),"")</f>
        <v/>
      </c>
      <c r="B822" s="10"/>
      <c r="C822" s="10"/>
      <c r="D822" s="1" t="str">
        <f>IFNA(VLOOKUP(pts_traje!$D822,FIX!$A$2:$D1000,4,FALSE),"")</f>
        <v/>
      </c>
      <c r="E822" s="10"/>
      <c r="F822" s="10"/>
      <c r="G822" s="10"/>
      <c r="H822" s="10"/>
      <c r="I822" s="10" t="str">
        <f>IF(pts_traje!$I822&lt;&gt;0,(ROUND(pts_traje!$I822+(pts_traje!$I822*0.02*pts_traje!$H822/1000),0)),"")</f>
        <v/>
      </c>
      <c r="J822" s="10"/>
    </row>
    <row r="823">
      <c r="A823" s="1" t="str">
        <f>IFNA(right(VLOOKUP(pts_traje!$A823,trj!$B$2:$D1000,3,FALSE),4),"")</f>
        <v/>
      </c>
      <c r="B823" s="10"/>
      <c r="C823" s="10"/>
      <c r="D823" s="1" t="str">
        <f>IFNA(VLOOKUP(pts_traje!$D823,FIX!$A$2:$D1000,4,FALSE),"")</f>
        <v/>
      </c>
      <c r="E823" s="10"/>
      <c r="F823" s="10"/>
      <c r="G823" s="10"/>
      <c r="H823" s="10"/>
      <c r="I823" s="10" t="str">
        <f>IF(pts_traje!$I823&lt;&gt;0,(ROUND(pts_traje!$I823+(pts_traje!$I823*0.02*pts_traje!$H823/1000),0)),"")</f>
        <v/>
      </c>
      <c r="J823" s="10"/>
    </row>
    <row r="824">
      <c r="A824" s="1" t="str">
        <f>IFNA(right(VLOOKUP(pts_traje!$A824,trj!$B$2:$D1000,3,FALSE),4),"")</f>
        <v/>
      </c>
      <c r="B824" s="10"/>
      <c r="C824" s="10"/>
      <c r="D824" s="1" t="str">
        <f>IFNA(VLOOKUP(pts_traje!$D824,FIX!$A$2:$D1000,4,FALSE),"")</f>
        <v/>
      </c>
      <c r="E824" s="10"/>
      <c r="F824" s="10"/>
      <c r="G824" s="10"/>
      <c r="H824" s="10"/>
      <c r="I824" s="10" t="str">
        <f>IF(pts_traje!$I824&lt;&gt;0,(ROUND(pts_traje!$I824+(pts_traje!$I824*0.02*pts_traje!$H824/1000),0)),"")</f>
        <v/>
      </c>
      <c r="J824" s="10"/>
    </row>
    <row r="825">
      <c r="A825" s="1" t="str">
        <f>IFNA(right(VLOOKUP(pts_traje!$A825,trj!$B$2:$D1000,3,FALSE),4),"")</f>
        <v/>
      </c>
      <c r="B825" s="10"/>
      <c r="C825" s="10"/>
      <c r="D825" s="1" t="str">
        <f>IFNA(VLOOKUP(pts_traje!$D825,FIX!$A$2:$D1000,4,FALSE),"")</f>
        <v/>
      </c>
      <c r="E825" s="10"/>
      <c r="F825" s="10"/>
      <c r="G825" s="10"/>
      <c r="H825" s="10"/>
      <c r="I825" s="10" t="str">
        <f>IF(pts_traje!$I825&lt;&gt;0,(ROUND(pts_traje!$I825+(pts_traje!$I825*0.02*pts_traje!$H825/1000),0)),"")</f>
        <v/>
      </c>
      <c r="J825" s="10"/>
    </row>
    <row r="826">
      <c r="A826" s="1" t="str">
        <f>IFNA(right(VLOOKUP(pts_traje!$A826,trj!$B$2:$D1000,3,FALSE),4),"")</f>
        <v/>
      </c>
      <c r="B826" s="10"/>
      <c r="C826" s="10"/>
      <c r="D826" s="1" t="str">
        <f>IFNA(VLOOKUP(pts_traje!$D826,FIX!$A$2:$D1000,4,FALSE),"")</f>
        <v/>
      </c>
      <c r="E826" s="10"/>
      <c r="F826" s="10"/>
      <c r="G826" s="10"/>
      <c r="H826" s="10"/>
      <c r="I826" s="10" t="str">
        <f>IF(pts_traje!$I826&lt;&gt;0,(ROUND(pts_traje!$I826+(pts_traje!$I826*0.02*pts_traje!$H826/1000),0)),"")</f>
        <v/>
      </c>
      <c r="J826" s="10"/>
    </row>
    <row r="827">
      <c r="A827" s="1" t="str">
        <f>IFNA(right(VLOOKUP(pts_traje!$A827,trj!$B$2:$D1000,3,FALSE),4),"")</f>
        <v/>
      </c>
      <c r="B827" s="10"/>
      <c r="C827" s="10"/>
      <c r="D827" s="1" t="str">
        <f>IFNA(VLOOKUP(pts_traje!$D827,FIX!$A$2:$D1000,4,FALSE),"")</f>
        <v/>
      </c>
      <c r="E827" s="10"/>
      <c r="F827" s="10"/>
      <c r="G827" s="10"/>
      <c r="H827" s="10"/>
      <c r="I827" s="10" t="str">
        <f>IF(pts_traje!$I827&lt;&gt;0,(ROUND(pts_traje!$I827+(pts_traje!$I827*0.02*pts_traje!$H827/1000),0)),"")</f>
        <v/>
      </c>
      <c r="J827" s="10"/>
    </row>
    <row r="828">
      <c r="A828" s="1" t="str">
        <f>IFNA(right(VLOOKUP(pts_traje!$A828,trj!$B$2:$D1000,3,FALSE),4),"")</f>
        <v/>
      </c>
      <c r="B828" s="10"/>
      <c r="C828" s="10"/>
      <c r="D828" s="1" t="str">
        <f>IFNA(VLOOKUP(pts_traje!$D828,FIX!$A$2:$D1000,4,FALSE),"")</f>
        <v/>
      </c>
      <c r="E828" s="10"/>
      <c r="F828" s="10"/>
      <c r="G828" s="10"/>
      <c r="H828" s="10"/>
      <c r="I828" s="10" t="str">
        <f>IF(pts_traje!$I828&lt;&gt;0,(ROUND(pts_traje!$I828+(pts_traje!$I828*0.02*pts_traje!$H828/1000),0)),"")</f>
        <v/>
      </c>
      <c r="J828" s="10"/>
    </row>
    <row r="829">
      <c r="A829" s="1" t="str">
        <f>IFNA(right(VLOOKUP(pts_traje!$A829,trj!$B$2:$D1000,3,FALSE),4),"")</f>
        <v/>
      </c>
      <c r="B829" s="10"/>
      <c r="C829" s="10"/>
      <c r="D829" s="1" t="str">
        <f>IFNA(VLOOKUP(pts_traje!$D829,FIX!$A$2:$D1000,4,FALSE),"")</f>
        <v/>
      </c>
      <c r="E829" s="10"/>
      <c r="F829" s="10"/>
      <c r="G829" s="10"/>
      <c r="H829" s="10"/>
      <c r="I829" s="10" t="str">
        <f>IF(pts_traje!$I829&lt;&gt;0,(ROUND(pts_traje!$I829+(pts_traje!$I829*0.02*pts_traje!$H829/1000),0)),"")</f>
        <v/>
      </c>
      <c r="J829" s="10"/>
    </row>
    <row r="830">
      <c r="A830" s="1" t="str">
        <f>IFNA(right(VLOOKUP(pts_traje!$A830,trj!$B$2:$D1000,3,FALSE),4),"")</f>
        <v/>
      </c>
      <c r="B830" s="10"/>
      <c r="C830" s="10"/>
      <c r="D830" s="1" t="str">
        <f>IFNA(VLOOKUP(pts_traje!$D830,FIX!$A$2:$D1000,4,FALSE),"")</f>
        <v/>
      </c>
      <c r="E830" s="10"/>
      <c r="F830" s="10"/>
      <c r="G830" s="10"/>
      <c r="H830" s="10"/>
      <c r="I830" s="10" t="str">
        <f>IF(pts_traje!$I830&lt;&gt;0,(ROUND(pts_traje!$I830+(pts_traje!$I830*0.02*pts_traje!$H830/1000),0)),"")</f>
        <v/>
      </c>
      <c r="J830" s="10"/>
    </row>
    <row r="831">
      <c r="A831" s="1" t="str">
        <f>IFNA(right(VLOOKUP(pts_traje!$A831,trj!$B$2:$D1000,3,FALSE),4),"")</f>
        <v/>
      </c>
      <c r="B831" s="10"/>
      <c r="C831" s="10"/>
      <c r="D831" s="1" t="str">
        <f>IFNA(VLOOKUP(pts_traje!$D831,FIX!$A$2:$D1000,4,FALSE),"")</f>
        <v/>
      </c>
      <c r="E831" s="10"/>
      <c r="F831" s="10"/>
      <c r="G831" s="10"/>
      <c r="H831" s="10"/>
      <c r="I831" s="10" t="str">
        <f>IF(pts_traje!$I831&lt;&gt;0,(ROUND(pts_traje!$I831+(pts_traje!$I831*0.02*pts_traje!$H831/1000),0)),"")</f>
        <v/>
      </c>
      <c r="J831" s="10"/>
    </row>
    <row r="832">
      <c r="A832" s="1" t="str">
        <f>IFNA(right(VLOOKUP(pts_traje!$A832,trj!$B$2:$D1000,3,FALSE),4),"")</f>
        <v/>
      </c>
      <c r="B832" s="10"/>
      <c r="C832" s="10"/>
      <c r="D832" s="1" t="str">
        <f>IFNA(VLOOKUP(pts_traje!$D832,FIX!$A$2:$D1000,4,FALSE),"")</f>
        <v/>
      </c>
      <c r="E832" s="10"/>
      <c r="F832" s="10"/>
      <c r="G832" s="10"/>
      <c r="H832" s="10"/>
      <c r="I832" s="10" t="str">
        <f>IF(pts_traje!$I832&lt;&gt;0,(ROUND(pts_traje!$I832+(pts_traje!$I832*0.02*pts_traje!$H832/1000),0)),"")</f>
        <v/>
      </c>
      <c r="J832" s="10"/>
    </row>
    <row r="833">
      <c r="A833" s="1" t="str">
        <f>IFNA(right(VLOOKUP(pts_traje!$A833,trj!$B$2:$D1000,3,FALSE),4),"")</f>
        <v/>
      </c>
      <c r="B833" s="10"/>
      <c r="C833" s="10"/>
      <c r="D833" s="1" t="str">
        <f>IFNA(VLOOKUP(pts_traje!$D833,FIX!$A$2:$D1000,4,FALSE),"")</f>
        <v/>
      </c>
      <c r="E833" s="10"/>
      <c r="F833" s="10"/>
      <c r="G833" s="10"/>
      <c r="H833" s="10"/>
      <c r="I833" s="10" t="str">
        <f>IF(pts_traje!$I833&lt;&gt;0,(ROUND(pts_traje!$I833+(pts_traje!$I833*0.02*pts_traje!$H833/1000),0)),"")</f>
        <v/>
      </c>
      <c r="J833" s="10"/>
    </row>
    <row r="834">
      <c r="A834" s="1" t="str">
        <f>IFNA(right(VLOOKUP(pts_traje!$A834,trj!$B$2:$D1000,3,FALSE),4),"")</f>
        <v/>
      </c>
      <c r="B834" s="10"/>
      <c r="C834" s="10"/>
      <c r="D834" s="1" t="str">
        <f>IFNA(VLOOKUP(pts_traje!$D834,FIX!$A$2:$D1000,4,FALSE),"")</f>
        <v/>
      </c>
      <c r="E834" s="10"/>
      <c r="F834" s="10"/>
      <c r="G834" s="10"/>
      <c r="H834" s="10"/>
      <c r="I834" s="10" t="str">
        <f>IF(pts_traje!$I834&lt;&gt;0,(ROUND(pts_traje!$I834+(pts_traje!$I834*0.02*pts_traje!$H834/1000),0)),"")</f>
        <v/>
      </c>
      <c r="J834" s="10"/>
    </row>
    <row r="835">
      <c r="A835" s="1" t="str">
        <f>IFNA(right(VLOOKUP(pts_traje!$A835,trj!$B$2:$D1000,3,FALSE),4),"")</f>
        <v/>
      </c>
      <c r="B835" s="10"/>
      <c r="C835" s="10"/>
      <c r="D835" s="1" t="str">
        <f>IFNA(VLOOKUP(pts_traje!$D835,FIX!$A$2:$D1000,4,FALSE),"")</f>
        <v/>
      </c>
      <c r="E835" s="10"/>
      <c r="F835" s="10"/>
      <c r="G835" s="10"/>
      <c r="H835" s="10"/>
      <c r="I835" s="10" t="str">
        <f>IF(pts_traje!$I835&lt;&gt;0,(ROUND(pts_traje!$I835+(pts_traje!$I835*0.02*pts_traje!$H835/1000),0)),"")</f>
        <v/>
      </c>
      <c r="J835" s="10"/>
    </row>
    <row r="836">
      <c r="A836" s="1" t="str">
        <f>IFNA(right(VLOOKUP(pts_traje!$A836,trj!$B$2:$D1000,3,FALSE),4),"")</f>
        <v/>
      </c>
      <c r="B836" s="10"/>
      <c r="C836" s="10"/>
      <c r="D836" s="1" t="str">
        <f>IFNA(VLOOKUP(pts_traje!$D836,FIX!$A$2:$D1000,4,FALSE),"")</f>
        <v/>
      </c>
      <c r="E836" s="10"/>
      <c r="F836" s="10"/>
      <c r="G836" s="10"/>
      <c r="H836" s="10"/>
      <c r="I836" s="10" t="str">
        <f>IF(pts_traje!$I836&lt;&gt;0,(ROUND(pts_traje!$I836+(pts_traje!$I836*0.02*pts_traje!$H836/1000),0)),"")</f>
        <v/>
      </c>
      <c r="J836" s="10"/>
    </row>
    <row r="837">
      <c r="A837" s="1" t="str">
        <f>IFNA(right(VLOOKUP(pts_traje!$A837,trj!$B$2:$D1000,3,FALSE),4),"")</f>
        <v/>
      </c>
      <c r="B837" s="10"/>
      <c r="C837" s="10"/>
      <c r="D837" s="1" t="str">
        <f>IFNA(VLOOKUP(pts_traje!$D837,FIX!$A$2:$D1000,4,FALSE),"")</f>
        <v/>
      </c>
      <c r="E837" s="10"/>
      <c r="F837" s="10"/>
      <c r="G837" s="10"/>
      <c r="H837" s="10"/>
      <c r="I837" s="10" t="str">
        <f>IF(pts_traje!$I837&lt;&gt;0,(ROUND(pts_traje!$I837+(pts_traje!$I837*0.02*pts_traje!$H837/1000),0)),"")</f>
        <v/>
      </c>
      <c r="J837" s="10"/>
    </row>
    <row r="838">
      <c r="A838" s="1" t="str">
        <f>IFNA(right(VLOOKUP(pts_traje!$A838,trj!$B$2:$D1000,3,FALSE),4),"")</f>
        <v/>
      </c>
      <c r="B838" s="10"/>
      <c r="C838" s="10"/>
      <c r="D838" s="1" t="str">
        <f>IFNA(VLOOKUP(pts_traje!$D838,FIX!$A$2:$D1000,4,FALSE),"")</f>
        <v/>
      </c>
      <c r="E838" s="10"/>
      <c r="F838" s="10"/>
      <c r="G838" s="10"/>
      <c r="H838" s="10"/>
      <c r="I838" s="10" t="str">
        <f>IF(pts_traje!$I838&lt;&gt;0,(ROUND(pts_traje!$I838+(pts_traje!$I838*0.02*pts_traje!$H838/1000),0)),"")</f>
        <v/>
      </c>
      <c r="J838" s="10"/>
    </row>
    <row r="839">
      <c r="A839" s="1" t="str">
        <f>IFNA(right(VLOOKUP(pts_traje!$A839,trj!$B$2:$D1000,3,FALSE),4),"")</f>
        <v/>
      </c>
      <c r="B839" s="10"/>
      <c r="C839" s="10"/>
      <c r="D839" s="1" t="str">
        <f>IFNA(VLOOKUP(pts_traje!$D839,FIX!$A$2:$D1000,4,FALSE),"")</f>
        <v/>
      </c>
      <c r="E839" s="10"/>
      <c r="F839" s="10"/>
      <c r="G839" s="10"/>
      <c r="H839" s="10"/>
      <c r="I839" s="10" t="str">
        <f>IF(pts_traje!$I839&lt;&gt;0,(ROUND(pts_traje!$I839+(pts_traje!$I839*0.02*pts_traje!$H839/1000),0)),"")</f>
        <v/>
      </c>
      <c r="J839" s="10"/>
    </row>
    <row r="840">
      <c r="A840" s="1" t="str">
        <f>IFNA(right(VLOOKUP(pts_traje!$A840,trj!$B$2:$D1000,3,FALSE),4),"")</f>
        <v/>
      </c>
      <c r="B840" s="10"/>
      <c r="C840" s="10"/>
      <c r="D840" s="1" t="str">
        <f>IFNA(VLOOKUP(pts_traje!$D840,FIX!$A$2:$D1000,4,FALSE),"")</f>
        <v/>
      </c>
      <c r="E840" s="10"/>
      <c r="F840" s="10"/>
      <c r="G840" s="10"/>
      <c r="H840" s="10"/>
      <c r="I840" s="10" t="str">
        <f>IF(pts_traje!$I840&lt;&gt;0,(ROUND(pts_traje!$I840+(pts_traje!$I840*0.02*pts_traje!$H840/1000),0)),"")</f>
        <v/>
      </c>
      <c r="J840" s="10"/>
    </row>
    <row r="841">
      <c r="A841" s="1" t="str">
        <f>IFNA(right(VLOOKUP(pts_traje!$A841,trj!$B$2:$D1000,3,FALSE),4),"")</f>
        <v/>
      </c>
      <c r="B841" s="10"/>
      <c r="C841" s="10"/>
      <c r="D841" s="1" t="str">
        <f>IFNA(VLOOKUP(pts_traje!$D841,FIX!$A$2:$D1000,4,FALSE),"")</f>
        <v/>
      </c>
      <c r="E841" s="10"/>
      <c r="F841" s="10"/>
      <c r="G841" s="10"/>
      <c r="H841" s="10"/>
      <c r="I841" s="10" t="str">
        <f>IF(pts_traje!$I841&lt;&gt;0,(ROUND(pts_traje!$I841+(pts_traje!$I841*0.02*pts_traje!$H841/1000),0)),"")</f>
        <v/>
      </c>
      <c r="J841" s="10"/>
    </row>
    <row r="842">
      <c r="A842" s="1" t="str">
        <f>IFNA(right(VLOOKUP(pts_traje!$A842,trj!$B$2:$D1000,3,FALSE),4),"")</f>
        <v/>
      </c>
      <c r="B842" s="10"/>
      <c r="C842" s="10"/>
      <c r="D842" s="1" t="str">
        <f>IFNA(VLOOKUP(pts_traje!$D842,FIX!$A$2:$D1000,4,FALSE),"")</f>
        <v/>
      </c>
      <c r="E842" s="10"/>
      <c r="F842" s="10"/>
      <c r="G842" s="10"/>
      <c r="H842" s="10"/>
      <c r="I842" s="10" t="str">
        <f>IF(pts_traje!$I842&lt;&gt;0,(ROUND(pts_traje!$I842+(pts_traje!$I842*0.02*pts_traje!$H842/1000),0)),"")</f>
        <v/>
      </c>
      <c r="J842" s="10"/>
    </row>
    <row r="843">
      <c r="A843" s="1" t="str">
        <f>IFNA(right(VLOOKUP(pts_traje!$A843,trj!$B$2:$D1000,3,FALSE),4),"")</f>
        <v/>
      </c>
      <c r="B843" s="10"/>
      <c r="C843" s="10"/>
      <c r="D843" s="1" t="str">
        <f>IFNA(VLOOKUP(pts_traje!$D843,FIX!$A$2:$D1000,4,FALSE),"")</f>
        <v/>
      </c>
      <c r="E843" s="10"/>
      <c r="F843" s="10"/>
      <c r="G843" s="10"/>
      <c r="H843" s="10"/>
      <c r="I843" s="10" t="str">
        <f>IF(pts_traje!$I843&lt;&gt;0,(ROUND(pts_traje!$I843+(pts_traje!$I843*0.02*pts_traje!$H843/1000),0)),"")</f>
        <v/>
      </c>
      <c r="J843" s="10"/>
    </row>
    <row r="844">
      <c r="A844" s="1" t="str">
        <f>IFNA(right(VLOOKUP(pts_traje!$A844,trj!$B$2:$D1000,3,FALSE),4),"")</f>
        <v/>
      </c>
      <c r="B844" s="10"/>
      <c r="C844" s="10"/>
      <c r="D844" s="1" t="str">
        <f>IFNA(VLOOKUP(pts_traje!$D844,FIX!$A$2:$D1000,4,FALSE),"")</f>
        <v/>
      </c>
      <c r="E844" s="10"/>
      <c r="F844" s="10"/>
      <c r="G844" s="10"/>
      <c r="H844" s="10"/>
      <c r="I844" s="10" t="str">
        <f>IF(pts_traje!$I844&lt;&gt;0,(ROUND(pts_traje!$I844+(pts_traje!$I844*0.02*pts_traje!$H844/1000),0)),"")</f>
        <v/>
      </c>
      <c r="J844" s="10"/>
    </row>
    <row r="845">
      <c r="A845" s="1" t="str">
        <f>IFNA(right(VLOOKUP(pts_traje!$A845,trj!$B$2:$D1000,3,FALSE),4),"")</f>
        <v/>
      </c>
      <c r="B845" s="10"/>
      <c r="C845" s="10"/>
      <c r="D845" s="1" t="str">
        <f>IFNA(VLOOKUP(pts_traje!$D845,FIX!$A$2:$D1000,4,FALSE),"")</f>
        <v/>
      </c>
      <c r="E845" s="10"/>
      <c r="F845" s="10"/>
      <c r="G845" s="10"/>
      <c r="H845" s="10"/>
      <c r="I845" s="10" t="str">
        <f>IF(pts_traje!$I845&lt;&gt;0,(ROUND(pts_traje!$I845+(pts_traje!$I845*0.02*pts_traje!$H845/1000),0)),"")</f>
        <v/>
      </c>
      <c r="J845" s="10"/>
    </row>
    <row r="846">
      <c r="A846" s="1" t="str">
        <f>IFNA(right(VLOOKUP(pts_traje!$A846,trj!$B$2:$D1000,3,FALSE),4),"")</f>
        <v/>
      </c>
      <c r="B846" s="10"/>
      <c r="C846" s="10"/>
      <c r="D846" s="1" t="str">
        <f>IFNA(VLOOKUP(pts_traje!$D846,FIX!$A$2:$D1000,4,FALSE),"")</f>
        <v/>
      </c>
      <c r="E846" s="10"/>
      <c r="F846" s="10"/>
      <c r="G846" s="10"/>
      <c r="H846" s="10"/>
      <c r="I846" s="10" t="str">
        <f>IF(pts_traje!$I846&lt;&gt;0,(ROUND(pts_traje!$I846+(pts_traje!$I846*0.02*pts_traje!$H846/1000),0)),"")</f>
        <v/>
      </c>
      <c r="J846" s="10"/>
    </row>
    <row r="847">
      <c r="A847" s="1" t="str">
        <f>IFNA(right(VLOOKUP(pts_traje!$A847,trj!$B$2:$D1000,3,FALSE),4),"")</f>
        <v/>
      </c>
      <c r="B847" s="10"/>
      <c r="C847" s="10"/>
      <c r="D847" s="1" t="str">
        <f>IFNA(VLOOKUP(pts_traje!$D847,FIX!$A$2:$D1000,4,FALSE),"")</f>
        <v/>
      </c>
      <c r="E847" s="10"/>
      <c r="F847" s="10"/>
      <c r="G847" s="10"/>
      <c r="H847" s="10"/>
      <c r="I847" s="10" t="str">
        <f>IF(pts_traje!$I847&lt;&gt;0,(ROUND(pts_traje!$I847+(pts_traje!$I847*0.02*pts_traje!$H847/1000),0)),"")</f>
        <v/>
      </c>
      <c r="J847" s="10"/>
    </row>
    <row r="848">
      <c r="A848" s="1" t="str">
        <f>IFNA(right(VLOOKUP(pts_traje!$A848,trj!$B$2:$D1000,3,FALSE),4),"")</f>
        <v/>
      </c>
      <c r="B848" s="10"/>
      <c r="C848" s="10"/>
      <c r="D848" s="1" t="str">
        <f>IFNA(VLOOKUP(pts_traje!$D848,FIX!$A$2:$D1000,4,FALSE),"")</f>
        <v/>
      </c>
      <c r="E848" s="10"/>
      <c r="F848" s="10"/>
      <c r="G848" s="10"/>
      <c r="H848" s="10"/>
      <c r="I848" s="10" t="str">
        <f>IF(pts_traje!$I848&lt;&gt;0,(ROUND(pts_traje!$I848+(pts_traje!$I848*0.02*pts_traje!$H848/1000),0)),"")</f>
        <v/>
      </c>
      <c r="J848" s="10"/>
    </row>
    <row r="849">
      <c r="A849" s="1" t="str">
        <f>IFNA(right(VLOOKUP(pts_traje!$A849,trj!$B$2:$D1000,3,FALSE),4),"")</f>
        <v/>
      </c>
      <c r="B849" s="10"/>
      <c r="C849" s="10"/>
      <c r="D849" s="1" t="str">
        <f>IFNA(VLOOKUP(pts_traje!$D849,FIX!$A$2:$D1000,4,FALSE),"")</f>
        <v/>
      </c>
      <c r="E849" s="10"/>
      <c r="F849" s="10"/>
      <c r="G849" s="10"/>
      <c r="H849" s="10"/>
      <c r="I849" s="10" t="str">
        <f>IF(pts_traje!$I849&lt;&gt;0,(ROUND(pts_traje!$I849+(pts_traje!$I849*0.02*pts_traje!$H849/1000),0)),"")</f>
        <v/>
      </c>
      <c r="J849" s="10"/>
    </row>
    <row r="850">
      <c r="A850" s="1" t="str">
        <f>IFNA(right(VLOOKUP(pts_traje!$A850,trj!$B$2:$D1000,3,FALSE),4),"")</f>
        <v/>
      </c>
      <c r="B850" s="10"/>
      <c r="C850" s="10"/>
      <c r="D850" s="1" t="str">
        <f>IFNA(VLOOKUP(pts_traje!$D850,FIX!$A$2:$D1000,4,FALSE),"")</f>
        <v/>
      </c>
      <c r="E850" s="10"/>
      <c r="F850" s="10"/>
      <c r="G850" s="10"/>
      <c r="H850" s="10"/>
      <c r="I850" s="10" t="str">
        <f>IF(pts_traje!$I850&lt;&gt;0,(ROUND(pts_traje!$I850+(pts_traje!$I850*0.02*pts_traje!$H850/1000),0)),"")</f>
        <v/>
      </c>
      <c r="J850" s="10"/>
    </row>
    <row r="851">
      <c r="A851" s="1" t="str">
        <f>IFNA(right(VLOOKUP(pts_traje!$A851,trj!$B$2:$D1000,3,FALSE),4),"")</f>
        <v/>
      </c>
      <c r="B851" s="10"/>
      <c r="C851" s="10"/>
      <c r="D851" s="1" t="str">
        <f>IFNA(VLOOKUP(pts_traje!$D851,FIX!$A$2:$D1000,4,FALSE),"")</f>
        <v/>
      </c>
      <c r="E851" s="10"/>
      <c r="F851" s="10"/>
      <c r="G851" s="10"/>
      <c r="H851" s="10"/>
      <c r="I851" s="10" t="str">
        <f>IF(pts_traje!$I851&lt;&gt;0,(ROUND(pts_traje!$I851+(pts_traje!$I851*0.02*pts_traje!$H851/1000),0)),"")</f>
        <v/>
      </c>
      <c r="J851" s="10"/>
    </row>
    <row r="852">
      <c r="A852" s="1" t="str">
        <f>IFNA(right(VLOOKUP(pts_traje!$A852,trj!$B$2:$D1000,3,FALSE),4),"")</f>
        <v/>
      </c>
      <c r="B852" s="10"/>
      <c r="C852" s="10"/>
      <c r="D852" s="1" t="str">
        <f>IFNA(VLOOKUP(pts_traje!$D852,FIX!$A$2:$D1000,4,FALSE),"")</f>
        <v/>
      </c>
      <c r="E852" s="10"/>
      <c r="F852" s="10"/>
      <c r="G852" s="10"/>
      <c r="H852" s="10"/>
      <c r="I852" s="10" t="str">
        <f>IF(pts_traje!$I852&lt;&gt;0,(ROUND(pts_traje!$I852+(pts_traje!$I852*0.02*pts_traje!$H852/1000),0)),"")</f>
        <v/>
      </c>
      <c r="J852" s="10"/>
    </row>
    <row r="853">
      <c r="A853" s="1" t="str">
        <f>IFNA(right(VLOOKUP(pts_traje!$A853,trj!$B$2:$D1000,3,FALSE),4),"")</f>
        <v/>
      </c>
      <c r="B853" s="10"/>
      <c r="C853" s="10"/>
      <c r="D853" s="1" t="str">
        <f>IFNA(VLOOKUP(pts_traje!$D853,FIX!$A$2:$D1000,4,FALSE),"")</f>
        <v/>
      </c>
      <c r="E853" s="10"/>
      <c r="F853" s="10"/>
      <c r="G853" s="10"/>
      <c r="H853" s="10"/>
      <c r="I853" s="10" t="str">
        <f>IF(pts_traje!$I853&lt;&gt;0,(ROUND(pts_traje!$I853+(pts_traje!$I853*0.02*pts_traje!$H853/1000),0)),"")</f>
        <v/>
      </c>
      <c r="J853" s="10"/>
    </row>
    <row r="854">
      <c r="A854" s="1" t="str">
        <f>IFNA(right(VLOOKUP(pts_traje!$A854,trj!$B$2:$D1000,3,FALSE),4),"")</f>
        <v/>
      </c>
      <c r="B854" s="10"/>
      <c r="C854" s="10"/>
      <c r="D854" s="1" t="str">
        <f>IFNA(VLOOKUP(pts_traje!$D854,FIX!$A$2:$D1000,4,FALSE),"")</f>
        <v/>
      </c>
      <c r="E854" s="10"/>
      <c r="F854" s="10"/>
      <c r="G854" s="10"/>
      <c r="H854" s="10"/>
      <c r="I854" s="10" t="str">
        <f>IF(pts_traje!$I854&lt;&gt;0,(ROUND(pts_traje!$I854+(pts_traje!$I854*0.02*pts_traje!$H854/1000),0)),"")</f>
        <v/>
      </c>
      <c r="J854" s="10"/>
    </row>
    <row r="855">
      <c r="A855" s="1" t="str">
        <f>IFNA(right(VLOOKUP(pts_traje!$A855,trj!$B$2:$D1000,3,FALSE),4),"")</f>
        <v/>
      </c>
      <c r="B855" s="10"/>
      <c r="C855" s="10"/>
      <c r="D855" s="1" t="str">
        <f>IFNA(VLOOKUP(pts_traje!$D855,FIX!$A$2:$D1000,4,FALSE),"")</f>
        <v/>
      </c>
      <c r="E855" s="10"/>
      <c r="F855" s="10"/>
      <c r="G855" s="10"/>
      <c r="H855" s="10"/>
      <c r="I855" s="10" t="str">
        <f>IF(pts_traje!$I855&lt;&gt;0,(ROUND(pts_traje!$I855+(pts_traje!$I855*0.02*pts_traje!$H855/1000),0)),"")</f>
        <v/>
      </c>
      <c r="J855" s="10"/>
    </row>
    <row r="856">
      <c r="A856" s="1" t="str">
        <f>IFNA(right(VLOOKUP(pts_traje!$A856,trj!$B$2:$D1000,3,FALSE),4),"")</f>
        <v/>
      </c>
      <c r="B856" s="10"/>
      <c r="C856" s="10"/>
      <c r="D856" s="1" t="str">
        <f>IFNA(VLOOKUP(pts_traje!$D856,FIX!$A$2:$D1000,4,FALSE),"")</f>
        <v/>
      </c>
      <c r="E856" s="10"/>
      <c r="F856" s="10"/>
      <c r="G856" s="10"/>
      <c r="H856" s="10"/>
      <c r="I856" s="10" t="str">
        <f>IF(pts_traje!$I856&lt;&gt;0,(ROUND(pts_traje!$I856+(pts_traje!$I856*0.02*pts_traje!$H856/1000),0)),"")</f>
        <v/>
      </c>
      <c r="J856" s="10"/>
    </row>
    <row r="857">
      <c r="A857" s="1" t="str">
        <f>IFNA(right(VLOOKUP(pts_traje!$A857,trj!$B$2:$D1000,3,FALSE),4),"")</f>
        <v/>
      </c>
      <c r="B857" s="10"/>
      <c r="C857" s="10"/>
      <c r="D857" s="1" t="str">
        <f>IFNA(VLOOKUP(pts_traje!$D857,FIX!$A$2:$D1000,4,FALSE),"")</f>
        <v/>
      </c>
      <c r="E857" s="10"/>
      <c r="F857" s="10"/>
      <c r="G857" s="10"/>
      <c r="H857" s="10"/>
      <c r="I857" s="10" t="str">
        <f>IF(pts_traje!$I857&lt;&gt;0,(ROUND(pts_traje!$I857+(pts_traje!$I857*0.02*pts_traje!$H857/1000),0)),"")</f>
        <v/>
      </c>
      <c r="J857" s="10"/>
    </row>
    <row r="858">
      <c r="A858" s="1" t="str">
        <f>IFNA(right(VLOOKUP(pts_traje!$A858,trj!$B$2:$D1000,3,FALSE),4),"")</f>
        <v/>
      </c>
      <c r="B858" s="10"/>
      <c r="C858" s="10"/>
      <c r="D858" s="1" t="str">
        <f>IFNA(VLOOKUP(pts_traje!$D858,FIX!$A$2:$D1000,4,FALSE),"")</f>
        <v/>
      </c>
      <c r="E858" s="10"/>
      <c r="F858" s="10"/>
      <c r="G858" s="10"/>
      <c r="H858" s="10"/>
      <c r="I858" s="10" t="str">
        <f>IF(pts_traje!$I858&lt;&gt;0,(ROUND(pts_traje!$I858+(pts_traje!$I858*0.02*pts_traje!$H858/1000),0)),"")</f>
        <v/>
      </c>
      <c r="J858" s="10"/>
    </row>
    <row r="859">
      <c r="A859" s="1" t="str">
        <f>IFNA(right(VLOOKUP(pts_traje!$A859,trj!$B$2:$D1000,3,FALSE),4),"")</f>
        <v/>
      </c>
      <c r="B859" s="10"/>
      <c r="C859" s="10"/>
      <c r="D859" s="1" t="str">
        <f>IFNA(VLOOKUP(pts_traje!$D859,FIX!$A$2:$D1000,4,FALSE),"")</f>
        <v/>
      </c>
      <c r="E859" s="10"/>
      <c r="F859" s="10"/>
      <c r="G859" s="10"/>
      <c r="H859" s="10"/>
      <c r="I859" s="10" t="str">
        <f>IF(pts_traje!$I859&lt;&gt;0,(ROUND(pts_traje!$I859+(pts_traje!$I859*0.02*pts_traje!$H859/1000),0)),"")</f>
        <v/>
      </c>
      <c r="J859" s="10"/>
    </row>
    <row r="860">
      <c r="A860" s="1" t="str">
        <f>IFNA(right(VLOOKUP(pts_traje!$A860,trj!$B$2:$D1000,3,FALSE),4),"")</f>
        <v/>
      </c>
      <c r="B860" s="10"/>
      <c r="C860" s="10"/>
      <c r="D860" s="1" t="str">
        <f>IFNA(VLOOKUP(pts_traje!$D860,FIX!$A$2:$D1000,4,FALSE),"")</f>
        <v/>
      </c>
      <c r="E860" s="10"/>
      <c r="F860" s="10"/>
      <c r="G860" s="10"/>
      <c r="H860" s="10"/>
      <c r="I860" s="10" t="str">
        <f>IF(pts_traje!$I860&lt;&gt;0,(ROUND(pts_traje!$I860+(pts_traje!$I860*0.02*pts_traje!$H860/1000),0)),"")</f>
        <v/>
      </c>
      <c r="J860" s="10"/>
    </row>
    <row r="861">
      <c r="A861" s="1" t="str">
        <f>IFNA(right(VLOOKUP(pts_traje!$A861,trj!$B$2:$D1000,3,FALSE),4),"")</f>
        <v/>
      </c>
      <c r="B861" s="10"/>
      <c r="C861" s="10"/>
      <c r="D861" s="1" t="str">
        <f>IFNA(VLOOKUP(pts_traje!$D861,FIX!$A$2:$D1000,4,FALSE),"")</f>
        <v/>
      </c>
      <c r="E861" s="10"/>
      <c r="F861" s="10"/>
      <c r="G861" s="10"/>
      <c r="H861" s="10"/>
      <c r="I861" s="10" t="str">
        <f>IF(pts_traje!$I861&lt;&gt;0,(ROUND(pts_traje!$I861+(pts_traje!$I861*0.02*pts_traje!$H861/1000),0)),"")</f>
        <v/>
      </c>
      <c r="J861" s="10"/>
    </row>
    <row r="862">
      <c r="A862" s="1" t="str">
        <f>IFNA(right(VLOOKUP(pts_traje!$A862,trj!$B$2:$D1000,3,FALSE),4),"")</f>
        <v/>
      </c>
      <c r="B862" s="10"/>
      <c r="C862" s="10"/>
      <c r="D862" s="1" t="str">
        <f>IFNA(VLOOKUP(pts_traje!$D862,FIX!$A$2:$D1000,4,FALSE),"")</f>
        <v/>
      </c>
      <c r="E862" s="10"/>
      <c r="F862" s="10"/>
      <c r="G862" s="10"/>
      <c r="H862" s="10"/>
      <c r="I862" s="10" t="str">
        <f>IF(pts_traje!$I862&lt;&gt;0,(ROUND(pts_traje!$I862+(pts_traje!$I862*0.02*pts_traje!$H862/1000),0)),"")</f>
        <v/>
      </c>
      <c r="J862" s="10"/>
    </row>
    <row r="863">
      <c r="A863" s="1" t="str">
        <f>IFNA(right(VLOOKUP(pts_traje!$A863,trj!$B$2:$D1000,3,FALSE),4),"")</f>
        <v/>
      </c>
      <c r="B863" s="10"/>
      <c r="C863" s="10"/>
      <c r="D863" s="1" t="str">
        <f>IFNA(VLOOKUP(pts_traje!$D863,FIX!$A$2:$D1000,4,FALSE),"")</f>
        <v/>
      </c>
      <c r="E863" s="10"/>
      <c r="F863" s="10"/>
      <c r="G863" s="10"/>
      <c r="H863" s="10"/>
      <c r="I863" s="10" t="str">
        <f>IF(pts_traje!$I863&lt;&gt;0,(ROUND(pts_traje!$I863+(pts_traje!$I863*0.02*pts_traje!$H863/1000),0)),"")</f>
        <v/>
      </c>
      <c r="J863" s="10"/>
    </row>
    <row r="864">
      <c r="A864" s="1" t="str">
        <f>IFNA(right(VLOOKUP(pts_traje!$A864,trj!$B$2:$D1000,3,FALSE),4),"")</f>
        <v/>
      </c>
      <c r="B864" s="10"/>
      <c r="C864" s="10"/>
      <c r="D864" s="1" t="str">
        <f>IFNA(VLOOKUP(pts_traje!$D864,FIX!$A$2:$D1000,4,FALSE),"")</f>
        <v/>
      </c>
      <c r="E864" s="10"/>
      <c r="F864" s="10"/>
      <c r="G864" s="10"/>
      <c r="H864" s="10"/>
      <c r="I864" s="10" t="str">
        <f>IF(pts_traje!$I864&lt;&gt;0,(ROUND(pts_traje!$I864+(pts_traje!$I864*0.02*pts_traje!$H864/1000),0)),"")</f>
        <v/>
      </c>
      <c r="J864" s="10"/>
    </row>
    <row r="865">
      <c r="A865" s="1" t="str">
        <f>IFNA(right(VLOOKUP(pts_traje!$A865,trj!$B$2:$D1000,3,FALSE),4),"")</f>
        <v/>
      </c>
      <c r="B865" s="10"/>
      <c r="C865" s="10"/>
      <c r="D865" s="1" t="str">
        <f>IFNA(VLOOKUP(pts_traje!$D865,FIX!$A$2:$D1000,4,FALSE),"")</f>
        <v/>
      </c>
      <c r="E865" s="10"/>
      <c r="F865" s="10"/>
      <c r="G865" s="10"/>
      <c r="H865" s="10"/>
      <c r="I865" s="10" t="str">
        <f>IF(pts_traje!$I865&lt;&gt;0,(ROUND(pts_traje!$I865+(pts_traje!$I865*0.02*pts_traje!$H865/1000),0)),"")</f>
        <v/>
      </c>
      <c r="J865" s="10"/>
    </row>
    <row r="866">
      <c r="A866" s="1" t="str">
        <f>IFNA(right(VLOOKUP(pts_traje!$A866,trj!$B$2:$D1000,3,FALSE),4),"")</f>
        <v/>
      </c>
      <c r="B866" s="10"/>
      <c r="C866" s="10"/>
      <c r="D866" s="1" t="str">
        <f>IFNA(VLOOKUP(pts_traje!$D866,FIX!$A$2:$D1000,4,FALSE),"")</f>
        <v/>
      </c>
      <c r="E866" s="10"/>
      <c r="F866" s="10"/>
      <c r="G866" s="10"/>
      <c r="H866" s="10"/>
      <c r="I866" s="10" t="str">
        <f>IF(pts_traje!$I866&lt;&gt;0,(ROUND(pts_traje!$I866+(pts_traje!$I866*0.02*pts_traje!$H866/1000),0)),"")</f>
        <v/>
      </c>
      <c r="J866" s="10"/>
    </row>
    <row r="867">
      <c r="A867" s="1" t="str">
        <f>IFNA(right(VLOOKUP(pts_traje!$A867,trj!$B$2:$D1000,3,FALSE),4),"")</f>
        <v/>
      </c>
      <c r="B867" s="10"/>
      <c r="C867" s="10"/>
      <c r="D867" s="1" t="str">
        <f>IFNA(VLOOKUP(pts_traje!$D867,FIX!$A$2:$D1000,4,FALSE),"")</f>
        <v/>
      </c>
      <c r="E867" s="10"/>
      <c r="F867" s="10"/>
      <c r="G867" s="10"/>
      <c r="H867" s="10"/>
      <c r="I867" s="10" t="str">
        <f>IF(pts_traje!$I867&lt;&gt;0,(ROUND(pts_traje!$I867+(pts_traje!$I867*0.02*pts_traje!$H867/1000),0)),"")</f>
        <v/>
      </c>
      <c r="J867" s="10"/>
    </row>
    <row r="868">
      <c r="A868" s="1" t="str">
        <f>IFNA(right(VLOOKUP(pts_traje!$A868,trj!$B$2:$D1000,3,FALSE),4),"")</f>
        <v/>
      </c>
      <c r="B868" s="10"/>
      <c r="C868" s="10"/>
      <c r="D868" s="1" t="str">
        <f>IFNA(VLOOKUP(pts_traje!$D868,FIX!$A$2:$D1000,4,FALSE),"")</f>
        <v/>
      </c>
      <c r="E868" s="10"/>
      <c r="F868" s="10"/>
      <c r="G868" s="10"/>
      <c r="H868" s="10"/>
      <c r="I868" s="10" t="str">
        <f>IF(pts_traje!$I868&lt;&gt;0,(ROUND(pts_traje!$I868+(pts_traje!$I868*0.02*pts_traje!$H868/1000),0)),"")</f>
        <v/>
      </c>
      <c r="J868" s="10"/>
    </row>
    <row r="869">
      <c r="A869" s="1" t="str">
        <f>IFNA(right(VLOOKUP(pts_traje!$A869,trj!$B$2:$D1000,3,FALSE),4),"")</f>
        <v/>
      </c>
      <c r="B869" s="10"/>
      <c r="C869" s="10"/>
      <c r="D869" s="1" t="str">
        <f>IFNA(VLOOKUP(pts_traje!$D869,FIX!$A$2:$D1000,4,FALSE),"")</f>
        <v/>
      </c>
      <c r="E869" s="10"/>
      <c r="F869" s="10"/>
      <c r="G869" s="10"/>
      <c r="H869" s="10"/>
      <c r="I869" s="10" t="str">
        <f>IF(pts_traje!$I869&lt;&gt;0,(ROUND(pts_traje!$I869+(pts_traje!$I869*0.02*pts_traje!$H869/1000),0)),"")</f>
        <v/>
      </c>
      <c r="J869" s="10"/>
    </row>
    <row r="870">
      <c r="A870" s="1" t="str">
        <f>IFNA(right(VLOOKUP(pts_traje!$A870,trj!$B$2:$D1000,3,FALSE),4),"")</f>
        <v/>
      </c>
      <c r="B870" s="10"/>
      <c r="C870" s="10"/>
      <c r="D870" s="1" t="str">
        <f>IFNA(VLOOKUP(pts_traje!$D870,FIX!$A$2:$D1000,4,FALSE),"")</f>
        <v/>
      </c>
      <c r="E870" s="10"/>
      <c r="F870" s="10"/>
      <c r="G870" s="10"/>
      <c r="H870" s="10"/>
      <c r="I870" s="10" t="str">
        <f>IF(pts_traje!$I870&lt;&gt;0,(ROUND(pts_traje!$I870+(pts_traje!$I870*0.02*pts_traje!$H870/1000),0)),"")</f>
        <v/>
      </c>
      <c r="J870" s="10"/>
    </row>
    <row r="871">
      <c r="A871" s="1" t="str">
        <f>IFNA(right(VLOOKUP(pts_traje!$A871,trj!$B$2:$D1000,3,FALSE),4),"")</f>
        <v/>
      </c>
      <c r="B871" s="10"/>
      <c r="C871" s="10"/>
      <c r="D871" s="1" t="str">
        <f>IFNA(VLOOKUP(pts_traje!$D871,FIX!$A$2:$D1000,4,FALSE),"")</f>
        <v/>
      </c>
      <c r="E871" s="10"/>
      <c r="F871" s="10"/>
      <c r="G871" s="10"/>
      <c r="H871" s="10"/>
      <c r="I871" s="10" t="str">
        <f>IF(pts_traje!$I871&lt;&gt;0,(ROUND(pts_traje!$I871+(pts_traje!$I871*0.02*pts_traje!$H871/1000),0)),"")</f>
        <v/>
      </c>
      <c r="J871" s="10"/>
    </row>
    <row r="872">
      <c r="A872" s="1" t="str">
        <f>IFNA(right(VLOOKUP(pts_traje!$A872,trj!$B$2:$D1000,3,FALSE),4),"")</f>
        <v/>
      </c>
      <c r="B872" s="10"/>
      <c r="C872" s="10"/>
      <c r="D872" s="1" t="str">
        <f>IFNA(VLOOKUP(pts_traje!$D872,FIX!$A$2:$D1000,4,FALSE),"")</f>
        <v/>
      </c>
      <c r="E872" s="10"/>
      <c r="F872" s="10"/>
      <c r="G872" s="10"/>
      <c r="H872" s="10"/>
      <c r="I872" s="10" t="str">
        <f>IF(pts_traje!$I872&lt;&gt;0,(ROUND(pts_traje!$I872+(pts_traje!$I872*0.02*pts_traje!$H872/1000),0)),"")</f>
        <v/>
      </c>
      <c r="J872" s="10"/>
    </row>
    <row r="873">
      <c r="A873" s="1" t="str">
        <f>IFNA(right(VLOOKUP(pts_traje!$A873,trj!$B$2:$D1000,3,FALSE),4),"")</f>
        <v/>
      </c>
      <c r="B873" s="10"/>
      <c r="C873" s="10"/>
      <c r="D873" s="1" t="str">
        <f>IFNA(VLOOKUP(pts_traje!$D873,FIX!$A$2:$D1000,4,FALSE),"")</f>
        <v/>
      </c>
      <c r="E873" s="10"/>
      <c r="F873" s="10"/>
      <c r="G873" s="10"/>
      <c r="H873" s="10"/>
      <c r="I873" s="10" t="str">
        <f>IF(pts_traje!$I873&lt;&gt;0,(ROUND(pts_traje!$I873+(pts_traje!$I873*0.02*pts_traje!$H873/1000),0)),"")</f>
        <v/>
      </c>
      <c r="J873" s="10"/>
    </row>
    <row r="874">
      <c r="A874" s="1" t="str">
        <f>IFNA(right(VLOOKUP(pts_traje!$A874,trj!$B$2:$D1000,3,FALSE),4),"")</f>
        <v/>
      </c>
      <c r="B874" s="10"/>
      <c r="C874" s="10"/>
      <c r="D874" s="1" t="str">
        <f>IFNA(VLOOKUP(pts_traje!$D874,FIX!$A$2:$D1000,4,FALSE),"")</f>
        <v/>
      </c>
      <c r="E874" s="10"/>
      <c r="F874" s="10"/>
      <c r="G874" s="10"/>
      <c r="H874" s="10"/>
      <c r="I874" s="10" t="str">
        <f>IF(pts_traje!$I874&lt;&gt;0,(ROUND(pts_traje!$I874+(pts_traje!$I874*0.02*pts_traje!$H874/1000),0)),"")</f>
        <v/>
      </c>
      <c r="J874" s="10"/>
    </row>
    <row r="875">
      <c r="A875" s="1" t="str">
        <f>IFNA(right(VLOOKUP(pts_traje!$A875,trj!$B$2:$D1000,3,FALSE),4),"")</f>
        <v/>
      </c>
      <c r="B875" s="10"/>
      <c r="C875" s="10"/>
      <c r="D875" s="1" t="str">
        <f>IFNA(VLOOKUP(pts_traje!$D875,FIX!$A$2:$D1000,4,FALSE),"")</f>
        <v/>
      </c>
      <c r="E875" s="10"/>
      <c r="F875" s="10"/>
      <c r="G875" s="10"/>
      <c r="H875" s="10"/>
      <c r="I875" s="10" t="str">
        <f>IF(pts_traje!$I875&lt;&gt;0,(ROUND(pts_traje!$I875+(pts_traje!$I875*0.02*pts_traje!$H875/1000),0)),"")</f>
        <v/>
      </c>
      <c r="J875" s="10"/>
    </row>
    <row r="876">
      <c r="A876" s="1" t="str">
        <f>IFNA(right(VLOOKUP(pts_traje!$A876,trj!$B$2:$D1000,3,FALSE),4),"")</f>
        <v/>
      </c>
      <c r="B876" s="10"/>
      <c r="C876" s="10"/>
      <c r="D876" s="1" t="str">
        <f>IFNA(VLOOKUP(pts_traje!$D876,FIX!$A$2:$D1000,4,FALSE),"")</f>
        <v/>
      </c>
      <c r="E876" s="10"/>
      <c r="F876" s="10"/>
      <c r="G876" s="10"/>
      <c r="H876" s="10"/>
      <c r="I876" s="10" t="str">
        <f>IF(pts_traje!$I876&lt;&gt;0,(ROUND(pts_traje!$I876+(pts_traje!$I876*0.02*pts_traje!$H876/1000),0)),"")</f>
        <v/>
      </c>
      <c r="J876" s="10"/>
    </row>
    <row r="877">
      <c r="A877" s="1" t="str">
        <f>IFNA(right(VLOOKUP(pts_traje!$A877,trj!$B$2:$D1000,3,FALSE),4),"")</f>
        <v/>
      </c>
      <c r="B877" s="10"/>
      <c r="C877" s="10"/>
      <c r="D877" s="1" t="str">
        <f>IFNA(VLOOKUP(pts_traje!$D877,FIX!$A$2:$D1000,4,FALSE),"")</f>
        <v/>
      </c>
      <c r="E877" s="10"/>
      <c r="F877" s="10"/>
      <c r="G877" s="10"/>
      <c r="H877" s="10"/>
      <c r="I877" s="10" t="str">
        <f>IF(pts_traje!$I877&lt;&gt;0,(ROUND(pts_traje!$I877+(pts_traje!$I877*0.02*pts_traje!$H877/1000),0)),"")</f>
        <v/>
      </c>
      <c r="J877" s="10"/>
    </row>
    <row r="878">
      <c r="A878" s="1" t="str">
        <f>IFNA(right(VLOOKUP(pts_traje!$A878,trj!$B$2:$D1000,3,FALSE),4),"")</f>
        <v/>
      </c>
      <c r="B878" s="10"/>
      <c r="C878" s="10"/>
      <c r="D878" s="1" t="str">
        <f>IFNA(VLOOKUP(pts_traje!$D878,FIX!$A$2:$D1000,4,FALSE),"")</f>
        <v/>
      </c>
      <c r="E878" s="10"/>
      <c r="F878" s="10"/>
      <c r="G878" s="10"/>
      <c r="H878" s="10"/>
      <c r="I878" s="10" t="str">
        <f>IF(pts_traje!$I878&lt;&gt;0,(ROUND(pts_traje!$I878+(pts_traje!$I878*0.02*pts_traje!$H878/1000),0)),"")</f>
        <v/>
      </c>
      <c r="J878" s="10"/>
    </row>
    <row r="879">
      <c r="A879" s="1" t="str">
        <f>IFNA(right(VLOOKUP(pts_traje!$A879,trj!$B$2:$D1000,3,FALSE),4),"")</f>
        <v/>
      </c>
      <c r="B879" s="10"/>
      <c r="C879" s="10"/>
      <c r="D879" s="1" t="str">
        <f>IFNA(VLOOKUP(pts_traje!$D879,FIX!$A$2:$D1000,4,FALSE),"")</f>
        <v/>
      </c>
      <c r="E879" s="10"/>
      <c r="F879" s="10"/>
      <c r="G879" s="10"/>
      <c r="H879" s="10"/>
      <c r="I879" s="10" t="str">
        <f>IF(pts_traje!$I879&lt;&gt;0,(ROUND(pts_traje!$I879+(pts_traje!$I879*0.02*pts_traje!$H879/1000),0)),"")</f>
        <v/>
      </c>
      <c r="J879" s="10"/>
    </row>
    <row r="880">
      <c r="A880" s="1" t="str">
        <f>IFNA(right(VLOOKUP(pts_traje!$A880,trj!$B$2:$D1000,3,FALSE),4),"")</f>
        <v/>
      </c>
      <c r="B880" s="10"/>
      <c r="C880" s="10"/>
      <c r="D880" s="1" t="str">
        <f>IFNA(VLOOKUP(pts_traje!$D880,FIX!$A$2:$D1000,4,FALSE),"")</f>
        <v/>
      </c>
      <c r="E880" s="10"/>
      <c r="F880" s="10"/>
      <c r="G880" s="10"/>
      <c r="H880" s="10"/>
      <c r="I880" s="10" t="str">
        <f>IF(pts_traje!$I880&lt;&gt;0,(ROUND(pts_traje!$I880+(pts_traje!$I880*0.02*pts_traje!$H880/1000),0)),"")</f>
        <v/>
      </c>
      <c r="J880" s="10"/>
    </row>
    <row r="881">
      <c r="A881" s="1" t="str">
        <f>IFNA(right(VLOOKUP(pts_traje!$A881,trj!$B$2:$D1000,3,FALSE),4),"")</f>
        <v/>
      </c>
      <c r="B881" s="10"/>
      <c r="C881" s="10"/>
      <c r="D881" s="1" t="str">
        <f>IFNA(VLOOKUP(pts_traje!$D881,FIX!$A$2:$D1000,4,FALSE),"")</f>
        <v/>
      </c>
      <c r="E881" s="10"/>
      <c r="F881" s="10"/>
      <c r="G881" s="10"/>
      <c r="H881" s="10"/>
      <c r="I881" s="10" t="str">
        <f>IF(pts_traje!$I881&lt;&gt;0,(ROUND(pts_traje!$I881+(pts_traje!$I881*0.02*pts_traje!$H881/1000),0)),"")</f>
        <v/>
      </c>
      <c r="J881" s="10"/>
    </row>
    <row r="882">
      <c r="A882" s="1" t="str">
        <f>IFNA(right(VLOOKUP(pts_traje!$A882,trj!$B$2:$D1000,3,FALSE),4),"")</f>
        <v/>
      </c>
      <c r="B882" s="10"/>
      <c r="C882" s="10"/>
      <c r="D882" s="1" t="str">
        <f>IFNA(VLOOKUP(pts_traje!$D882,FIX!$A$2:$D1000,4,FALSE),"")</f>
        <v/>
      </c>
      <c r="E882" s="10"/>
      <c r="F882" s="10"/>
      <c r="G882" s="10"/>
      <c r="H882" s="10"/>
      <c r="I882" s="10" t="str">
        <f>IF(pts_traje!$I882&lt;&gt;0,(ROUND(pts_traje!$I882+(pts_traje!$I882*0.02*pts_traje!$H882/1000),0)),"")</f>
        <v/>
      </c>
      <c r="J882" s="10"/>
    </row>
    <row r="883">
      <c r="A883" s="1" t="str">
        <f>IFNA(right(VLOOKUP(pts_traje!$A883,trj!$B$2:$D1000,3,FALSE),4),"")</f>
        <v/>
      </c>
      <c r="B883" s="10"/>
      <c r="C883" s="10"/>
      <c r="D883" s="1" t="str">
        <f>IFNA(VLOOKUP(pts_traje!$D883,FIX!$A$2:$D1000,4,FALSE),"")</f>
        <v/>
      </c>
      <c r="E883" s="10"/>
      <c r="F883" s="10"/>
      <c r="G883" s="10"/>
      <c r="H883" s="10"/>
      <c r="I883" s="10" t="str">
        <f>IF(pts_traje!$I883&lt;&gt;0,(ROUND(pts_traje!$I883+(pts_traje!$I883*0.02*pts_traje!$H883/1000),0)),"")</f>
        <v/>
      </c>
      <c r="J883" s="10"/>
    </row>
    <row r="884">
      <c r="A884" s="1" t="str">
        <f>IFNA(right(VLOOKUP(pts_traje!$A884,trj!$B$2:$D1000,3,FALSE),4),"")</f>
        <v/>
      </c>
      <c r="B884" s="10"/>
      <c r="C884" s="10"/>
      <c r="D884" s="1" t="str">
        <f>IFNA(VLOOKUP(pts_traje!$D884,FIX!$A$2:$D1000,4,FALSE),"")</f>
        <v/>
      </c>
      <c r="E884" s="10"/>
      <c r="F884" s="10"/>
      <c r="G884" s="10"/>
      <c r="H884" s="10"/>
      <c r="I884" s="10" t="str">
        <f>IF(pts_traje!$I884&lt;&gt;0,(ROUND(pts_traje!$I884+(pts_traje!$I884*0.02*pts_traje!$H884/1000),0)),"")</f>
        <v/>
      </c>
      <c r="J884" s="10"/>
    </row>
    <row r="885">
      <c r="A885" s="1" t="str">
        <f>IFNA(right(VLOOKUP(pts_traje!$A885,trj!$B$2:$D1000,3,FALSE),4),"")</f>
        <v/>
      </c>
      <c r="B885" s="10"/>
      <c r="C885" s="10"/>
      <c r="D885" s="1" t="str">
        <f>IFNA(VLOOKUP(pts_traje!$D885,FIX!$A$2:$D1000,4,FALSE),"")</f>
        <v/>
      </c>
      <c r="E885" s="10"/>
      <c r="F885" s="10"/>
      <c r="G885" s="10"/>
      <c r="H885" s="10"/>
      <c r="I885" s="10" t="str">
        <f>IF(pts_traje!$I885&lt;&gt;0,(ROUND(pts_traje!$I885+(pts_traje!$I885*0.02*pts_traje!$H885/1000),0)),"")</f>
        <v/>
      </c>
      <c r="J885" s="10"/>
    </row>
    <row r="886">
      <c r="A886" s="1" t="str">
        <f>IFNA(right(VLOOKUP(pts_traje!$A886,trj!$B$2:$D1000,3,FALSE),4),"")</f>
        <v/>
      </c>
      <c r="B886" s="10"/>
      <c r="C886" s="10"/>
      <c r="D886" s="1" t="str">
        <f>IFNA(VLOOKUP(pts_traje!$D886,FIX!$A$2:$D1000,4,FALSE),"")</f>
        <v/>
      </c>
      <c r="E886" s="10"/>
      <c r="F886" s="10"/>
      <c r="G886" s="10"/>
      <c r="H886" s="10"/>
      <c r="I886" s="10" t="str">
        <f>IF(pts_traje!$I886&lt;&gt;0,(ROUND(pts_traje!$I886+(pts_traje!$I886*0.02*pts_traje!$H886/1000),0)),"")</f>
        <v/>
      </c>
      <c r="J886" s="10"/>
    </row>
    <row r="887">
      <c r="A887" s="1" t="str">
        <f>IFNA(right(VLOOKUP(pts_traje!$A887,trj!$B$2:$D1000,3,FALSE),4),"")</f>
        <v/>
      </c>
      <c r="B887" s="10"/>
      <c r="C887" s="10"/>
      <c r="D887" s="1" t="str">
        <f>IFNA(VLOOKUP(pts_traje!$D887,FIX!$A$2:$D1000,4,FALSE),"")</f>
        <v/>
      </c>
      <c r="E887" s="10"/>
      <c r="F887" s="10"/>
      <c r="G887" s="10"/>
      <c r="H887" s="10"/>
      <c r="I887" s="10" t="str">
        <f>IF(pts_traje!$I887&lt;&gt;0,(ROUND(pts_traje!$I887+(pts_traje!$I887*0.02*pts_traje!$H887/1000),0)),"")</f>
        <v/>
      </c>
      <c r="J887" s="10"/>
    </row>
    <row r="888">
      <c r="A888" s="1" t="str">
        <f>IFNA(right(VLOOKUP(pts_traje!$A888,trj!$B$2:$D1000,3,FALSE),4),"")</f>
        <v/>
      </c>
      <c r="B888" s="10"/>
      <c r="C888" s="10"/>
      <c r="D888" s="1" t="str">
        <f>IFNA(VLOOKUP(pts_traje!$D888,FIX!$A$2:$D1000,4,FALSE),"")</f>
        <v/>
      </c>
      <c r="E888" s="10"/>
      <c r="F888" s="10"/>
      <c r="G888" s="10"/>
      <c r="H888" s="10"/>
      <c r="I888" s="10" t="str">
        <f>IF(pts_traje!$I888&lt;&gt;0,(ROUND(pts_traje!$I888+(pts_traje!$I888*0.02*pts_traje!$H888/1000),0)),"")</f>
        <v/>
      </c>
      <c r="J888" s="10"/>
    </row>
    <row r="889">
      <c r="A889" s="1" t="str">
        <f>IFNA(right(VLOOKUP(pts_traje!$A889,trj!$B$2:$D1000,3,FALSE),4),"")</f>
        <v/>
      </c>
      <c r="B889" s="10"/>
      <c r="C889" s="10"/>
      <c r="D889" s="1" t="str">
        <f>IFNA(VLOOKUP(pts_traje!$D889,FIX!$A$2:$D1000,4,FALSE),"")</f>
        <v/>
      </c>
      <c r="E889" s="10"/>
      <c r="F889" s="10"/>
      <c r="G889" s="10"/>
      <c r="H889" s="10"/>
      <c r="I889" s="10" t="str">
        <f>IF(pts_traje!$I889&lt;&gt;0,(ROUND(pts_traje!$I889+(pts_traje!$I889*0.02*pts_traje!$H889/1000),0)),"")</f>
        <v/>
      </c>
      <c r="J889" s="10"/>
    </row>
    <row r="890">
      <c r="A890" s="1" t="str">
        <f>IFNA(right(VLOOKUP(pts_traje!$A890,trj!$B$2:$D1000,3,FALSE),4),"")</f>
        <v/>
      </c>
      <c r="B890" s="10"/>
      <c r="C890" s="10"/>
      <c r="D890" s="1" t="str">
        <f>IFNA(VLOOKUP(pts_traje!$D890,FIX!$A$2:$D1000,4,FALSE),"")</f>
        <v/>
      </c>
      <c r="E890" s="10"/>
      <c r="F890" s="10"/>
      <c r="G890" s="10"/>
      <c r="H890" s="10"/>
      <c r="I890" s="10" t="str">
        <f>IF(pts_traje!$I890&lt;&gt;0,(ROUND(pts_traje!$I890+(pts_traje!$I890*0.02*pts_traje!$H890/1000),0)),"")</f>
        <v/>
      </c>
      <c r="J890" s="10"/>
    </row>
    <row r="891">
      <c r="A891" s="1" t="str">
        <f>IFNA(right(VLOOKUP(pts_traje!$A891,trj!$B$2:$D1000,3,FALSE),4),"")</f>
        <v/>
      </c>
      <c r="B891" s="10"/>
      <c r="C891" s="10"/>
      <c r="D891" s="1" t="str">
        <f>IFNA(VLOOKUP(pts_traje!$D891,FIX!$A$2:$D1000,4,FALSE),"")</f>
        <v/>
      </c>
      <c r="E891" s="10"/>
      <c r="F891" s="10"/>
      <c r="G891" s="10"/>
      <c r="H891" s="10"/>
      <c r="I891" s="10" t="str">
        <f>IF(pts_traje!$I891&lt;&gt;0,(ROUND(pts_traje!$I891+(pts_traje!$I891*0.02*pts_traje!$H891/1000),0)),"")</f>
        <v/>
      </c>
      <c r="J891" s="10"/>
    </row>
    <row r="892">
      <c r="A892" s="1" t="str">
        <f>IFNA(right(VLOOKUP(pts_traje!$A892,trj!$B$2:$D1000,3,FALSE),4),"")</f>
        <v/>
      </c>
      <c r="B892" s="10"/>
      <c r="C892" s="10"/>
      <c r="D892" s="1" t="str">
        <f>IFNA(VLOOKUP(pts_traje!$D892,FIX!$A$2:$D1000,4,FALSE),"")</f>
        <v/>
      </c>
      <c r="E892" s="10"/>
      <c r="F892" s="10"/>
      <c r="G892" s="10"/>
      <c r="H892" s="10"/>
      <c r="I892" s="10" t="str">
        <f>IF(pts_traje!$I892&lt;&gt;0,(ROUND(pts_traje!$I892+(pts_traje!$I892*0.02*pts_traje!$H892/1000),0)),"")</f>
        <v/>
      </c>
      <c r="J892" s="10"/>
    </row>
    <row r="893">
      <c r="A893" s="1" t="str">
        <f>IFNA(right(VLOOKUP(pts_traje!$A893,trj!$B$2:$D1000,3,FALSE),4),"")</f>
        <v/>
      </c>
      <c r="B893" s="10"/>
      <c r="C893" s="10"/>
      <c r="D893" s="1" t="str">
        <f>IFNA(VLOOKUP(pts_traje!$D893,FIX!$A$2:$D1000,4,FALSE),"")</f>
        <v/>
      </c>
      <c r="E893" s="10"/>
      <c r="F893" s="10"/>
      <c r="G893" s="10"/>
      <c r="H893" s="10"/>
      <c r="I893" s="10" t="str">
        <f>IF(pts_traje!$I893&lt;&gt;0,(ROUND(pts_traje!$I893+(pts_traje!$I893*0.02*pts_traje!$H893/1000),0)),"")</f>
        <v/>
      </c>
      <c r="J893" s="10"/>
    </row>
    <row r="894">
      <c r="A894" s="1" t="str">
        <f>IFNA(right(VLOOKUP(pts_traje!$A894,trj!$B$2:$D1000,3,FALSE),4),"")</f>
        <v/>
      </c>
      <c r="B894" s="10"/>
      <c r="C894" s="10"/>
      <c r="D894" s="1" t="str">
        <f>IFNA(VLOOKUP(pts_traje!$D894,FIX!$A$2:$D1000,4,FALSE),"")</f>
        <v/>
      </c>
      <c r="E894" s="10"/>
      <c r="F894" s="10"/>
      <c r="G894" s="10"/>
      <c r="H894" s="10"/>
      <c r="I894" s="10" t="str">
        <f>IF(pts_traje!$I894&lt;&gt;0,(ROUND(pts_traje!$I894+(pts_traje!$I894*0.02*pts_traje!$H894/1000),0)),"")</f>
        <v/>
      </c>
      <c r="J894" s="10"/>
    </row>
    <row r="895">
      <c r="A895" s="1" t="str">
        <f>IFNA(right(VLOOKUP(pts_traje!$A895,trj!$B$2:$D1000,3,FALSE),4),"")</f>
        <v/>
      </c>
      <c r="B895" s="10"/>
      <c r="C895" s="10"/>
      <c r="D895" s="1" t="str">
        <f>IFNA(VLOOKUP(pts_traje!$D895,FIX!$A$2:$D1000,4,FALSE),"")</f>
        <v/>
      </c>
      <c r="E895" s="10"/>
      <c r="F895" s="10"/>
      <c r="G895" s="10"/>
      <c r="H895" s="10"/>
      <c r="I895" s="10" t="str">
        <f>IF(pts_traje!$I895&lt;&gt;0,(ROUND(pts_traje!$I895+(pts_traje!$I895*0.02*pts_traje!$H895/1000),0)),"")</f>
        <v/>
      </c>
      <c r="J895" s="10"/>
    </row>
    <row r="896">
      <c r="A896" s="1" t="str">
        <f>IFNA(right(VLOOKUP(pts_traje!$A896,trj!$B$2:$D1000,3,FALSE),4),"")</f>
        <v/>
      </c>
      <c r="B896" s="10"/>
      <c r="C896" s="10"/>
      <c r="D896" s="1" t="str">
        <f>IFNA(VLOOKUP(pts_traje!$D896,FIX!$A$2:$D1000,4,FALSE),"")</f>
        <v/>
      </c>
      <c r="E896" s="10"/>
      <c r="F896" s="10"/>
      <c r="G896" s="10"/>
      <c r="H896" s="10"/>
      <c r="I896" s="10" t="str">
        <f>IF(pts_traje!$I896&lt;&gt;0,(ROUND(pts_traje!$I896+(pts_traje!$I896*0.02*pts_traje!$H896/1000),0)),"")</f>
        <v/>
      </c>
      <c r="J896" s="10"/>
    </row>
    <row r="897">
      <c r="A897" s="1" t="str">
        <f>IFNA(right(VLOOKUP(pts_traje!$A897,trj!$B$2:$D1000,3,FALSE),4),"")</f>
        <v/>
      </c>
      <c r="B897" s="10"/>
      <c r="C897" s="10"/>
      <c r="D897" s="1" t="str">
        <f>IFNA(VLOOKUP(pts_traje!$D897,FIX!$A$2:$D1000,4,FALSE),"")</f>
        <v/>
      </c>
      <c r="E897" s="10"/>
      <c r="F897" s="10"/>
      <c r="G897" s="10"/>
      <c r="H897" s="10"/>
      <c r="I897" s="10" t="str">
        <f>IF(pts_traje!$I897&lt;&gt;0,(ROUND(pts_traje!$I897+(pts_traje!$I897*0.02*pts_traje!$H897/1000),0)),"")</f>
        <v/>
      </c>
      <c r="J897" s="10"/>
    </row>
    <row r="898">
      <c r="A898" s="1" t="str">
        <f>IFNA(right(VLOOKUP(pts_traje!$A898,trj!$B$2:$D1000,3,FALSE),4),"")</f>
        <v/>
      </c>
      <c r="B898" s="10"/>
      <c r="C898" s="10"/>
      <c r="D898" s="1" t="str">
        <f>IFNA(VLOOKUP(pts_traje!$D898,FIX!$A$2:$D1000,4,FALSE),"")</f>
        <v/>
      </c>
      <c r="E898" s="10"/>
      <c r="F898" s="10"/>
      <c r="G898" s="10"/>
      <c r="H898" s="10"/>
      <c r="I898" s="10" t="str">
        <f>IF(pts_traje!$I898&lt;&gt;0,(ROUND(pts_traje!$I898+(pts_traje!$I898*0.02*pts_traje!$H898/1000),0)),"")</f>
        <v/>
      </c>
      <c r="J898" s="10"/>
    </row>
    <row r="899">
      <c r="A899" s="1" t="str">
        <f>IFNA(right(VLOOKUP(pts_traje!$A899,trj!$B$2:$D1000,3,FALSE),4),"")</f>
        <v/>
      </c>
      <c r="B899" s="10"/>
      <c r="C899" s="10"/>
      <c r="D899" s="1" t="str">
        <f>IFNA(VLOOKUP(pts_traje!$D899,FIX!$A$2:$D1000,4,FALSE),"")</f>
        <v/>
      </c>
      <c r="E899" s="10"/>
      <c r="F899" s="10"/>
      <c r="G899" s="10"/>
      <c r="H899" s="10"/>
      <c r="I899" s="10" t="str">
        <f>IF(pts_traje!$I899&lt;&gt;0,(ROUND(pts_traje!$I899+(pts_traje!$I899*0.02*pts_traje!$H899/1000),0)),"")</f>
        <v/>
      </c>
      <c r="J899" s="10"/>
    </row>
    <row r="900">
      <c r="A900" s="1" t="str">
        <f>IFNA(right(VLOOKUP(pts_traje!$A900,trj!$B$2:$D1000,3,FALSE),4),"")</f>
        <v/>
      </c>
      <c r="B900" s="10"/>
      <c r="C900" s="10"/>
      <c r="D900" s="1" t="str">
        <f>IFNA(VLOOKUP(pts_traje!$D900,FIX!$A$2:$D1000,4,FALSE),"")</f>
        <v/>
      </c>
      <c r="E900" s="10"/>
      <c r="F900" s="10"/>
      <c r="G900" s="10"/>
      <c r="H900" s="10"/>
      <c r="I900" s="10" t="str">
        <f>IF(pts_traje!$I900&lt;&gt;0,(ROUND(pts_traje!$I900+(pts_traje!$I900*0.02*pts_traje!$H900/1000),0)),"")</f>
        <v/>
      </c>
      <c r="J900" s="10"/>
    </row>
    <row r="901">
      <c r="A901" s="1" t="str">
        <f>IFNA(right(VLOOKUP(pts_traje!$A901,trj!$B$2:$D1000,3,FALSE),4),"")</f>
        <v/>
      </c>
      <c r="B901" s="10"/>
      <c r="C901" s="10"/>
      <c r="D901" s="1" t="str">
        <f>IFNA(VLOOKUP(pts_traje!$D901,FIX!$A$2:$D1000,4,FALSE),"")</f>
        <v/>
      </c>
      <c r="E901" s="10"/>
      <c r="F901" s="10"/>
      <c r="G901" s="10"/>
      <c r="H901" s="10"/>
      <c r="I901" s="10" t="str">
        <f>IF(pts_traje!$I901&lt;&gt;0,(ROUND(pts_traje!$I901+(pts_traje!$I901*0.02*pts_traje!$H901/1000),0)),"")</f>
        <v/>
      </c>
      <c r="J901" s="10"/>
    </row>
    <row r="902">
      <c r="A902" s="1" t="str">
        <f>IFNA(right(VLOOKUP(pts_traje!$A902,trj!$B$2:$D1000,3,FALSE),4),"")</f>
        <v/>
      </c>
      <c r="B902" s="10"/>
      <c r="C902" s="10"/>
      <c r="D902" s="1" t="str">
        <f>IFNA(VLOOKUP(pts_traje!$D902,FIX!$A$2:$D1000,4,FALSE),"")</f>
        <v/>
      </c>
      <c r="E902" s="10"/>
      <c r="F902" s="10"/>
      <c r="G902" s="10"/>
      <c r="H902" s="10"/>
      <c r="I902" s="10" t="str">
        <f>IF(pts_traje!$I902&lt;&gt;0,(ROUND(pts_traje!$I902+(pts_traje!$I902*0.02*pts_traje!$H902/1000),0)),"")</f>
        <v/>
      </c>
      <c r="J902" s="10"/>
    </row>
    <row r="903">
      <c r="A903" s="1" t="str">
        <f>IFNA(right(VLOOKUP(pts_traje!$A903,trj!$B$2:$D1000,3,FALSE),4),"")</f>
        <v/>
      </c>
      <c r="B903" s="10"/>
      <c r="C903" s="10"/>
      <c r="D903" s="1" t="str">
        <f>IFNA(VLOOKUP(pts_traje!$D903,FIX!$A$2:$D1000,4,FALSE),"")</f>
        <v/>
      </c>
      <c r="E903" s="10"/>
      <c r="F903" s="10"/>
      <c r="G903" s="10"/>
      <c r="H903" s="10"/>
      <c r="I903" s="10" t="str">
        <f>IF(pts_traje!$I903&lt;&gt;0,(ROUND(pts_traje!$I903+(pts_traje!$I903*0.02*pts_traje!$H903/1000),0)),"")</f>
        <v/>
      </c>
      <c r="J903" s="10"/>
    </row>
    <row r="904">
      <c r="A904" s="1" t="str">
        <f>IFNA(right(VLOOKUP(pts_traje!$A904,trj!$B$2:$D1000,3,FALSE),4),"")</f>
        <v/>
      </c>
      <c r="B904" s="10"/>
      <c r="C904" s="10"/>
      <c r="D904" s="1" t="str">
        <f>IFNA(VLOOKUP(pts_traje!$D904,FIX!$A$2:$D1000,4,FALSE),"")</f>
        <v/>
      </c>
      <c r="E904" s="10"/>
      <c r="F904" s="10"/>
      <c r="G904" s="10"/>
      <c r="H904" s="10"/>
      <c r="I904" s="10" t="str">
        <f>IF(pts_traje!$I904&lt;&gt;0,(ROUND(pts_traje!$I904+(pts_traje!$I904*0.02*pts_traje!$H904/1000),0)),"")</f>
        <v/>
      </c>
      <c r="J904" s="10"/>
    </row>
    <row r="905">
      <c r="A905" s="1" t="str">
        <f>IFNA(right(VLOOKUP(pts_traje!$A905,trj!$B$2:$D1000,3,FALSE),4),"")</f>
        <v/>
      </c>
      <c r="B905" s="10"/>
      <c r="C905" s="10"/>
      <c r="D905" s="1" t="str">
        <f>IFNA(VLOOKUP(pts_traje!$D905,FIX!$A$2:$D1000,4,FALSE),"")</f>
        <v/>
      </c>
      <c r="E905" s="10"/>
      <c r="F905" s="10"/>
      <c r="G905" s="10"/>
      <c r="H905" s="10"/>
      <c r="I905" s="10" t="str">
        <f>IF(pts_traje!$I905&lt;&gt;0,(ROUND(pts_traje!$I905+(pts_traje!$I905*0.02*pts_traje!$H905/1000),0)),"")</f>
        <v/>
      </c>
      <c r="J905" s="10"/>
    </row>
    <row r="906">
      <c r="A906" s="1" t="str">
        <f>IFNA(right(VLOOKUP(pts_traje!$A906,trj!$B$2:$D1000,3,FALSE),4),"")</f>
        <v/>
      </c>
      <c r="B906" s="10"/>
      <c r="C906" s="10"/>
      <c r="D906" s="1" t="str">
        <f>IFNA(VLOOKUP(pts_traje!$D906,FIX!$A$2:$D1000,4,FALSE),"")</f>
        <v/>
      </c>
      <c r="E906" s="10"/>
      <c r="F906" s="10"/>
      <c r="G906" s="10"/>
      <c r="H906" s="10"/>
      <c r="I906" s="10" t="str">
        <f>IF(pts_traje!$I906&lt;&gt;0,(ROUND(pts_traje!$I906+(pts_traje!$I906*0.02*pts_traje!$H906/1000),0)),"")</f>
        <v/>
      </c>
      <c r="J906" s="10"/>
    </row>
    <row r="907">
      <c r="A907" s="1" t="str">
        <f>IFNA(right(VLOOKUP(pts_traje!$A907,trj!$B$2:$D1000,3,FALSE),4),"")</f>
        <v/>
      </c>
      <c r="B907" s="10"/>
      <c r="C907" s="10"/>
      <c r="D907" s="1" t="str">
        <f>IFNA(VLOOKUP(pts_traje!$D907,FIX!$A$2:$D1000,4,FALSE),"")</f>
        <v/>
      </c>
      <c r="E907" s="10"/>
      <c r="F907" s="10"/>
      <c r="G907" s="10"/>
      <c r="H907" s="10"/>
      <c r="I907" s="10" t="str">
        <f>IF(pts_traje!$I907&lt;&gt;0,(ROUND(pts_traje!$I907+(pts_traje!$I907*0.02*pts_traje!$H907/1000),0)),"")</f>
        <v/>
      </c>
      <c r="J907" s="10"/>
    </row>
    <row r="908">
      <c r="A908" s="1" t="str">
        <f>IFNA(right(VLOOKUP(pts_traje!$A908,trj!$B$2:$D1000,3,FALSE),4),"")</f>
        <v/>
      </c>
      <c r="B908" s="10"/>
      <c r="C908" s="10"/>
      <c r="D908" s="1" t="str">
        <f>IFNA(VLOOKUP(pts_traje!$D908,FIX!$A$2:$D1000,4,FALSE),"")</f>
        <v/>
      </c>
      <c r="E908" s="10"/>
      <c r="F908" s="10"/>
      <c r="G908" s="10"/>
      <c r="H908" s="10"/>
      <c r="I908" s="10" t="str">
        <f>IF(pts_traje!$I908&lt;&gt;0,(ROUND(pts_traje!$I908+(pts_traje!$I908*0.02*pts_traje!$H908/1000),0)),"")</f>
        <v/>
      </c>
      <c r="J908" s="10"/>
    </row>
    <row r="909">
      <c r="A909" s="1" t="str">
        <f>IFNA(right(VLOOKUP(pts_traje!$A909,trj!$B$2:$D1000,3,FALSE),4),"")</f>
        <v/>
      </c>
      <c r="B909" s="10"/>
      <c r="C909" s="10"/>
      <c r="D909" s="1" t="str">
        <f>IFNA(VLOOKUP(pts_traje!$D909,FIX!$A$2:$D1000,4,FALSE),"")</f>
        <v/>
      </c>
      <c r="E909" s="10"/>
      <c r="F909" s="10"/>
      <c r="G909" s="10"/>
      <c r="H909" s="10"/>
      <c r="I909" s="10" t="str">
        <f>IF(pts_traje!$I909&lt;&gt;0,(ROUND(pts_traje!$I909+(pts_traje!$I909*0.02*pts_traje!$H909/1000),0)),"")</f>
        <v/>
      </c>
      <c r="J909" s="10"/>
    </row>
    <row r="910">
      <c r="A910" s="1" t="str">
        <f>IFNA(right(VLOOKUP(pts_traje!$A910,trj!$B$2:$D1000,3,FALSE),4),"")</f>
        <v/>
      </c>
      <c r="B910" s="10"/>
      <c r="C910" s="10"/>
      <c r="D910" s="1" t="str">
        <f>IFNA(VLOOKUP(pts_traje!$D910,FIX!$A$2:$D1000,4,FALSE),"")</f>
        <v/>
      </c>
      <c r="E910" s="10"/>
      <c r="F910" s="10"/>
      <c r="G910" s="10"/>
      <c r="H910" s="10"/>
      <c r="I910" s="10" t="str">
        <f>IF(pts_traje!$I910&lt;&gt;0,(ROUND(pts_traje!$I910+(pts_traje!$I910*0.02*pts_traje!$H910/1000),0)),"")</f>
        <v/>
      </c>
      <c r="J910" s="10"/>
    </row>
    <row r="911">
      <c r="A911" s="1" t="str">
        <f>IFNA(right(VLOOKUP(pts_traje!$A911,trj!$B$2:$D1000,3,FALSE),4),"")</f>
        <v/>
      </c>
      <c r="B911" s="10"/>
      <c r="C911" s="10"/>
      <c r="D911" s="1" t="str">
        <f>IFNA(VLOOKUP(pts_traje!$D911,FIX!$A$2:$D1000,4,FALSE),"")</f>
        <v/>
      </c>
      <c r="E911" s="10"/>
      <c r="F911" s="10"/>
      <c r="G911" s="10"/>
      <c r="H911" s="10"/>
      <c r="I911" s="10" t="str">
        <f>IF(pts_traje!$I911&lt;&gt;0,(ROUND(pts_traje!$I911+(pts_traje!$I911*0.02*pts_traje!$H911/1000),0)),"")</f>
        <v/>
      </c>
      <c r="J911" s="10"/>
    </row>
    <row r="912">
      <c r="A912" s="1" t="str">
        <f>IFNA(right(VLOOKUP(pts_traje!$A912,trj!$B$2:$D1000,3,FALSE),4),"")</f>
        <v/>
      </c>
      <c r="B912" s="10"/>
      <c r="C912" s="10"/>
      <c r="D912" s="1" t="str">
        <f>IFNA(VLOOKUP(pts_traje!$D912,FIX!$A$2:$D1000,4,FALSE),"")</f>
        <v/>
      </c>
      <c r="E912" s="10"/>
      <c r="F912" s="10"/>
      <c r="G912" s="10"/>
      <c r="H912" s="10"/>
      <c r="I912" s="10" t="str">
        <f>IF(pts_traje!$I912&lt;&gt;0,(ROUND(pts_traje!$I912+(pts_traje!$I912*0.02*pts_traje!$H912/1000),0)),"")</f>
        <v/>
      </c>
      <c r="J912" s="10"/>
    </row>
    <row r="913">
      <c r="A913" s="1" t="str">
        <f>IFNA(right(VLOOKUP(pts_traje!$A913,trj!$B$2:$D1000,3,FALSE),4),"")</f>
        <v/>
      </c>
      <c r="B913" s="10"/>
      <c r="C913" s="10"/>
      <c r="D913" s="1" t="str">
        <f>IFNA(VLOOKUP(pts_traje!$D913,FIX!$A$2:$D1000,4,FALSE),"")</f>
        <v/>
      </c>
      <c r="E913" s="10"/>
      <c r="F913" s="10"/>
      <c r="G913" s="10"/>
      <c r="H913" s="10"/>
      <c r="I913" s="10" t="str">
        <f>IF(pts_traje!$I913&lt;&gt;0,(ROUND(pts_traje!$I913+(pts_traje!$I913*0.02*pts_traje!$H913/1000),0)),"")</f>
        <v/>
      </c>
      <c r="J913" s="10"/>
    </row>
    <row r="914">
      <c r="A914" s="1" t="str">
        <f>IFNA(right(VLOOKUP(pts_traje!$A914,trj!$B$2:$D1000,3,FALSE),4),"")</f>
        <v/>
      </c>
      <c r="B914" s="10"/>
      <c r="C914" s="10"/>
      <c r="D914" s="1" t="str">
        <f>IFNA(VLOOKUP(pts_traje!$D914,FIX!$A$2:$D1000,4,FALSE),"")</f>
        <v/>
      </c>
      <c r="E914" s="10"/>
      <c r="F914" s="10"/>
      <c r="G914" s="10"/>
      <c r="H914" s="10"/>
      <c r="I914" s="10" t="str">
        <f>IF(pts_traje!$I914&lt;&gt;0,(ROUND(pts_traje!$I914+(pts_traje!$I914*0.02*pts_traje!$H914/1000),0)),"")</f>
        <v/>
      </c>
      <c r="J914" s="10"/>
    </row>
    <row r="915">
      <c r="A915" s="1" t="str">
        <f>IFNA(right(VLOOKUP(pts_traje!$A915,trj!$B$2:$D1000,3,FALSE),4),"")</f>
        <v/>
      </c>
      <c r="B915" s="10"/>
      <c r="C915" s="10"/>
      <c r="D915" s="1" t="str">
        <f>IFNA(VLOOKUP(pts_traje!$D915,FIX!$A$2:$D1000,4,FALSE),"")</f>
        <v/>
      </c>
      <c r="E915" s="10"/>
      <c r="F915" s="10"/>
      <c r="G915" s="10"/>
      <c r="H915" s="10"/>
      <c r="I915" s="10" t="str">
        <f>IF(pts_traje!$I915&lt;&gt;0,(ROUND(pts_traje!$I915+(pts_traje!$I915*0.02*pts_traje!$H915/1000),0)),"")</f>
        <v/>
      </c>
      <c r="J915" s="10"/>
    </row>
    <row r="916">
      <c r="A916" s="1" t="str">
        <f>IFNA(right(VLOOKUP(pts_traje!$A916,trj!$B$2:$D1000,3,FALSE),4),"")</f>
        <v/>
      </c>
      <c r="B916" s="10"/>
      <c r="C916" s="10"/>
      <c r="D916" s="1" t="str">
        <f>IFNA(VLOOKUP(pts_traje!$D916,FIX!$A$2:$D1000,4,FALSE),"")</f>
        <v/>
      </c>
      <c r="E916" s="10"/>
      <c r="F916" s="10"/>
      <c r="G916" s="10"/>
      <c r="H916" s="10"/>
      <c r="I916" s="10" t="str">
        <f>IF(pts_traje!$I916&lt;&gt;0,(ROUND(pts_traje!$I916+(pts_traje!$I916*0.02*pts_traje!$H916/1000),0)),"")</f>
        <v/>
      </c>
      <c r="J916" s="10"/>
    </row>
    <row r="917">
      <c r="A917" s="1" t="str">
        <f>IFNA(right(VLOOKUP(pts_traje!$A917,trj!$B$2:$D1000,3,FALSE),4),"")</f>
        <v/>
      </c>
      <c r="B917" s="10"/>
      <c r="C917" s="10"/>
      <c r="D917" s="1" t="str">
        <f>IFNA(VLOOKUP(pts_traje!$D917,FIX!$A$2:$D1000,4,FALSE),"")</f>
        <v/>
      </c>
      <c r="E917" s="10"/>
      <c r="F917" s="10"/>
      <c r="G917" s="10"/>
      <c r="H917" s="10"/>
      <c r="I917" s="10" t="str">
        <f>IF(pts_traje!$I917&lt;&gt;0,(ROUND(pts_traje!$I917+(pts_traje!$I917*0.02*pts_traje!$H917/1000),0)),"")</f>
        <v/>
      </c>
      <c r="J917" s="10"/>
    </row>
    <row r="918">
      <c r="A918" s="1" t="str">
        <f>IFNA(right(VLOOKUP(pts_traje!$A918,trj!$B$2:$D1000,3,FALSE),4),"")</f>
        <v/>
      </c>
      <c r="B918" s="10"/>
      <c r="C918" s="10"/>
      <c r="D918" s="1" t="str">
        <f>IFNA(VLOOKUP(pts_traje!$D918,FIX!$A$2:$D1000,4,FALSE),"")</f>
        <v/>
      </c>
      <c r="E918" s="10"/>
      <c r="F918" s="10"/>
      <c r="G918" s="10"/>
      <c r="H918" s="10"/>
      <c r="I918" s="10" t="str">
        <f>IF(pts_traje!$I918&lt;&gt;0,(ROUND(pts_traje!$I918+(pts_traje!$I918*0.02*pts_traje!$H918/1000),0)),"")</f>
        <v/>
      </c>
      <c r="J918" s="10"/>
    </row>
    <row r="919">
      <c r="A919" s="1" t="str">
        <f>IFNA(right(VLOOKUP(pts_traje!$A919,trj!$B$2:$D1000,3,FALSE),4),"")</f>
        <v/>
      </c>
      <c r="B919" s="10"/>
      <c r="C919" s="10"/>
      <c r="D919" s="1" t="str">
        <f>IFNA(VLOOKUP(pts_traje!$D919,FIX!$A$2:$D1000,4,FALSE),"")</f>
        <v/>
      </c>
      <c r="E919" s="10"/>
      <c r="F919" s="10"/>
      <c r="G919" s="10"/>
      <c r="H919" s="10"/>
      <c r="I919" s="10" t="str">
        <f>IF(pts_traje!$I919&lt;&gt;0,(ROUND(pts_traje!$I919+(pts_traje!$I919*0.02*pts_traje!$H919/1000),0)),"")</f>
        <v/>
      </c>
      <c r="J919" s="10"/>
    </row>
    <row r="920">
      <c r="A920" s="1" t="str">
        <f>IFNA(right(VLOOKUP(pts_traje!$A920,trj!$B$2:$D1000,3,FALSE),4),"")</f>
        <v/>
      </c>
      <c r="B920" s="10"/>
      <c r="C920" s="10"/>
      <c r="D920" s="1" t="str">
        <f>IFNA(VLOOKUP(pts_traje!$D920,FIX!$A$2:$D1000,4,FALSE),"")</f>
        <v/>
      </c>
      <c r="E920" s="10"/>
      <c r="F920" s="10"/>
      <c r="G920" s="10"/>
      <c r="H920" s="10"/>
      <c r="I920" s="10" t="str">
        <f>IF(pts_traje!$I920&lt;&gt;0,(ROUND(pts_traje!$I920+(pts_traje!$I920*0.02*pts_traje!$H920/1000),0)),"")</f>
        <v/>
      </c>
      <c r="J920" s="10"/>
    </row>
    <row r="921">
      <c r="A921" s="1" t="str">
        <f>IFNA(right(VLOOKUP(pts_traje!$A921,trj!$B$2:$D1000,3,FALSE),4),"")</f>
        <v/>
      </c>
      <c r="B921" s="10"/>
      <c r="C921" s="10"/>
      <c r="D921" s="1" t="str">
        <f>IFNA(VLOOKUP(pts_traje!$D921,FIX!$A$2:$D1000,4,FALSE),"")</f>
        <v/>
      </c>
      <c r="E921" s="10"/>
      <c r="F921" s="10"/>
      <c r="G921" s="10"/>
      <c r="H921" s="10"/>
      <c r="I921" s="10" t="str">
        <f>IF(pts_traje!$I921&lt;&gt;0,(ROUND(pts_traje!$I921+(pts_traje!$I921*0.02*pts_traje!$H921/1000),0)),"")</f>
        <v/>
      </c>
      <c r="J921" s="10"/>
    </row>
    <row r="922">
      <c r="A922" s="1" t="str">
        <f>IFNA(right(VLOOKUP(pts_traje!$A922,trj!$B$2:$D1000,3,FALSE),4),"")</f>
        <v/>
      </c>
      <c r="B922" s="10"/>
      <c r="C922" s="10"/>
      <c r="D922" s="1" t="str">
        <f>IFNA(VLOOKUP(pts_traje!$D922,FIX!$A$2:$D1000,4,FALSE),"")</f>
        <v/>
      </c>
      <c r="E922" s="10"/>
      <c r="F922" s="10"/>
      <c r="G922" s="10"/>
      <c r="H922" s="10"/>
      <c r="I922" s="10" t="str">
        <f>IF(pts_traje!$I922&lt;&gt;0,(ROUND(pts_traje!$I922+(pts_traje!$I922*0.02*pts_traje!$H922/1000),0)),"")</f>
        <v/>
      </c>
      <c r="J922" s="10"/>
    </row>
    <row r="923">
      <c r="A923" s="1" t="str">
        <f>IFNA(right(VLOOKUP(pts_traje!$A923,trj!$B$2:$D1000,3,FALSE),4),"")</f>
        <v/>
      </c>
      <c r="B923" s="10"/>
      <c r="C923" s="10"/>
      <c r="D923" s="1" t="str">
        <f>IFNA(VLOOKUP(pts_traje!$D923,FIX!$A$2:$D1000,4,FALSE),"")</f>
        <v/>
      </c>
      <c r="E923" s="10"/>
      <c r="F923" s="10"/>
      <c r="G923" s="10"/>
      <c r="H923" s="10"/>
      <c r="I923" s="10" t="str">
        <f>IF(pts_traje!$I923&lt;&gt;0,(ROUND(pts_traje!$I923+(pts_traje!$I923*0.02*pts_traje!$H923/1000),0)),"")</f>
        <v/>
      </c>
      <c r="J923" s="10"/>
    </row>
    <row r="924">
      <c r="A924" s="1" t="str">
        <f>IFNA(right(VLOOKUP(pts_traje!$A924,trj!$B$2:$D1000,3,FALSE),4),"")</f>
        <v/>
      </c>
      <c r="B924" s="10"/>
      <c r="C924" s="10"/>
      <c r="D924" s="1" t="str">
        <f>IFNA(VLOOKUP(pts_traje!$D924,FIX!$A$2:$D1000,4,FALSE),"")</f>
        <v/>
      </c>
      <c r="E924" s="10"/>
      <c r="F924" s="10"/>
      <c r="G924" s="10"/>
      <c r="H924" s="10"/>
      <c r="I924" s="10" t="str">
        <f>IF(pts_traje!$I924&lt;&gt;0,(ROUND(pts_traje!$I924+(pts_traje!$I924*0.02*pts_traje!$H924/1000),0)),"")</f>
        <v/>
      </c>
      <c r="J924" s="10"/>
    </row>
    <row r="925">
      <c r="A925" s="1" t="str">
        <f>IFNA(right(VLOOKUP(pts_traje!$A925,trj!$B$2:$D1000,3,FALSE),4),"")</f>
        <v/>
      </c>
      <c r="B925" s="10"/>
      <c r="C925" s="10"/>
      <c r="D925" s="1" t="str">
        <f>IFNA(VLOOKUP(pts_traje!$D925,FIX!$A$2:$D1000,4,FALSE),"")</f>
        <v/>
      </c>
      <c r="E925" s="10"/>
      <c r="F925" s="10"/>
      <c r="G925" s="10"/>
      <c r="H925" s="10"/>
      <c r="I925" s="10" t="str">
        <f>IF(pts_traje!$I925&lt;&gt;0,(ROUND(pts_traje!$I925+(pts_traje!$I925*0.02*pts_traje!$H925/1000),0)),"")</f>
        <v/>
      </c>
      <c r="J925" s="10"/>
    </row>
    <row r="926">
      <c r="A926" s="1" t="str">
        <f>IFNA(right(VLOOKUP(pts_traje!$A926,trj!$B$2:$D1000,3,FALSE),4),"")</f>
        <v/>
      </c>
      <c r="B926" s="10"/>
      <c r="C926" s="10"/>
      <c r="D926" s="1" t="str">
        <f>IFNA(VLOOKUP(pts_traje!$D926,FIX!$A$2:$D1000,4,FALSE),"")</f>
        <v/>
      </c>
      <c r="E926" s="10"/>
      <c r="F926" s="10"/>
      <c r="G926" s="10"/>
      <c r="H926" s="10"/>
      <c r="I926" s="10" t="str">
        <f>IF(pts_traje!$I926&lt;&gt;0,(ROUND(pts_traje!$I926+(pts_traje!$I926*0.02*pts_traje!$H926/1000),0)),"")</f>
        <v/>
      </c>
      <c r="J926" s="10"/>
    </row>
    <row r="927">
      <c r="A927" s="1" t="str">
        <f>IFNA(right(VLOOKUP(pts_traje!$A927,trj!$B$2:$D1000,3,FALSE),4),"")</f>
        <v/>
      </c>
      <c r="B927" s="10"/>
      <c r="C927" s="10"/>
      <c r="D927" s="1" t="str">
        <f>IFNA(VLOOKUP(pts_traje!$D927,FIX!$A$2:$D1000,4,FALSE),"")</f>
        <v/>
      </c>
      <c r="E927" s="10"/>
      <c r="F927" s="10"/>
      <c r="G927" s="10"/>
      <c r="H927" s="10"/>
      <c r="I927" s="10" t="str">
        <f>IF(pts_traje!$I927&lt;&gt;0,(ROUND(pts_traje!$I927+(pts_traje!$I927*0.02*pts_traje!$H927/1000),0)),"")</f>
        <v/>
      </c>
      <c r="J927" s="10"/>
    </row>
    <row r="928">
      <c r="A928" s="1" t="str">
        <f>IFNA(right(VLOOKUP(pts_traje!$A928,trj!$B$2:$D1000,3,FALSE),4),"")</f>
        <v/>
      </c>
      <c r="B928" s="10"/>
      <c r="C928" s="10"/>
      <c r="D928" s="1" t="str">
        <f>IFNA(VLOOKUP(pts_traje!$D928,FIX!$A$2:$D1000,4,FALSE),"")</f>
        <v/>
      </c>
      <c r="E928" s="10"/>
      <c r="F928" s="10"/>
      <c r="G928" s="10"/>
      <c r="H928" s="10"/>
      <c r="I928" s="10" t="str">
        <f>IF(pts_traje!$I928&lt;&gt;0,(ROUND(pts_traje!$I928+(pts_traje!$I928*0.02*pts_traje!$H928/1000),0)),"")</f>
        <v/>
      </c>
      <c r="J928" s="10"/>
    </row>
    <row r="929">
      <c r="A929" s="1" t="str">
        <f>IFNA(right(VLOOKUP(pts_traje!$A929,trj!$B$2:$D1000,3,FALSE),4),"")</f>
        <v/>
      </c>
      <c r="B929" s="10"/>
      <c r="C929" s="10"/>
      <c r="D929" s="1" t="str">
        <f>IFNA(VLOOKUP(pts_traje!$D929,FIX!$A$2:$D1000,4,FALSE),"")</f>
        <v/>
      </c>
      <c r="E929" s="10"/>
      <c r="F929" s="10"/>
      <c r="G929" s="10"/>
      <c r="H929" s="10"/>
      <c r="I929" s="10" t="str">
        <f>IF(pts_traje!$I929&lt;&gt;0,(ROUND(pts_traje!$I929+(pts_traje!$I929*0.02*pts_traje!$H929/1000),0)),"")</f>
        <v/>
      </c>
      <c r="J929" s="10"/>
    </row>
    <row r="930">
      <c r="A930" s="1" t="str">
        <f>IFNA(right(VLOOKUP(pts_traje!$A930,trj!$B$2:$D1000,3,FALSE),4),"")</f>
        <v/>
      </c>
      <c r="B930" s="10"/>
      <c r="C930" s="10"/>
      <c r="D930" s="1" t="str">
        <f>IFNA(VLOOKUP(pts_traje!$D930,FIX!$A$2:$D1000,4,FALSE),"")</f>
        <v/>
      </c>
      <c r="E930" s="10"/>
      <c r="F930" s="10"/>
      <c r="G930" s="10"/>
      <c r="H930" s="10"/>
      <c r="I930" s="10" t="str">
        <f>IF(pts_traje!$I930&lt;&gt;0,(ROUND(pts_traje!$I930+(pts_traje!$I930*0.02*pts_traje!$H930/1000),0)),"")</f>
        <v/>
      </c>
      <c r="J930" s="10"/>
    </row>
    <row r="931">
      <c r="A931" s="1" t="str">
        <f>IFNA(right(VLOOKUP(pts_traje!$A931,trj!$B$2:$D1000,3,FALSE),4),"")</f>
        <v/>
      </c>
      <c r="B931" s="10"/>
      <c r="C931" s="10"/>
      <c r="D931" s="1" t="str">
        <f>IFNA(VLOOKUP(pts_traje!$D931,FIX!$A$2:$D1000,4,FALSE),"")</f>
        <v/>
      </c>
      <c r="E931" s="10"/>
      <c r="F931" s="10"/>
      <c r="G931" s="10"/>
      <c r="H931" s="10"/>
      <c r="I931" s="10" t="str">
        <f>IF(pts_traje!$I931&lt;&gt;0,(ROUND(pts_traje!$I931+(pts_traje!$I931*0.02*pts_traje!$H931/1000),0)),"")</f>
        <v/>
      </c>
      <c r="J931" s="10"/>
    </row>
    <row r="932">
      <c r="A932" s="1" t="str">
        <f>IFNA(right(VLOOKUP(pts_traje!$A932,trj!$B$2:$D1000,3,FALSE),4),"")</f>
        <v/>
      </c>
      <c r="B932" s="10"/>
      <c r="C932" s="10"/>
      <c r="D932" s="1" t="str">
        <f>IFNA(VLOOKUP(pts_traje!$D932,FIX!$A$2:$D1000,4,FALSE),"")</f>
        <v/>
      </c>
      <c r="E932" s="10"/>
      <c r="F932" s="10"/>
      <c r="G932" s="10"/>
      <c r="H932" s="10"/>
      <c r="I932" s="10" t="str">
        <f>IF(pts_traje!$I932&lt;&gt;0,(ROUND(pts_traje!$I932+(pts_traje!$I932*0.02*pts_traje!$H932/1000),0)),"")</f>
        <v/>
      </c>
      <c r="J932" s="10"/>
    </row>
    <row r="933">
      <c r="A933" s="1" t="str">
        <f>IFNA(right(VLOOKUP(pts_traje!$A933,trj!$B$2:$D1000,3,FALSE),4),"")</f>
        <v/>
      </c>
      <c r="B933" s="10"/>
      <c r="C933" s="10"/>
      <c r="D933" s="1" t="str">
        <f>IFNA(VLOOKUP(pts_traje!$D933,FIX!$A$2:$D1000,4,FALSE),"")</f>
        <v/>
      </c>
      <c r="E933" s="10"/>
      <c r="F933" s="10"/>
      <c r="G933" s="10"/>
      <c r="H933" s="10"/>
      <c r="I933" s="10" t="str">
        <f>IF(pts_traje!$I933&lt;&gt;0,(ROUND(pts_traje!$I933+(pts_traje!$I933*0.02*pts_traje!$H933/1000),0)),"")</f>
        <v/>
      </c>
      <c r="J933" s="10"/>
    </row>
    <row r="934">
      <c r="A934" s="1" t="str">
        <f>IFNA(right(VLOOKUP(pts_traje!$A934,trj!$B$2:$D1000,3,FALSE),4),"")</f>
        <v/>
      </c>
      <c r="B934" s="10"/>
      <c r="C934" s="10"/>
      <c r="D934" s="1" t="str">
        <f>IFNA(VLOOKUP(pts_traje!$D934,FIX!$A$2:$D1000,4,FALSE),"")</f>
        <v/>
      </c>
      <c r="E934" s="10"/>
      <c r="F934" s="10"/>
      <c r="G934" s="10"/>
      <c r="H934" s="10"/>
      <c r="I934" s="10" t="str">
        <f>IF(pts_traje!$I934&lt;&gt;0,(ROUND(pts_traje!$I934+(pts_traje!$I934*0.02*pts_traje!$H934/1000),0)),"")</f>
        <v/>
      </c>
      <c r="J934" s="10"/>
    </row>
    <row r="935">
      <c r="A935" s="1" t="str">
        <f>IFNA(right(VLOOKUP(pts_traje!$A935,trj!$B$2:$D1000,3,FALSE),4),"")</f>
        <v/>
      </c>
      <c r="B935" s="10"/>
      <c r="C935" s="10"/>
      <c r="D935" s="1" t="str">
        <f>IFNA(VLOOKUP(pts_traje!$D935,FIX!$A$2:$D1000,4,FALSE),"")</f>
        <v/>
      </c>
      <c r="E935" s="10"/>
      <c r="F935" s="10"/>
      <c r="G935" s="10"/>
      <c r="H935" s="10"/>
      <c r="I935" s="10" t="str">
        <f>IF(pts_traje!$I935&lt;&gt;0,(ROUND(pts_traje!$I935+(pts_traje!$I935*0.02*pts_traje!$H935/1000),0)),"")</f>
        <v/>
      </c>
      <c r="J935" s="10"/>
    </row>
    <row r="936">
      <c r="A936" s="1" t="str">
        <f>IFNA(right(VLOOKUP(pts_traje!$A936,trj!$B$2:$D1000,3,FALSE),4),"")</f>
        <v/>
      </c>
      <c r="B936" s="10"/>
      <c r="C936" s="10"/>
      <c r="D936" s="1" t="str">
        <f>IFNA(VLOOKUP(pts_traje!$D936,FIX!$A$2:$D1000,4,FALSE),"")</f>
        <v/>
      </c>
      <c r="E936" s="10"/>
      <c r="F936" s="10"/>
      <c r="G936" s="10"/>
      <c r="H936" s="10"/>
      <c r="I936" s="10" t="str">
        <f>IF(pts_traje!$I936&lt;&gt;0,(ROUND(pts_traje!$I936+(pts_traje!$I936*0.02*pts_traje!$H936/1000),0)),"")</f>
        <v/>
      </c>
      <c r="J936" s="10"/>
    </row>
    <row r="937">
      <c r="A937" s="1" t="str">
        <f>IFNA(right(VLOOKUP(pts_traje!$A937,trj!$B$2:$D1000,3,FALSE),4),"")</f>
        <v/>
      </c>
      <c r="B937" s="10"/>
      <c r="C937" s="10"/>
      <c r="D937" s="1" t="str">
        <f>IFNA(VLOOKUP(pts_traje!$D937,FIX!$A$2:$D1000,4,FALSE),"")</f>
        <v/>
      </c>
      <c r="E937" s="10"/>
      <c r="F937" s="10"/>
      <c r="G937" s="10"/>
      <c r="H937" s="10"/>
      <c r="I937" s="10" t="str">
        <f>IF(pts_traje!$I937&lt;&gt;0,(ROUND(pts_traje!$I937+(pts_traje!$I937*0.02*pts_traje!$H937/1000),0)),"")</f>
        <v/>
      </c>
      <c r="J937" s="10"/>
    </row>
    <row r="938">
      <c r="A938" s="1" t="str">
        <f>IFNA(right(VLOOKUP(pts_traje!$A938,trj!$B$2:$D1000,3,FALSE),4),"")</f>
        <v/>
      </c>
      <c r="B938" s="10"/>
      <c r="C938" s="10"/>
      <c r="D938" s="1" t="str">
        <f>IFNA(VLOOKUP(pts_traje!$D938,FIX!$A$2:$D1000,4,FALSE),"")</f>
        <v/>
      </c>
      <c r="E938" s="10"/>
      <c r="F938" s="10"/>
      <c r="G938" s="10"/>
      <c r="H938" s="10"/>
      <c r="I938" s="10" t="str">
        <f>IF(pts_traje!$I938&lt;&gt;0,(ROUND(pts_traje!$I938+(pts_traje!$I938*0.02*pts_traje!$H938/1000),0)),"")</f>
        <v/>
      </c>
      <c r="J938" s="10"/>
    </row>
    <row r="939">
      <c r="A939" s="1" t="str">
        <f>IFNA(right(VLOOKUP(pts_traje!$A939,trj!$B$2:$D1000,3,FALSE),4),"")</f>
        <v/>
      </c>
      <c r="B939" s="10"/>
      <c r="C939" s="10"/>
      <c r="D939" s="1" t="str">
        <f>IFNA(VLOOKUP(pts_traje!$D939,FIX!$A$2:$D1000,4,FALSE),"")</f>
        <v/>
      </c>
      <c r="E939" s="10"/>
      <c r="F939" s="10"/>
      <c r="G939" s="10"/>
      <c r="H939" s="10"/>
      <c r="I939" s="10" t="str">
        <f>IF(pts_traje!$I939&lt;&gt;0,(ROUND(pts_traje!$I939+(pts_traje!$I939*0.02*pts_traje!$H939/1000),0)),"")</f>
        <v/>
      </c>
      <c r="J939" s="10"/>
    </row>
    <row r="940">
      <c r="A940" s="1" t="str">
        <f>IFNA(right(VLOOKUP(pts_traje!$A940,trj!$B$2:$D1000,3,FALSE),4),"")</f>
        <v/>
      </c>
      <c r="B940" s="10"/>
      <c r="C940" s="10"/>
      <c r="D940" s="1" t="str">
        <f>IFNA(VLOOKUP(pts_traje!$D940,FIX!$A$2:$D1000,4,FALSE),"")</f>
        <v/>
      </c>
      <c r="E940" s="10"/>
      <c r="F940" s="10"/>
      <c r="G940" s="10"/>
      <c r="H940" s="10"/>
      <c r="I940" s="10" t="str">
        <f>IF(pts_traje!$I940&lt;&gt;0,(ROUND(pts_traje!$I940+(pts_traje!$I940*0.02*pts_traje!$H940/1000),0)),"")</f>
        <v/>
      </c>
      <c r="J940" s="10"/>
    </row>
    <row r="941">
      <c r="A941" s="1" t="str">
        <f>IFNA(right(VLOOKUP(pts_traje!$A941,trj!$B$2:$D1000,3,FALSE),4),"")</f>
        <v/>
      </c>
      <c r="B941" s="10"/>
      <c r="C941" s="10"/>
      <c r="D941" s="1" t="str">
        <f>IFNA(VLOOKUP(pts_traje!$D941,FIX!$A$2:$D1000,4,FALSE),"")</f>
        <v/>
      </c>
      <c r="E941" s="10"/>
      <c r="F941" s="10"/>
      <c r="G941" s="10"/>
      <c r="H941" s="10"/>
      <c r="I941" s="10" t="str">
        <f>IF(pts_traje!$I941&lt;&gt;0,(ROUND(pts_traje!$I941+(pts_traje!$I941*0.02*pts_traje!$H941/1000),0)),"")</f>
        <v/>
      </c>
      <c r="J941" s="10"/>
    </row>
    <row r="942">
      <c r="A942" s="1" t="str">
        <f>IFNA(right(VLOOKUP(pts_traje!$A942,trj!$B$2:$D1000,3,FALSE),4),"")</f>
        <v/>
      </c>
      <c r="B942" s="10"/>
      <c r="C942" s="10"/>
      <c r="D942" s="1" t="str">
        <f>IFNA(VLOOKUP(pts_traje!$D942,FIX!$A$2:$D1000,4,FALSE),"")</f>
        <v/>
      </c>
      <c r="E942" s="10"/>
      <c r="F942" s="10"/>
      <c r="G942" s="10"/>
      <c r="H942" s="10"/>
      <c r="I942" s="10" t="str">
        <f>IF(pts_traje!$I942&lt;&gt;0,(ROUND(pts_traje!$I942+(pts_traje!$I942*0.02*pts_traje!$H942/1000),0)),"")</f>
        <v/>
      </c>
      <c r="J942" s="10"/>
    </row>
    <row r="943">
      <c r="A943" s="1" t="str">
        <f>IFNA(right(VLOOKUP(pts_traje!$A943,trj!$B$2:$D1000,3,FALSE),4),"")</f>
        <v/>
      </c>
      <c r="B943" s="10"/>
      <c r="C943" s="10"/>
      <c r="D943" s="1" t="str">
        <f>IFNA(VLOOKUP(pts_traje!$D943,FIX!$A$2:$D1000,4,FALSE),"")</f>
        <v/>
      </c>
      <c r="E943" s="10"/>
      <c r="F943" s="10"/>
      <c r="G943" s="10"/>
      <c r="H943" s="10"/>
      <c r="I943" s="10" t="str">
        <f>IF(pts_traje!$I943&lt;&gt;0,(ROUND(pts_traje!$I943+(pts_traje!$I943*0.02*pts_traje!$H943/1000),0)),"")</f>
        <v/>
      </c>
      <c r="J943" s="10"/>
    </row>
    <row r="944">
      <c r="A944" s="1" t="str">
        <f>IFNA(right(VLOOKUP(pts_traje!$A944,trj!$B$2:$D1000,3,FALSE),4),"")</f>
        <v/>
      </c>
      <c r="B944" s="10"/>
      <c r="C944" s="10"/>
      <c r="D944" s="1" t="str">
        <f>IFNA(VLOOKUP(pts_traje!$D944,FIX!$A$2:$D1000,4,FALSE),"")</f>
        <v/>
      </c>
      <c r="E944" s="10"/>
      <c r="F944" s="10"/>
      <c r="G944" s="10"/>
      <c r="H944" s="10"/>
      <c r="I944" s="10" t="str">
        <f>IF(pts_traje!$I944&lt;&gt;0,(ROUND(pts_traje!$I944+(pts_traje!$I944*0.02*pts_traje!$H944/1000),0)),"")</f>
        <v/>
      </c>
      <c r="J944" s="10"/>
    </row>
    <row r="945">
      <c r="A945" s="1" t="str">
        <f>IFNA(right(VLOOKUP(pts_traje!$A945,trj!$B$2:$D1000,3,FALSE),4),"")</f>
        <v/>
      </c>
      <c r="B945" s="10"/>
      <c r="C945" s="10"/>
      <c r="D945" s="1" t="str">
        <f>IFNA(VLOOKUP(pts_traje!$D945,FIX!$A$2:$D1000,4,FALSE),"")</f>
        <v/>
      </c>
      <c r="E945" s="10"/>
      <c r="F945" s="10"/>
      <c r="G945" s="10"/>
      <c r="H945" s="10"/>
      <c r="I945" s="10" t="str">
        <f>IF(pts_traje!$I945&lt;&gt;0,(ROUND(pts_traje!$I945+(pts_traje!$I945*0.02*pts_traje!$H945/1000),0)),"")</f>
        <v/>
      </c>
      <c r="J945" s="10"/>
    </row>
    <row r="946">
      <c r="A946" s="1" t="str">
        <f>IFNA(right(VLOOKUP(pts_traje!$A946,trj!$B$2:$D1000,3,FALSE),4),"")</f>
        <v/>
      </c>
      <c r="B946" s="10"/>
      <c r="C946" s="10"/>
      <c r="D946" s="1" t="str">
        <f>IFNA(VLOOKUP(pts_traje!$D946,FIX!$A$2:$D1000,4,FALSE),"")</f>
        <v/>
      </c>
      <c r="E946" s="10"/>
      <c r="F946" s="10"/>
      <c r="G946" s="10"/>
      <c r="H946" s="10"/>
      <c r="I946" s="10" t="str">
        <f>IF(pts_traje!$I946&lt;&gt;0,(ROUND(pts_traje!$I946+(pts_traje!$I946*0.02*pts_traje!$H946/1000),0)),"")</f>
        <v/>
      </c>
      <c r="J946" s="10"/>
    </row>
    <row r="947">
      <c r="A947" s="1" t="str">
        <f>IFNA(right(VLOOKUP(pts_traje!$A947,trj!$B$2:$D1000,3,FALSE),4),"")</f>
        <v/>
      </c>
      <c r="B947" s="10"/>
      <c r="C947" s="10"/>
      <c r="D947" s="1" t="str">
        <f>IFNA(VLOOKUP(pts_traje!$D947,FIX!$A$2:$D1000,4,FALSE),"")</f>
        <v/>
      </c>
      <c r="E947" s="10"/>
      <c r="F947" s="10"/>
      <c r="G947" s="10"/>
      <c r="H947" s="10"/>
      <c r="I947" s="10" t="str">
        <f>IF(pts_traje!$I947&lt;&gt;0,(ROUND(pts_traje!$I947+(pts_traje!$I947*0.02*pts_traje!$H947/1000),0)),"")</f>
        <v/>
      </c>
      <c r="J947" s="10"/>
    </row>
    <row r="948">
      <c r="A948" s="1" t="str">
        <f>IFNA(right(VLOOKUP(pts_traje!$A948,trj!$B$2:$D1000,3,FALSE),4),"")</f>
        <v/>
      </c>
      <c r="B948" s="10"/>
      <c r="C948" s="10"/>
      <c r="D948" s="1" t="str">
        <f>IFNA(VLOOKUP(pts_traje!$D948,FIX!$A$2:$D1000,4,FALSE),"")</f>
        <v/>
      </c>
      <c r="E948" s="10"/>
      <c r="F948" s="10"/>
      <c r="G948" s="10"/>
      <c r="H948" s="10"/>
      <c r="I948" s="10" t="str">
        <f>IF(pts_traje!$I948&lt;&gt;0,(ROUND(pts_traje!$I948+(pts_traje!$I948*0.02*pts_traje!$H948/1000),0)),"")</f>
        <v/>
      </c>
      <c r="J948" s="10"/>
    </row>
    <row r="949">
      <c r="A949" s="1" t="str">
        <f>IFNA(right(VLOOKUP(pts_traje!$A949,trj!$B$2:$D1000,3,FALSE),4),"")</f>
        <v/>
      </c>
      <c r="B949" s="10"/>
      <c r="C949" s="10"/>
      <c r="D949" s="1" t="str">
        <f>IFNA(VLOOKUP(pts_traje!$D949,FIX!$A$2:$D1000,4,FALSE),"")</f>
        <v/>
      </c>
      <c r="E949" s="10"/>
      <c r="F949" s="10"/>
      <c r="G949" s="10"/>
      <c r="H949" s="10"/>
      <c r="I949" s="10" t="str">
        <f>IF(pts_traje!$I949&lt;&gt;0,(ROUND(pts_traje!$I949+(pts_traje!$I949*0.02*pts_traje!$H949/1000),0)),"")</f>
        <v/>
      </c>
      <c r="J949" s="10"/>
    </row>
    <row r="950">
      <c r="A950" s="1" t="str">
        <f>IFNA(right(VLOOKUP(pts_traje!$A950,trj!$B$2:$D1000,3,FALSE),4),"")</f>
        <v/>
      </c>
      <c r="B950" s="10"/>
      <c r="C950" s="10"/>
      <c r="D950" s="1" t="str">
        <f>IFNA(VLOOKUP(pts_traje!$D950,FIX!$A$2:$D1000,4,FALSE),"")</f>
        <v/>
      </c>
      <c r="E950" s="10"/>
      <c r="F950" s="10"/>
      <c r="G950" s="10"/>
      <c r="H950" s="10"/>
      <c r="I950" s="10" t="str">
        <f>IF(pts_traje!$I950&lt;&gt;0,(ROUND(pts_traje!$I950+(pts_traje!$I950*0.02*pts_traje!$H950/1000),0)),"")</f>
        <v/>
      </c>
      <c r="J950" s="10"/>
    </row>
    <row r="951">
      <c r="A951" s="1" t="str">
        <f>IFNA(right(VLOOKUP(pts_traje!$A951,trj!$B$2:$D1000,3,FALSE),4),"")</f>
        <v/>
      </c>
      <c r="B951" s="10"/>
      <c r="C951" s="10"/>
      <c r="D951" s="1" t="str">
        <f>IFNA(VLOOKUP(pts_traje!$D951,FIX!$A$2:$D1000,4,FALSE),"")</f>
        <v/>
      </c>
      <c r="E951" s="10"/>
      <c r="F951" s="10"/>
      <c r="G951" s="10"/>
      <c r="H951" s="10"/>
      <c r="I951" s="10" t="str">
        <f>IF(pts_traje!$I951&lt;&gt;0,(ROUND(pts_traje!$I951+(pts_traje!$I951*0.02*pts_traje!$H951/1000),0)),"")</f>
        <v/>
      </c>
      <c r="J951" s="10"/>
    </row>
    <row r="952">
      <c r="A952" s="1" t="str">
        <f>IFNA(right(VLOOKUP(pts_traje!$A952,trj!$B$2:$D1000,3,FALSE),4),"")</f>
        <v/>
      </c>
      <c r="B952" s="10"/>
      <c r="C952" s="10"/>
      <c r="D952" s="1" t="str">
        <f>IFNA(VLOOKUP(pts_traje!$D952,FIX!$A$2:$D1000,4,FALSE),"")</f>
        <v/>
      </c>
      <c r="E952" s="10"/>
      <c r="F952" s="10"/>
      <c r="G952" s="10"/>
      <c r="H952" s="10"/>
      <c r="I952" s="10" t="str">
        <f>IF(pts_traje!$I952&lt;&gt;0,(ROUND(pts_traje!$I952+(pts_traje!$I952*0.02*pts_traje!$H952/1000),0)),"")</f>
        <v/>
      </c>
      <c r="J952" s="10"/>
    </row>
    <row r="953">
      <c r="A953" s="1" t="str">
        <f>IFNA(right(VLOOKUP(pts_traje!$A953,trj!$B$2:$D1000,3,FALSE),4),"")</f>
        <v/>
      </c>
      <c r="B953" s="10"/>
      <c r="C953" s="10"/>
      <c r="D953" s="1" t="str">
        <f>IFNA(VLOOKUP(pts_traje!$D953,FIX!$A$2:$D1000,4,FALSE),"")</f>
        <v/>
      </c>
      <c r="E953" s="10"/>
      <c r="F953" s="10"/>
      <c r="G953" s="10"/>
      <c r="H953" s="10"/>
      <c r="I953" s="10" t="str">
        <f>IF(pts_traje!$I953&lt;&gt;0,(ROUND(pts_traje!$I953+(pts_traje!$I953*0.02*pts_traje!$H953/1000),0)),"")</f>
        <v/>
      </c>
      <c r="J953" s="10"/>
    </row>
    <row r="954">
      <c r="A954" s="1" t="str">
        <f>IFNA(right(VLOOKUP(pts_traje!$A954,trj!$B$2:$D1000,3,FALSE),4),"")</f>
        <v/>
      </c>
      <c r="B954" s="10"/>
      <c r="C954" s="10"/>
      <c r="D954" s="1" t="str">
        <f>IFNA(VLOOKUP(pts_traje!$D954,FIX!$A$2:$D1000,4,FALSE),"")</f>
        <v/>
      </c>
      <c r="E954" s="10"/>
      <c r="F954" s="10"/>
      <c r="G954" s="10"/>
      <c r="H954" s="10"/>
      <c r="I954" s="10" t="str">
        <f>IF(pts_traje!$I954&lt;&gt;0,(ROUND(pts_traje!$I954+(pts_traje!$I954*0.02*pts_traje!$H954/1000),0)),"")</f>
        <v/>
      </c>
      <c r="J954" s="10"/>
    </row>
    <row r="955">
      <c r="A955" s="1" t="str">
        <f>IFNA(right(VLOOKUP(pts_traje!$A955,trj!$B$2:$D1000,3,FALSE),4),"")</f>
        <v/>
      </c>
      <c r="B955" s="10"/>
      <c r="C955" s="10"/>
      <c r="D955" s="1" t="str">
        <f>IFNA(VLOOKUP(pts_traje!$D955,FIX!$A$2:$D1000,4,FALSE),"")</f>
        <v/>
      </c>
      <c r="E955" s="10"/>
      <c r="F955" s="10"/>
      <c r="G955" s="10"/>
      <c r="H955" s="10"/>
      <c r="I955" s="10" t="str">
        <f>IF(pts_traje!$I955&lt;&gt;0,(ROUND(pts_traje!$I955+(pts_traje!$I955*0.02*pts_traje!$H955/1000),0)),"")</f>
        <v/>
      </c>
      <c r="J955" s="10"/>
    </row>
    <row r="956">
      <c r="A956" s="1" t="str">
        <f>IFNA(right(VLOOKUP(pts_traje!$A956,trj!$B$2:$D1000,3,FALSE),4),"")</f>
        <v/>
      </c>
      <c r="B956" s="10"/>
      <c r="C956" s="10"/>
      <c r="D956" s="1" t="str">
        <f>IFNA(VLOOKUP(pts_traje!$D956,FIX!$A$2:$D1000,4,FALSE),"")</f>
        <v/>
      </c>
      <c r="E956" s="10"/>
      <c r="F956" s="10"/>
      <c r="G956" s="10"/>
      <c r="H956" s="10"/>
      <c r="I956" s="10" t="str">
        <f>IF(pts_traje!$I956&lt;&gt;0,(ROUND(pts_traje!$I956+(pts_traje!$I956*0.02*pts_traje!$H956/1000),0)),"")</f>
        <v/>
      </c>
      <c r="J956" s="10"/>
    </row>
    <row r="957">
      <c r="A957" s="1" t="str">
        <f>IFNA(right(VLOOKUP(pts_traje!$A957,trj!$B$2:$D1000,3,FALSE),4),"")</f>
        <v/>
      </c>
      <c r="B957" s="10"/>
      <c r="C957" s="10"/>
      <c r="D957" s="1" t="str">
        <f>IFNA(VLOOKUP(pts_traje!$D957,FIX!$A$2:$D1000,4,FALSE),"")</f>
        <v/>
      </c>
      <c r="E957" s="10"/>
      <c r="F957" s="10"/>
      <c r="G957" s="10"/>
      <c r="H957" s="10"/>
      <c r="I957" s="10" t="str">
        <f>IF(pts_traje!$I957&lt;&gt;0,(ROUND(pts_traje!$I957+(pts_traje!$I957*0.02*pts_traje!$H957/1000),0)),"")</f>
        <v/>
      </c>
      <c r="J957" s="10"/>
    </row>
    <row r="958">
      <c r="A958" s="1" t="str">
        <f>IFNA(right(VLOOKUP(pts_traje!$A958,trj!$B$2:$D1000,3,FALSE),4),"")</f>
        <v/>
      </c>
      <c r="B958" s="10"/>
      <c r="C958" s="10"/>
      <c r="D958" s="1" t="str">
        <f>IFNA(VLOOKUP(pts_traje!$D958,FIX!$A$2:$D1000,4,FALSE),"")</f>
        <v/>
      </c>
      <c r="E958" s="10"/>
      <c r="F958" s="10"/>
      <c r="G958" s="10"/>
      <c r="H958" s="10"/>
      <c r="I958" s="10" t="str">
        <f>IF(pts_traje!$I958&lt;&gt;0,(ROUND(pts_traje!$I958+(pts_traje!$I958*0.02*pts_traje!$H958/1000),0)),"")</f>
        <v/>
      </c>
      <c r="J958" s="10"/>
    </row>
    <row r="959">
      <c r="A959" s="1" t="str">
        <f>IFNA(right(VLOOKUP(pts_traje!$A959,trj!$B$2:$D1000,3,FALSE),4),"")</f>
        <v/>
      </c>
      <c r="B959" s="10"/>
      <c r="C959" s="10"/>
      <c r="D959" s="1" t="str">
        <f>IFNA(VLOOKUP(pts_traje!$D959,FIX!$A$2:$D1000,4,FALSE),"")</f>
        <v/>
      </c>
      <c r="E959" s="10"/>
      <c r="F959" s="10"/>
      <c r="G959" s="10"/>
      <c r="H959" s="10"/>
      <c r="I959" s="10" t="str">
        <f>IF(pts_traje!$I959&lt;&gt;0,(ROUND(pts_traje!$I959+(pts_traje!$I959*0.02*pts_traje!$H959/1000),0)),"")</f>
        <v/>
      </c>
      <c r="J959" s="10"/>
    </row>
    <row r="960">
      <c r="A960" s="1" t="str">
        <f>IFNA(right(VLOOKUP(pts_traje!$A960,trj!$B$2:$D1000,3,FALSE),4),"")</f>
        <v/>
      </c>
      <c r="B960" s="10"/>
      <c r="C960" s="10"/>
      <c r="D960" s="1" t="str">
        <f>IFNA(VLOOKUP(pts_traje!$D960,FIX!$A$2:$D1000,4,FALSE),"")</f>
        <v/>
      </c>
      <c r="E960" s="10"/>
      <c r="F960" s="10"/>
      <c r="G960" s="10"/>
      <c r="H960" s="10"/>
      <c r="I960" s="10" t="str">
        <f>IF(pts_traje!$I960&lt;&gt;0,(ROUND(pts_traje!$I960+(pts_traje!$I960*0.02*pts_traje!$H960/1000),0)),"")</f>
        <v/>
      </c>
      <c r="J960" s="10"/>
    </row>
    <row r="961">
      <c r="A961" s="1" t="str">
        <f>IFNA(right(VLOOKUP(pts_traje!$A961,trj!$B$2:$D1000,3,FALSE),4),"")</f>
        <v/>
      </c>
      <c r="B961" s="10"/>
      <c r="C961" s="10"/>
      <c r="D961" s="1" t="str">
        <f>IFNA(VLOOKUP(pts_traje!$D961,FIX!$A$2:$D1000,4,FALSE),"")</f>
        <v/>
      </c>
      <c r="E961" s="10"/>
      <c r="F961" s="10"/>
      <c r="G961" s="10"/>
      <c r="H961" s="10"/>
      <c r="I961" s="10" t="str">
        <f>IF(pts_traje!$I961&lt;&gt;0,(ROUND(pts_traje!$I961+(pts_traje!$I961*0.02*pts_traje!$H961/1000),0)),"")</f>
        <v/>
      </c>
      <c r="J961" s="10"/>
    </row>
    <row r="962">
      <c r="A962" s="1" t="str">
        <f>IFNA(right(VLOOKUP(pts_traje!$A962,trj!$B$2:$D1000,3,FALSE),4),"")</f>
        <v/>
      </c>
      <c r="B962" s="10"/>
      <c r="C962" s="10"/>
      <c r="D962" s="1" t="str">
        <f>IFNA(VLOOKUP(pts_traje!$D962,FIX!$A$2:$D1000,4,FALSE),"")</f>
        <v/>
      </c>
      <c r="E962" s="10"/>
      <c r="F962" s="10"/>
      <c r="G962" s="10"/>
      <c r="H962" s="10"/>
      <c r="I962" s="10" t="str">
        <f>IF(pts_traje!$I962&lt;&gt;0,(ROUND(pts_traje!$I962+(pts_traje!$I962*0.02*pts_traje!$H962/1000),0)),"")</f>
        <v/>
      </c>
      <c r="J962" s="10"/>
    </row>
    <row r="963">
      <c r="A963" s="1" t="str">
        <f>IFNA(right(VLOOKUP(pts_traje!$A963,trj!$B$2:$D1000,3,FALSE),4),"")</f>
        <v/>
      </c>
      <c r="B963" s="10"/>
      <c r="C963" s="10"/>
      <c r="D963" s="1" t="str">
        <f>IFNA(VLOOKUP(pts_traje!$D963,FIX!$A$2:$D1000,4,FALSE),"")</f>
        <v/>
      </c>
      <c r="E963" s="10"/>
      <c r="F963" s="10"/>
      <c r="G963" s="10"/>
      <c r="H963" s="10"/>
      <c r="I963" s="10" t="str">
        <f>IF(pts_traje!$I963&lt;&gt;0,(ROUND(pts_traje!$I963+(pts_traje!$I963*0.02*pts_traje!$H963/1000),0)),"")</f>
        <v/>
      </c>
      <c r="J963" s="10"/>
    </row>
    <row r="964">
      <c r="A964" s="1" t="str">
        <f>IFNA(right(VLOOKUP(pts_traje!$A964,trj!$B$2:$D1000,3,FALSE),4),"")</f>
        <v/>
      </c>
      <c r="B964" s="10"/>
      <c r="C964" s="10"/>
      <c r="D964" s="1" t="str">
        <f>IFNA(VLOOKUP(pts_traje!$D964,FIX!$A$2:$D1000,4,FALSE),"")</f>
        <v/>
      </c>
      <c r="E964" s="10"/>
      <c r="F964" s="10"/>
      <c r="G964" s="10"/>
      <c r="H964" s="10"/>
      <c r="I964" s="10" t="str">
        <f>IF(pts_traje!$I964&lt;&gt;0,(ROUND(pts_traje!$I964+(pts_traje!$I964*0.02*pts_traje!$H964/1000),0)),"")</f>
        <v/>
      </c>
      <c r="J964" s="10"/>
    </row>
    <row r="965">
      <c r="A965" s="1" t="str">
        <f>IFNA(right(VLOOKUP(pts_traje!$A965,trj!$B$2:$D1000,3,FALSE),4),"")</f>
        <v/>
      </c>
      <c r="B965" s="10"/>
      <c r="C965" s="10"/>
      <c r="D965" s="1" t="str">
        <f>IFNA(VLOOKUP(pts_traje!$D965,FIX!$A$2:$D1000,4,FALSE),"")</f>
        <v/>
      </c>
      <c r="E965" s="10"/>
      <c r="F965" s="10"/>
      <c r="G965" s="10"/>
      <c r="H965" s="10"/>
      <c r="I965" s="10" t="str">
        <f>IF(pts_traje!$I965&lt;&gt;0,(ROUND(pts_traje!$I965+(pts_traje!$I965*0.02*pts_traje!$H965/1000),0)),"")</f>
        <v/>
      </c>
      <c r="J965" s="10"/>
    </row>
    <row r="966">
      <c r="A966" s="1" t="str">
        <f>IFNA(right(VLOOKUP(pts_traje!$A966,trj!$B$2:$D1000,3,FALSE),4),"")</f>
        <v/>
      </c>
      <c r="B966" s="10"/>
      <c r="C966" s="10"/>
      <c r="D966" s="1" t="str">
        <f>IFNA(VLOOKUP(pts_traje!$D966,FIX!$A$2:$D1000,4,FALSE),"")</f>
        <v/>
      </c>
      <c r="E966" s="10"/>
      <c r="F966" s="10"/>
      <c r="G966" s="10"/>
      <c r="H966" s="10"/>
      <c r="I966" s="10" t="str">
        <f>IF(pts_traje!$I966&lt;&gt;0,(ROUND(pts_traje!$I966+(pts_traje!$I966*0.02*pts_traje!$H966/1000),0)),"")</f>
        <v/>
      </c>
      <c r="J966" s="10"/>
    </row>
    <row r="967">
      <c r="A967" s="1" t="str">
        <f>IFNA(right(VLOOKUP(pts_traje!$A967,trj!$B$2:$D1000,3,FALSE),4),"")</f>
        <v/>
      </c>
      <c r="B967" s="10"/>
      <c r="C967" s="10"/>
      <c r="D967" s="1" t="str">
        <f>IFNA(VLOOKUP(pts_traje!$D967,FIX!$A$2:$D1000,4,FALSE),"")</f>
        <v/>
      </c>
      <c r="E967" s="10"/>
      <c r="F967" s="10"/>
      <c r="G967" s="10"/>
      <c r="H967" s="10"/>
      <c r="I967" s="10" t="str">
        <f>IF(pts_traje!$I967&lt;&gt;0,(ROUND(pts_traje!$I967+(pts_traje!$I967*0.02*pts_traje!$H967/1000),0)),"")</f>
        <v/>
      </c>
      <c r="J967" s="10"/>
    </row>
    <row r="968">
      <c r="A968" s="1" t="str">
        <f>IFNA(right(VLOOKUP(pts_traje!$A968,trj!$B$2:$D1000,3,FALSE),4),"")</f>
        <v/>
      </c>
      <c r="B968" s="10"/>
      <c r="C968" s="10"/>
      <c r="D968" s="1" t="str">
        <f>IFNA(VLOOKUP(pts_traje!$D968,FIX!$A$2:$D1000,4,FALSE),"")</f>
        <v/>
      </c>
      <c r="E968" s="10"/>
      <c r="F968" s="10"/>
      <c r="G968" s="10"/>
      <c r="H968" s="10"/>
      <c r="I968" s="10" t="str">
        <f>IF(pts_traje!$I968&lt;&gt;0,(ROUND(pts_traje!$I968+(pts_traje!$I968*0.02*pts_traje!$H968/1000),0)),"")</f>
        <v/>
      </c>
      <c r="J968" s="10"/>
    </row>
    <row r="969">
      <c r="A969" s="1" t="str">
        <f>IFNA(right(VLOOKUP(pts_traje!$A969,trj!$B$2:$D1000,3,FALSE),4),"")</f>
        <v/>
      </c>
      <c r="B969" s="10"/>
      <c r="C969" s="10"/>
      <c r="D969" s="1" t="str">
        <f>IFNA(VLOOKUP(pts_traje!$D969,FIX!$A$2:$D1000,4,FALSE),"")</f>
        <v/>
      </c>
      <c r="E969" s="10"/>
      <c r="F969" s="10"/>
      <c r="G969" s="10"/>
      <c r="H969" s="10"/>
      <c r="I969" s="10" t="str">
        <f>IF(pts_traje!$I969&lt;&gt;0,(ROUND(pts_traje!$I969+(pts_traje!$I969*0.02*pts_traje!$H969/1000),0)),"")</f>
        <v/>
      </c>
      <c r="J969" s="10"/>
    </row>
    <row r="970">
      <c r="A970" s="1" t="str">
        <f>IFNA(right(VLOOKUP(pts_traje!$A970,trj!$B$2:$D1000,3,FALSE),4),"")</f>
        <v/>
      </c>
      <c r="B970" s="10"/>
      <c r="C970" s="10"/>
      <c r="D970" s="1" t="str">
        <f>IFNA(VLOOKUP(pts_traje!$D970,FIX!$A$2:$D1000,4,FALSE),"")</f>
        <v/>
      </c>
      <c r="E970" s="10"/>
      <c r="F970" s="10"/>
      <c r="G970" s="10"/>
      <c r="H970" s="10"/>
      <c r="I970" s="10" t="str">
        <f>IF(pts_traje!$I970&lt;&gt;0,(ROUND(pts_traje!$I970+(pts_traje!$I970*0.02*pts_traje!$H970/1000),0)),"")</f>
        <v/>
      </c>
      <c r="J970" s="10"/>
    </row>
    <row r="971">
      <c r="A971" s="1" t="str">
        <f>IFNA(right(VLOOKUP(pts_traje!$A971,trj!$B$2:$D1000,3,FALSE),4),"")</f>
        <v/>
      </c>
      <c r="B971" s="10"/>
      <c r="C971" s="10"/>
      <c r="D971" s="1" t="str">
        <f>IFNA(VLOOKUP(pts_traje!$D971,FIX!$A$2:$D1000,4,FALSE),"")</f>
        <v/>
      </c>
      <c r="E971" s="10"/>
      <c r="F971" s="10"/>
      <c r="G971" s="10"/>
      <c r="H971" s="10"/>
      <c r="I971" s="10" t="str">
        <f>IF(pts_traje!$I971&lt;&gt;0,(ROUND(pts_traje!$I971+(pts_traje!$I971*0.02*pts_traje!$H971/1000),0)),"")</f>
        <v/>
      </c>
      <c r="J971" s="10"/>
    </row>
    <row r="972">
      <c r="A972" s="1" t="str">
        <f>IFNA(right(VLOOKUP(pts_traje!$A972,trj!$B$2:$D1000,3,FALSE),4),"")</f>
        <v/>
      </c>
      <c r="B972" s="10"/>
      <c r="C972" s="10"/>
      <c r="D972" s="1" t="str">
        <f>IFNA(VLOOKUP(pts_traje!$D972,FIX!$A$2:$D1000,4,FALSE),"")</f>
        <v/>
      </c>
      <c r="E972" s="10"/>
      <c r="F972" s="10"/>
      <c r="G972" s="10"/>
      <c r="H972" s="10"/>
      <c r="I972" s="10" t="str">
        <f>IF(pts_traje!$I972&lt;&gt;0,(ROUND(pts_traje!$I972+(pts_traje!$I972*0.02*pts_traje!$H972/1000),0)),"")</f>
        <v/>
      </c>
      <c r="J972" s="10"/>
    </row>
    <row r="973">
      <c r="A973" s="1" t="str">
        <f>IFNA(right(VLOOKUP(pts_traje!$A973,trj!$B$2:$D1000,3,FALSE),4),"")</f>
        <v/>
      </c>
      <c r="B973" s="10"/>
      <c r="C973" s="10"/>
      <c r="D973" s="1" t="str">
        <f>IFNA(VLOOKUP(pts_traje!$D973,FIX!$A$2:$D1000,4,FALSE),"")</f>
        <v/>
      </c>
      <c r="E973" s="10"/>
      <c r="F973" s="10"/>
      <c r="G973" s="10"/>
      <c r="H973" s="10"/>
      <c r="I973" s="10" t="str">
        <f>IF(pts_traje!$I973&lt;&gt;0,(ROUND(pts_traje!$I973+(pts_traje!$I973*0.02*pts_traje!$H973/1000),0)),"")</f>
        <v/>
      </c>
      <c r="J973" s="10"/>
    </row>
    <row r="974">
      <c r="A974" s="1" t="str">
        <f>IFNA(right(VLOOKUP(pts_traje!$A974,trj!$B$2:$D1000,3,FALSE),4),"")</f>
        <v/>
      </c>
      <c r="B974" s="10"/>
      <c r="C974" s="10"/>
      <c r="D974" s="1" t="str">
        <f>IFNA(VLOOKUP(pts_traje!$D974,FIX!$A$2:$D1000,4,FALSE),"")</f>
        <v/>
      </c>
      <c r="E974" s="10"/>
      <c r="F974" s="10"/>
      <c r="G974" s="10"/>
      <c r="H974" s="10"/>
      <c r="I974" s="10" t="str">
        <f>IF(pts_traje!$I974&lt;&gt;0,(ROUND(pts_traje!$I974+(pts_traje!$I974*0.02*pts_traje!$H974/1000),0)),"")</f>
        <v/>
      </c>
      <c r="J974" s="10"/>
    </row>
    <row r="975">
      <c r="A975" s="1" t="str">
        <f>IFNA(right(VLOOKUP(pts_traje!$A975,trj!$B$2:$D1000,3,FALSE),4),"")</f>
        <v/>
      </c>
      <c r="B975" s="10"/>
      <c r="C975" s="10"/>
      <c r="D975" s="1" t="str">
        <f>IFNA(VLOOKUP(pts_traje!$D975,FIX!$A$2:$D1000,4,FALSE),"")</f>
        <v/>
      </c>
      <c r="E975" s="10"/>
      <c r="F975" s="10"/>
      <c r="G975" s="10"/>
      <c r="H975" s="10"/>
      <c r="I975" s="10" t="str">
        <f>IF(pts_traje!$I975&lt;&gt;0,(ROUND(pts_traje!$I975+(pts_traje!$I975*0.02*pts_traje!$H975/1000),0)),"")</f>
        <v/>
      </c>
      <c r="J975" s="10"/>
    </row>
    <row r="976">
      <c r="A976" s="1" t="str">
        <f>IFNA(right(VLOOKUP(pts_traje!$A976,trj!$B$2:$D1000,3,FALSE),4),"")</f>
        <v/>
      </c>
      <c r="B976" s="10"/>
      <c r="C976" s="10"/>
      <c r="D976" s="1" t="str">
        <f>IFNA(VLOOKUP(pts_traje!$D976,FIX!$A$2:$D1000,4,FALSE),"")</f>
        <v/>
      </c>
      <c r="E976" s="10"/>
      <c r="F976" s="10"/>
      <c r="G976" s="10"/>
      <c r="H976" s="10"/>
      <c r="I976" s="10" t="str">
        <f>IF(pts_traje!$I976&lt;&gt;0,(ROUND(pts_traje!$I976+(pts_traje!$I976*0.02*pts_traje!$H976/1000),0)),"")</f>
        <v/>
      </c>
      <c r="J976" s="10"/>
    </row>
    <row r="977">
      <c r="A977" s="1" t="str">
        <f>IFNA(right(VLOOKUP(pts_traje!$A977,trj!$B$2:$D1000,3,FALSE),4),"")</f>
        <v/>
      </c>
      <c r="B977" s="10"/>
      <c r="C977" s="10"/>
      <c r="D977" s="1" t="str">
        <f>IFNA(VLOOKUP(pts_traje!$D977,FIX!$A$2:$D1000,4,FALSE),"")</f>
        <v/>
      </c>
      <c r="E977" s="10"/>
      <c r="F977" s="10"/>
      <c r="G977" s="10"/>
      <c r="H977" s="10"/>
      <c r="I977" s="10" t="str">
        <f>IF(pts_traje!$I977&lt;&gt;0,(ROUND(pts_traje!$I977+(pts_traje!$I977*0.02*pts_traje!$H977/1000),0)),"")</f>
        <v/>
      </c>
      <c r="J977" s="10"/>
    </row>
    <row r="978">
      <c r="A978" s="1" t="str">
        <f>IFNA(right(VLOOKUP(pts_traje!$A978,trj!$B$2:$D1000,3,FALSE),4),"")</f>
        <v/>
      </c>
      <c r="B978" s="10"/>
      <c r="C978" s="10"/>
      <c r="D978" s="1" t="str">
        <f>IFNA(VLOOKUP(pts_traje!$D978,FIX!$A$2:$D1000,4,FALSE),"")</f>
        <v/>
      </c>
      <c r="E978" s="10"/>
      <c r="F978" s="10"/>
      <c r="G978" s="10"/>
      <c r="H978" s="10"/>
      <c r="I978" s="10" t="str">
        <f>IF(pts_traje!$I978&lt;&gt;0,(ROUND(pts_traje!$I978+(pts_traje!$I978*0.02*pts_traje!$H978/1000),0)),"")</f>
        <v/>
      </c>
      <c r="J978" s="10"/>
    </row>
    <row r="979">
      <c r="A979" s="1" t="str">
        <f>IFNA(right(VLOOKUP(pts_traje!$A979,trj!$B$2:$D1000,3,FALSE),4),"")</f>
        <v/>
      </c>
      <c r="B979" s="10"/>
      <c r="C979" s="10"/>
      <c r="D979" s="1" t="str">
        <f>IFNA(VLOOKUP(pts_traje!$D979,FIX!$A$2:$D1000,4,FALSE),"")</f>
        <v/>
      </c>
      <c r="E979" s="10"/>
      <c r="F979" s="10"/>
      <c r="G979" s="10"/>
      <c r="H979" s="10"/>
      <c r="I979" s="10" t="str">
        <f>IF(pts_traje!$I979&lt;&gt;0,(ROUND(pts_traje!$I979+(pts_traje!$I979*0.02*pts_traje!$H979/1000),0)),"")</f>
        <v/>
      </c>
      <c r="J979" s="10"/>
    </row>
    <row r="980">
      <c r="A980" s="1" t="str">
        <f>IFNA(right(VLOOKUP(pts_traje!$A980,trj!$B$2:$D1000,3,FALSE),4),"")</f>
        <v/>
      </c>
      <c r="B980" s="10"/>
      <c r="C980" s="10"/>
      <c r="D980" s="1" t="str">
        <f>IFNA(VLOOKUP(pts_traje!$D980,FIX!$A$2:$D1000,4,FALSE),"")</f>
        <v/>
      </c>
      <c r="E980" s="10"/>
      <c r="F980" s="10"/>
      <c r="G980" s="10"/>
      <c r="H980" s="10"/>
      <c r="I980" s="10" t="str">
        <f>IF(pts_traje!$I980&lt;&gt;0,(ROUND(pts_traje!$I980+(pts_traje!$I980*0.02*pts_traje!$H980/1000),0)),"")</f>
        <v/>
      </c>
      <c r="J980" s="10"/>
    </row>
    <row r="981">
      <c r="A981" s="1" t="str">
        <f>IFNA(right(VLOOKUP(pts_traje!$A981,trj!$B$2:$D1000,3,FALSE),4),"")</f>
        <v/>
      </c>
      <c r="B981" s="10"/>
      <c r="C981" s="10"/>
      <c r="D981" s="1" t="str">
        <f>IFNA(VLOOKUP(pts_traje!$D981,FIX!$A$2:$D1000,4,FALSE),"")</f>
        <v/>
      </c>
      <c r="E981" s="10"/>
      <c r="F981" s="10"/>
      <c r="G981" s="10"/>
      <c r="H981" s="10"/>
      <c r="I981" s="10" t="str">
        <f>IF(pts_traje!$I981&lt;&gt;0,(ROUND(pts_traje!$I981+(pts_traje!$I981*0.02*pts_traje!$H981/1000),0)),"")</f>
        <v/>
      </c>
      <c r="J981" s="10"/>
    </row>
    <row r="982">
      <c r="A982" s="1" t="str">
        <f>IFNA(right(VLOOKUP(pts_traje!$A982,trj!$B$2:$D1000,3,FALSE),4),"")</f>
        <v/>
      </c>
      <c r="B982" s="10"/>
      <c r="C982" s="10"/>
      <c r="D982" s="1" t="str">
        <f>IFNA(VLOOKUP(pts_traje!$D982,FIX!$A$2:$D1000,4,FALSE),"")</f>
        <v/>
      </c>
      <c r="E982" s="10"/>
      <c r="F982" s="10"/>
      <c r="G982" s="10"/>
      <c r="H982" s="10"/>
      <c r="I982" s="10" t="str">
        <f>IF(pts_traje!$I982&lt;&gt;0,(ROUND(pts_traje!$I982+(pts_traje!$I982*0.02*pts_traje!$H982/1000),0)),"")</f>
        <v/>
      </c>
      <c r="J982" s="10"/>
    </row>
    <row r="983">
      <c r="A983" s="1" t="str">
        <f>IFNA(right(VLOOKUP(pts_traje!$A983,trj!$B$2:$D1000,3,FALSE),4),"")</f>
        <v/>
      </c>
      <c r="B983" s="10"/>
      <c r="C983" s="10"/>
      <c r="D983" s="1" t="str">
        <f>IFNA(VLOOKUP(pts_traje!$D983,FIX!$A$2:$D1000,4,FALSE),"")</f>
        <v/>
      </c>
      <c r="E983" s="10"/>
      <c r="F983" s="10"/>
      <c r="G983" s="10"/>
      <c r="H983" s="10"/>
      <c r="I983" s="10" t="str">
        <f>IF(pts_traje!$I983&lt;&gt;0,(ROUND(pts_traje!$I983+(pts_traje!$I983*0.02*pts_traje!$H983/1000),0)),"")</f>
        <v/>
      </c>
      <c r="J983" s="10"/>
    </row>
    <row r="984">
      <c r="A984" s="1" t="str">
        <f>IFNA(right(VLOOKUP(pts_traje!$A984,trj!$B$2:$D1000,3,FALSE),4),"")</f>
        <v/>
      </c>
      <c r="B984" s="10"/>
      <c r="C984" s="10"/>
      <c r="D984" s="1" t="str">
        <f>IFNA(VLOOKUP(pts_traje!$D984,FIX!$A$2:$D1000,4,FALSE),"")</f>
        <v/>
      </c>
      <c r="E984" s="10"/>
      <c r="F984" s="10"/>
      <c r="G984" s="10"/>
      <c r="H984" s="10"/>
      <c r="I984" s="10" t="str">
        <f>IF(pts_traje!$I984&lt;&gt;0,(ROUND(pts_traje!$I984+(pts_traje!$I984*0.02*pts_traje!$H984/1000),0)),"")</f>
        <v/>
      </c>
      <c r="J984" s="10"/>
    </row>
    <row r="985">
      <c r="A985" s="1" t="str">
        <f>IFNA(right(VLOOKUP(pts_traje!$A985,trj!$B$2:$D1000,3,FALSE),4),"")</f>
        <v/>
      </c>
      <c r="B985" s="10"/>
      <c r="C985" s="10"/>
      <c r="D985" s="1" t="str">
        <f>IFNA(VLOOKUP(pts_traje!$D985,FIX!$A$2:$D1000,4,FALSE),"")</f>
        <v/>
      </c>
      <c r="E985" s="10"/>
      <c r="F985" s="10"/>
      <c r="G985" s="10"/>
      <c r="H985" s="10"/>
      <c r="I985" s="10" t="str">
        <f>IF(pts_traje!$I985&lt;&gt;0,(ROUND(pts_traje!$I985+(pts_traje!$I985*0.02*pts_traje!$H985/1000),0)),"")</f>
        <v/>
      </c>
      <c r="J985" s="10"/>
    </row>
    <row r="986">
      <c r="A986" s="1" t="str">
        <f>IFNA(right(VLOOKUP(pts_traje!$A986,trj!$B$2:$D1000,3,FALSE),4),"")</f>
        <v/>
      </c>
      <c r="B986" s="10"/>
      <c r="C986" s="10"/>
      <c r="D986" s="1" t="str">
        <f>IFNA(VLOOKUP(pts_traje!$D986,FIX!$A$2:$D1000,4,FALSE),"")</f>
        <v/>
      </c>
      <c r="E986" s="10"/>
      <c r="F986" s="10"/>
      <c r="G986" s="10"/>
      <c r="H986" s="10"/>
      <c r="I986" s="10" t="str">
        <f>IF(pts_traje!$I986&lt;&gt;0,(ROUND(pts_traje!$I986+(pts_traje!$I986*0.02*pts_traje!$H986/1000),0)),"")</f>
        <v/>
      </c>
      <c r="J986" s="10"/>
    </row>
    <row r="987">
      <c r="A987" s="1" t="str">
        <f>IFNA(right(VLOOKUP(pts_traje!$A987,trj!$B$2:$D1000,3,FALSE),4),"")</f>
        <v/>
      </c>
      <c r="B987" s="10"/>
      <c r="C987" s="10"/>
      <c r="D987" s="1" t="str">
        <f>IFNA(VLOOKUP(pts_traje!$D987,FIX!$A$2:$D1000,4,FALSE),"")</f>
        <v/>
      </c>
      <c r="E987" s="10"/>
      <c r="F987" s="10"/>
      <c r="G987" s="10"/>
      <c r="H987" s="10"/>
      <c r="I987" s="10" t="str">
        <f>IF(pts_traje!$I987&lt;&gt;0,(ROUND(pts_traje!$I987+(pts_traje!$I987*0.02*pts_traje!$H987/1000),0)),"")</f>
        <v/>
      </c>
      <c r="J987" s="10"/>
    </row>
    <row r="988">
      <c r="A988" s="1" t="str">
        <f>IFNA(right(VLOOKUP(pts_traje!$A988,trj!$B$2:$D1000,3,FALSE),4),"")</f>
        <v/>
      </c>
      <c r="B988" s="10"/>
      <c r="C988" s="10"/>
      <c r="D988" s="1" t="str">
        <f>IFNA(VLOOKUP(pts_traje!$D988,FIX!$A$2:$D1000,4,FALSE),"")</f>
        <v/>
      </c>
      <c r="E988" s="10"/>
      <c r="F988" s="10"/>
      <c r="G988" s="10"/>
      <c r="H988" s="10"/>
      <c r="I988" s="10" t="str">
        <f>IF(pts_traje!$I988&lt;&gt;0,(ROUND(pts_traje!$I988+(pts_traje!$I988*0.02*pts_traje!$H988/1000),0)),"")</f>
        <v/>
      </c>
      <c r="J988" s="10"/>
    </row>
    <row r="989">
      <c r="A989" s="1" t="str">
        <f>IFNA(right(VLOOKUP(pts_traje!$A989,trj!$B$2:$D1000,3,FALSE),4),"")</f>
        <v/>
      </c>
      <c r="B989" s="10"/>
      <c r="C989" s="10"/>
      <c r="D989" s="1" t="str">
        <f>IFNA(VLOOKUP(pts_traje!$D989,FIX!$A$2:$D1000,4,FALSE),"")</f>
        <v/>
      </c>
      <c r="E989" s="10"/>
      <c r="F989" s="10"/>
      <c r="G989" s="10"/>
      <c r="H989" s="10"/>
      <c r="I989" s="10" t="str">
        <f>IF(pts_traje!$I989&lt;&gt;0,(ROUND(pts_traje!$I989+(pts_traje!$I989*0.02*pts_traje!$H989/1000),0)),"")</f>
        <v/>
      </c>
      <c r="J989" s="10"/>
    </row>
    <row r="990">
      <c r="A990" s="1" t="str">
        <f>IFNA(right(VLOOKUP(pts_traje!$A990,trj!$B$2:$D1000,3,FALSE),4),"")</f>
        <v/>
      </c>
      <c r="B990" s="10"/>
      <c r="C990" s="10"/>
      <c r="D990" s="1" t="str">
        <f>IFNA(VLOOKUP(pts_traje!$D990,FIX!$A$2:$D1000,4,FALSE),"")</f>
        <v/>
      </c>
      <c r="E990" s="10"/>
      <c r="F990" s="10"/>
      <c r="G990" s="10"/>
      <c r="H990" s="10"/>
      <c r="I990" s="10" t="str">
        <f>IF(pts_traje!$I990&lt;&gt;0,(ROUND(pts_traje!$I990+(pts_traje!$I990*0.02*pts_traje!$H990/1000),0)),"")</f>
        <v/>
      </c>
      <c r="J990" s="10"/>
    </row>
    <row r="991">
      <c r="A991" s="1" t="str">
        <f>IFNA(right(VLOOKUP(pts_traje!$A991,trj!$B$2:$D1000,3,FALSE),4),"")</f>
        <v/>
      </c>
      <c r="B991" s="10"/>
      <c r="C991" s="10"/>
      <c r="D991" s="1" t="str">
        <f>IFNA(VLOOKUP(pts_traje!$D991,FIX!$A$2:$D1000,4,FALSE),"")</f>
        <v/>
      </c>
      <c r="E991" s="10"/>
      <c r="F991" s="10"/>
      <c r="G991" s="10"/>
      <c r="H991" s="10"/>
      <c r="I991" s="10" t="str">
        <f>IF(pts_traje!$I991&lt;&gt;0,(ROUND(pts_traje!$I991+(pts_traje!$I991*0.02*pts_traje!$H991/1000),0)),"")</f>
        <v/>
      </c>
      <c r="J991" s="10"/>
    </row>
    <row r="992">
      <c r="A992" s="1" t="str">
        <f>IFNA(right(VLOOKUP(pts_traje!$A992,trj!$B$2:$D1000,3,FALSE),4),"")</f>
        <v/>
      </c>
      <c r="B992" s="10"/>
      <c r="C992" s="10"/>
      <c r="D992" s="1" t="str">
        <f>IFNA(VLOOKUP(pts_traje!$D992,FIX!$A$2:$D1000,4,FALSE),"")</f>
        <v/>
      </c>
      <c r="E992" s="10"/>
      <c r="F992" s="10"/>
      <c r="G992" s="10"/>
      <c r="H992" s="10"/>
      <c r="I992" s="10" t="str">
        <f>IF(pts_traje!$I992&lt;&gt;0,(ROUND(pts_traje!$I992+(pts_traje!$I992*0.02*pts_traje!$H992/1000),0)),"")</f>
        <v/>
      </c>
      <c r="J992" s="10"/>
    </row>
    <row r="993">
      <c r="A993" s="1" t="str">
        <f>IFNA(right(VLOOKUP(pts_traje!$A993,trj!$B$2:$D1000,3,FALSE),4),"")</f>
        <v/>
      </c>
      <c r="B993" s="10"/>
      <c r="C993" s="10"/>
      <c r="D993" s="1" t="str">
        <f>IFNA(VLOOKUP(pts_traje!$D993,FIX!$A$2:$D1000,4,FALSE),"")</f>
        <v/>
      </c>
      <c r="E993" s="10"/>
      <c r="F993" s="10"/>
      <c r="G993" s="10"/>
      <c r="H993" s="10"/>
      <c r="I993" s="10" t="str">
        <f>IF(pts_traje!$I993&lt;&gt;0,(ROUND(pts_traje!$I993+(pts_traje!$I993*0.02*pts_traje!$H993/1000),0)),"")</f>
        <v/>
      </c>
      <c r="J993" s="10"/>
    </row>
    <row r="994">
      <c r="A994" s="1" t="str">
        <f>IFNA(right(VLOOKUP(pts_traje!$A994,trj!$B$2:$D1000,3,FALSE),4),"")</f>
        <v/>
      </c>
      <c r="B994" s="10"/>
      <c r="C994" s="10"/>
      <c r="D994" s="1" t="str">
        <f>IFNA(VLOOKUP(pts_traje!$D994,FIX!$A$2:$D1000,4,FALSE),"")</f>
        <v/>
      </c>
      <c r="E994" s="10"/>
      <c r="F994" s="10"/>
      <c r="G994" s="10"/>
      <c r="H994" s="10"/>
      <c r="I994" s="10" t="str">
        <f>IF(pts_traje!$I994&lt;&gt;0,(ROUND(pts_traje!$I994+(pts_traje!$I994*0.02*pts_traje!$H994/1000),0)),"")</f>
        <v/>
      </c>
      <c r="J994" s="10"/>
    </row>
    <row r="995">
      <c r="A995" s="1" t="str">
        <f>IFNA(right(VLOOKUP(pts_traje!$A995,trj!$B$2:$D1000,3,FALSE),4),"")</f>
        <v/>
      </c>
      <c r="B995" s="10"/>
      <c r="C995" s="10"/>
      <c r="D995" s="1" t="str">
        <f>IFNA(VLOOKUP(pts_traje!$D995,FIX!$A$2:$D1000,4,FALSE),"")</f>
        <v/>
      </c>
      <c r="E995" s="10"/>
      <c r="F995" s="10"/>
      <c r="G995" s="10"/>
      <c r="H995" s="10"/>
      <c r="I995" s="10" t="str">
        <f>IF(pts_traje!$I995&lt;&gt;0,(ROUND(pts_traje!$I995+(pts_traje!$I995*0.02*pts_traje!$H995/1000),0)),"")</f>
        <v/>
      </c>
      <c r="J995" s="10"/>
    </row>
    <row r="996">
      <c r="A996" s="1" t="str">
        <f>IFNA(right(VLOOKUP(pts_traje!$A996,trj!$B$2:$D1000,3,FALSE),4),"")</f>
        <v/>
      </c>
      <c r="B996" s="10"/>
      <c r="C996" s="10"/>
      <c r="D996" s="1" t="str">
        <f>IFNA(VLOOKUP(pts_traje!$D996,FIX!$A$2:$D1000,4,FALSE),"")</f>
        <v/>
      </c>
      <c r="E996" s="10"/>
      <c r="F996" s="10"/>
      <c r="G996" s="10"/>
      <c r="H996" s="10"/>
      <c r="I996" s="10" t="str">
        <f>IF(pts_traje!$I996&lt;&gt;0,(ROUND(pts_traje!$I996+(pts_traje!$I996*0.02*pts_traje!$H996/1000),0)),"")</f>
        <v/>
      </c>
      <c r="J996" s="10"/>
    </row>
    <row r="997">
      <c r="A997" s="1" t="str">
        <f>IFNA(right(VLOOKUP(pts_traje!$A997,trj!$B$2:$D1000,3,FALSE),4),"")</f>
        <v/>
      </c>
      <c r="B997" s="10"/>
      <c r="C997" s="10"/>
      <c r="D997" s="1" t="str">
        <f>IFNA(VLOOKUP(pts_traje!$D997,FIX!$A$2:$D1000,4,FALSE),"")</f>
        <v/>
      </c>
      <c r="E997" s="10"/>
      <c r="F997" s="10"/>
      <c r="G997" s="10"/>
      <c r="H997" s="10"/>
      <c r="I997" s="10" t="str">
        <f>IF(pts_traje!$I997&lt;&gt;0,(ROUND(pts_traje!$I997+(pts_traje!$I997*0.02*pts_traje!$H997/1000),0)),"")</f>
        <v/>
      </c>
      <c r="J997" s="10"/>
    </row>
    <row r="998">
      <c r="A998" s="1" t="str">
        <f>IFNA(right(VLOOKUP(pts_traje!$A998,trj!$B$2:$D1000,3,FALSE),4),"")</f>
        <v/>
      </c>
      <c r="B998" s="10"/>
      <c r="C998" s="10"/>
      <c r="D998" s="1" t="str">
        <f>IFNA(VLOOKUP(pts_traje!$D998,FIX!$A$2:$D1000,4,FALSE),"")</f>
        <v/>
      </c>
      <c r="E998" s="10"/>
      <c r="F998" s="10"/>
      <c r="G998" s="10"/>
      <c r="H998" s="10"/>
      <c r="I998" s="10" t="str">
        <f>IF(pts_traje!$I998&lt;&gt;0,(ROUND(pts_traje!$I998+(pts_traje!$I998*0.02*pts_traje!$H998/1000),0)),"")</f>
        <v/>
      </c>
      <c r="J998" s="10"/>
    </row>
    <row r="999">
      <c r="A999" s="1" t="str">
        <f>IFNA(right(VLOOKUP(pts_traje!$A999,trj!$B$2:$D1000,3,FALSE),4),"")</f>
        <v/>
      </c>
      <c r="B999" s="10"/>
      <c r="C999" s="10"/>
      <c r="D999" s="1" t="str">
        <f>IFNA(VLOOKUP(pts_traje!$D999,FIX!$A$2:$D1000,4,FALSE),"")</f>
        <v/>
      </c>
      <c r="E999" s="10"/>
      <c r="F999" s="10"/>
      <c r="G999" s="10"/>
      <c r="H999" s="10"/>
      <c r="I999" s="10" t="str">
        <f>IF(pts_traje!$I999&lt;&gt;0,(ROUND(pts_traje!$I999+(pts_traje!$I999*0.02*pts_traje!$H999/1000),0)),"")</f>
        <v/>
      </c>
      <c r="J999" s="10"/>
    </row>
    <row r="1000">
      <c r="A1000" s="1" t="str">
        <f>IFNA(right(VLOOKUP(pts_traje!$A1000,trj!$B$2:$D1000,3,FALSE),4),"")</f>
        <v/>
      </c>
      <c r="B1000" s="10"/>
      <c r="C1000" s="10"/>
      <c r="D1000" s="1" t="str">
        <f>IFNA(VLOOKUP(pts_traje!$D1000,FIX!$A$2:$D1000,4,FALSE),"")</f>
        <v/>
      </c>
      <c r="E1000" s="10"/>
      <c r="F1000" s="10"/>
      <c r="G1000" s="10"/>
      <c r="H1000" s="10"/>
      <c r="I1000" s="10" t="str">
        <f>IF(pts_traje!$I1000&lt;&gt;0,(ROUND(pts_traje!$I1000+(pts_traje!$I1000*0.02*pts_traje!$H1000/1000),0)),"")</f>
        <v/>
      </c>
      <c r="J1000" s="10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45</v>
      </c>
      <c r="B1" s="1" t="s">
        <v>46</v>
      </c>
      <c r="C1" s="1" t="s">
        <v>64</v>
      </c>
      <c r="D1" s="1" t="s">
        <v>65</v>
      </c>
      <c r="E1" s="1" t="s">
        <v>48</v>
      </c>
    </row>
    <row r="2">
      <c r="A2" s="1">
        <v>1.0</v>
      </c>
      <c r="B2" s="1" t="s">
        <v>66</v>
      </c>
      <c r="C2" s="1" t="s">
        <v>41</v>
      </c>
      <c r="D2" s="1">
        <v>16.0</v>
      </c>
      <c r="E2" s="10" t="str">
        <f>IF($A2&lt;&gt;"",CONCATENATE("SUB",TEXT($A2,"000"),""))</f>
        <v>SUB001</v>
      </c>
    </row>
    <row r="3">
      <c r="E3" s="10" t="str">
        <f t="shared" ref="E3:E1000" si="1">IFNA($A3,"")</f>
        <v/>
      </c>
    </row>
    <row r="4">
      <c r="E4" s="10" t="str">
        <f t="shared" si="1"/>
        <v/>
      </c>
    </row>
    <row r="5">
      <c r="E5" s="10" t="str">
        <f t="shared" si="1"/>
        <v/>
      </c>
    </row>
    <row r="6">
      <c r="E6" s="10" t="str">
        <f t="shared" si="1"/>
        <v/>
      </c>
    </row>
    <row r="7">
      <c r="E7" s="10" t="str">
        <f t="shared" si="1"/>
        <v/>
      </c>
    </row>
    <row r="8">
      <c r="E8" s="10" t="str">
        <f t="shared" si="1"/>
        <v/>
      </c>
    </row>
    <row r="9">
      <c r="E9" s="10" t="str">
        <f t="shared" si="1"/>
        <v/>
      </c>
    </row>
    <row r="10">
      <c r="E10" s="10" t="str">
        <f t="shared" si="1"/>
        <v/>
      </c>
    </row>
    <row r="11">
      <c r="E11" s="10" t="str">
        <f t="shared" si="1"/>
        <v/>
      </c>
    </row>
    <row r="12">
      <c r="E12" s="10" t="str">
        <f t="shared" si="1"/>
        <v/>
      </c>
    </row>
    <row r="13">
      <c r="E13" s="10" t="str">
        <f t="shared" si="1"/>
        <v/>
      </c>
    </row>
    <row r="14">
      <c r="E14" s="10" t="str">
        <f t="shared" si="1"/>
        <v/>
      </c>
    </row>
    <row r="15">
      <c r="E15" s="10" t="str">
        <f t="shared" si="1"/>
        <v/>
      </c>
    </row>
    <row r="16">
      <c r="E16" s="10" t="str">
        <f t="shared" si="1"/>
        <v/>
      </c>
    </row>
    <row r="17">
      <c r="E17" s="10" t="str">
        <f t="shared" si="1"/>
        <v/>
      </c>
    </row>
    <row r="18">
      <c r="E18" s="10" t="str">
        <f t="shared" si="1"/>
        <v/>
      </c>
    </row>
    <row r="19">
      <c r="E19" s="10" t="str">
        <f t="shared" si="1"/>
        <v/>
      </c>
    </row>
    <row r="20">
      <c r="E20" s="10" t="str">
        <f t="shared" si="1"/>
        <v/>
      </c>
    </row>
    <row r="21">
      <c r="E21" s="10" t="str">
        <f t="shared" si="1"/>
        <v/>
      </c>
    </row>
    <row r="22">
      <c r="E22" s="10" t="str">
        <f t="shared" si="1"/>
        <v/>
      </c>
    </row>
    <row r="23">
      <c r="E23" s="10" t="str">
        <f t="shared" si="1"/>
        <v/>
      </c>
    </row>
    <row r="24">
      <c r="E24" s="10" t="str">
        <f t="shared" si="1"/>
        <v/>
      </c>
    </row>
    <row r="25">
      <c r="E25" s="10" t="str">
        <f t="shared" si="1"/>
        <v/>
      </c>
    </row>
    <row r="26">
      <c r="E26" s="10" t="str">
        <f t="shared" si="1"/>
        <v/>
      </c>
    </row>
    <row r="27">
      <c r="E27" s="10" t="str">
        <f t="shared" si="1"/>
        <v/>
      </c>
    </row>
    <row r="28">
      <c r="E28" s="10" t="str">
        <f t="shared" si="1"/>
        <v/>
      </c>
    </row>
    <row r="29">
      <c r="E29" s="10" t="str">
        <f t="shared" si="1"/>
        <v/>
      </c>
    </row>
    <row r="30">
      <c r="E30" s="10" t="str">
        <f t="shared" si="1"/>
        <v/>
      </c>
    </row>
    <row r="31">
      <c r="E31" s="10" t="str">
        <f t="shared" si="1"/>
        <v/>
      </c>
    </row>
    <row r="32">
      <c r="E32" s="10" t="str">
        <f t="shared" si="1"/>
        <v/>
      </c>
    </row>
    <row r="33">
      <c r="E33" s="10" t="str">
        <f t="shared" si="1"/>
        <v/>
      </c>
    </row>
    <row r="34">
      <c r="E34" s="10" t="str">
        <f t="shared" si="1"/>
        <v/>
      </c>
    </row>
    <row r="35">
      <c r="E35" s="10" t="str">
        <f t="shared" si="1"/>
        <v/>
      </c>
    </row>
    <row r="36">
      <c r="E36" s="10" t="str">
        <f t="shared" si="1"/>
        <v/>
      </c>
    </row>
    <row r="37">
      <c r="E37" s="10" t="str">
        <f t="shared" si="1"/>
        <v/>
      </c>
    </row>
    <row r="38">
      <c r="E38" s="10" t="str">
        <f t="shared" si="1"/>
        <v/>
      </c>
    </row>
    <row r="39">
      <c r="E39" s="10" t="str">
        <f t="shared" si="1"/>
        <v/>
      </c>
    </row>
    <row r="40">
      <c r="E40" s="10" t="str">
        <f t="shared" si="1"/>
        <v/>
      </c>
    </row>
    <row r="41">
      <c r="E41" s="10" t="str">
        <f t="shared" si="1"/>
        <v/>
      </c>
    </row>
    <row r="42">
      <c r="E42" s="10" t="str">
        <f t="shared" si="1"/>
        <v/>
      </c>
    </row>
    <row r="43">
      <c r="E43" s="10" t="str">
        <f t="shared" si="1"/>
        <v/>
      </c>
    </row>
    <row r="44">
      <c r="E44" s="10" t="str">
        <f t="shared" si="1"/>
        <v/>
      </c>
    </row>
    <row r="45">
      <c r="E45" s="10" t="str">
        <f t="shared" si="1"/>
        <v/>
      </c>
    </row>
    <row r="46">
      <c r="E46" s="10" t="str">
        <f t="shared" si="1"/>
        <v/>
      </c>
    </row>
    <row r="47">
      <c r="E47" s="10" t="str">
        <f t="shared" si="1"/>
        <v/>
      </c>
    </row>
    <row r="48">
      <c r="E48" s="10" t="str">
        <f t="shared" si="1"/>
        <v/>
      </c>
    </row>
    <row r="49">
      <c r="E49" s="10" t="str">
        <f t="shared" si="1"/>
        <v/>
      </c>
    </row>
    <row r="50">
      <c r="E50" s="10" t="str">
        <f t="shared" si="1"/>
        <v/>
      </c>
    </row>
    <row r="51">
      <c r="E51" s="10" t="str">
        <f t="shared" si="1"/>
        <v/>
      </c>
    </row>
    <row r="52">
      <c r="E52" s="10" t="str">
        <f t="shared" si="1"/>
        <v/>
      </c>
    </row>
    <row r="53">
      <c r="E53" s="10" t="str">
        <f t="shared" si="1"/>
        <v/>
      </c>
    </row>
    <row r="54">
      <c r="E54" s="10" t="str">
        <f t="shared" si="1"/>
        <v/>
      </c>
    </row>
    <row r="55">
      <c r="E55" s="10" t="str">
        <f t="shared" si="1"/>
        <v/>
      </c>
    </row>
    <row r="56">
      <c r="E56" s="10" t="str">
        <f t="shared" si="1"/>
        <v/>
      </c>
    </row>
    <row r="57">
      <c r="E57" s="10" t="str">
        <f t="shared" si="1"/>
        <v/>
      </c>
    </row>
    <row r="58">
      <c r="E58" s="10" t="str">
        <f t="shared" si="1"/>
        <v/>
      </c>
    </row>
    <row r="59">
      <c r="E59" s="10" t="str">
        <f t="shared" si="1"/>
        <v/>
      </c>
    </row>
    <row r="60">
      <c r="E60" s="10" t="str">
        <f t="shared" si="1"/>
        <v/>
      </c>
    </row>
    <row r="61">
      <c r="E61" s="10" t="str">
        <f t="shared" si="1"/>
        <v/>
      </c>
    </row>
    <row r="62">
      <c r="E62" s="10" t="str">
        <f t="shared" si="1"/>
        <v/>
      </c>
    </row>
    <row r="63">
      <c r="E63" s="10" t="str">
        <f t="shared" si="1"/>
        <v/>
      </c>
    </row>
    <row r="64">
      <c r="E64" s="10" t="str">
        <f t="shared" si="1"/>
        <v/>
      </c>
    </row>
    <row r="65">
      <c r="E65" s="10" t="str">
        <f t="shared" si="1"/>
        <v/>
      </c>
    </row>
    <row r="66">
      <c r="E66" s="10" t="str">
        <f t="shared" si="1"/>
        <v/>
      </c>
    </row>
    <row r="67">
      <c r="E67" s="10" t="str">
        <f t="shared" si="1"/>
        <v/>
      </c>
    </row>
    <row r="68">
      <c r="E68" s="10" t="str">
        <f t="shared" si="1"/>
        <v/>
      </c>
    </row>
    <row r="69">
      <c r="E69" s="10" t="str">
        <f t="shared" si="1"/>
        <v/>
      </c>
    </row>
    <row r="70">
      <c r="E70" s="10" t="str">
        <f t="shared" si="1"/>
        <v/>
      </c>
    </row>
    <row r="71">
      <c r="E71" s="10" t="str">
        <f t="shared" si="1"/>
        <v/>
      </c>
    </row>
    <row r="72">
      <c r="E72" s="10" t="str">
        <f t="shared" si="1"/>
        <v/>
      </c>
    </row>
    <row r="73">
      <c r="E73" s="10" t="str">
        <f t="shared" si="1"/>
        <v/>
      </c>
    </row>
    <row r="74">
      <c r="E74" s="10" t="str">
        <f t="shared" si="1"/>
        <v/>
      </c>
    </row>
    <row r="75">
      <c r="E75" s="10" t="str">
        <f t="shared" si="1"/>
        <v/>
      </c>
    </row>
    <row r="76">
      <c r="E76" s="10" t="str">
        <f t="shared" si="1"/>
        <v/>
      </c>
    </row>
    <row r="77">
      <c r="E77" s="10" t="str">
        <f t="shared" si="1"/>
        <v/>
      </c>
    </row>
    <row r="78">
      <c r="E78" s="10" t="str">
        <f t="shared" si="1"/>
        <v/>
      </c>
    </row>
    <row r="79">
      <c r="E79" s="10" t="str">
        <f t="shared" si="1"/>
        <v/>
      </c>
    </row>
    <row r="80">
      <c r="E80" s="10" t="str">
        <f t="shared" si="1"/>
        <v/>
      </c>
    </row>
    <row r="81">
      <c r="E81" s="10" t="str">
        <f t="shared" si="1"/>
        <v/>
      </c>
    </row>
    <row r="82">
      <c r="E82" s="10" t="str">
        <f t="shared" si="1"/>
        <v/>
      </c>
    </row>
    <row r="83">
      <c r="E83" s="10" t="str">
        <f t="shared" si="1"/>
        <v/>
      </c>
    </row>
    <row r="84">
      <c r="E84" s="10" t="str">
        <f t="shared" si="1"/>
        <v/>
      </c>
    </row>
    <row r="85">
      <c r="E85" s="10" t="str">
        <f t="shared" si="1"/>
        <v/>
      </c>
    </row>
    <row r="86">
      <c r="E86" s="10" t="str">
        <f t="shared" si="1"/>
        <v/>
      </c>
    </row>
    <row r="87">
      <c r="E87" s="10" t="str">
        <f t="shared" si="1"/>
        <v/>
      </c>
    </row>
    <row r="88">
      <c r="E88" s="10" t="str">
        <f t="shared" si="1"/>
        <v/>
      </c>
    </row>
    <row r="89">
      <c r="E89" s="10" t="str">
        <f t="shared" si="1"/>
        <v/>
      </c>
    </row>
    <row r="90">
      <c r="E90" s="10" t="str">
        <f t="shared" si="1"/>
        <v/>
      </c>
    </row>
    <row r="91">
      <c r="E91" s="10" t="str">
        <f t="shared" si="1"/>
        <v/>
      </c>
    </row>
    <row r="92">
      <c r="E92" s="10" t="str">
        <f t="shared" si="1"/>
        <v/>
      </c>
    </row>
    <row r="93">
      <c r="E93" s="10" t="str">
        <f t="shared" si="1"/>
        <v/>
      </c>
    </row>
    <row r="94">
      <c r="E94" s="10" t="str">
        <f t="shared" si="1"/>
        <v/>
      </c>
    </row>
    <row r="95">
      <c r="E95" s="10" t="str">
        <f t="shared" si="1"/>
        <v/>
      </c>
    </row>
    <row r="96">
      <c r="E96" s="10" t="str">
        <f t="shared" si="1"/>
        <v/>
      </c>
    </row>
    <row r="97">
      <c r="E97" s="10" t="str">
        <f t="shared" si="1"/>
        <v/>
      </c>
    </row>
    <row r="98">
      <c r="E98" s="10" t="str">
        <f t="shared" si="1"/>
        <v/>
      </c>
    </row>
    <row r="99">
      <c r="E99" s="10" t="str">
        <f t="shared" si="1"/>
        <v/>
      </c>
    </row>
    <row r="100">
      <c r="E100" s="10" t="str">
        <f t="shared" si="1"/>
        <v/>
      </c>
    </row>
    <row r="101">
      <c r="E101" s="10" t="str">
        <f t="shared" si="1"/>
        <v/>
      </c>
    </row>
    <row r="102">
      <c r="E102" s="10" t="str">
        <f t="shared" si="1"/>
        <v/>
      </c>
    </row>
    <row r="103">
      <c r="E103" s="10" t="str">
        <f t="shared" si="1"/>
        <v/>
      </c>
    </row>
    <row r="104">
      <c r="E104" s="10" t="str">
        <f t="shared" si="1"/>
        <v/>
      </c>
    </row>
    <row r="105">
      <c r="E105" s="10" t="str">
        <f t="shared" si="1"/>
        <v/>
      </c>
    </row>
    <row r="106">
      <c r="E106" s="10" t="str">
        <f t="shared" si="1"/>
        <v/>
      </c>
    </row>
    <row r="107">
      <c r="E107" s="10" t="str">
        <f t="shared" si="1"/>
        <v/>
      </c>
    </row>
    <row r="108">
      <c r="E108" s="10" t="str">
        <f t="shared" si="1"/>
        <v/>
      </c>
    </row>
    <row r="109">
      <c r="E109" s="10" t="str">
        <f t="shared" si="1"/>
        <v/>
      </c>
    </row>
    <row r="110">
      <c r="E110" s="10" t="str">
        <f t="shared" si="1"/>
        <v/>
      </c>
    </row>
    <row r="111">
      <c r="E111" s="10" t="str">
        <f t="shared" si="1"/>
        <v/>
      </c>
    </row>
    <row r="112">
      <c r="E112" s="10" t="str">
        <f t="shared" si="1"/>
        <v/>
      </c>
    </row>
    <row r="113">
      <c r="E113" s="10" t="str">
        <f t="shared" si="1"/>
        <v/>
      </c>
    </row>
    <row r="114">
      <c r="E114" s="10" t="str">
        <f t="shared" si="1"/>
        <v/>
      </c>
    </row>
    <row r="115">
      <c r="E115" s="10" t="str">
        <f t="shared" si="1"/>
        <v/>
      </c>
    </row>
    <row r="116">
      <c r="E116" s="10" t="str">
        <f t="shared" si="1"/>
        <v/>
      </c>
    </row>
    <row r="117">
      <c r="E117" s="10" t="str">
        <f t="shared" si="1"/>
        <v/>
      </c>
    </row>
    <row r="118">
      <c r="E118" s="10" t="str">
        <f t="shared" si="1"/>
        <v/>
      </c>
    </row>
    <row r="119">
      <c r="E119" s="10" t="str">
        <f t="shared" si="1"/>
        <v/>
      </c>
    </row>
    <row r="120">
      <c r="E120" s="10" t="str">
        <f t="shared" si="1"/>
        <v/>
      </c>
    </row>
    <row r="121">
      <c r="E121" s="10" t="str">
        <f t="shared" si="1"/>
        <v/>
      </c>
    </row>
    <row r="122">
      <c r="E122" s="10" t="str">
        <f t="shared" si="1"/>
        <v/>
      </c>
    </row>
    <row r="123">
      <c r="E123" s="10" t="str">
        <f t="shared" si="1"/>
        <v/>
      </c>
    </row>
    <row r="124">
      <c r="E124" s="10" t="str">
        <f t="shared" si="1"/>
        <v/>
      </c>
    </row>
    <row r="125">
      <c r="E125" s="10" t="str">
        <f t="shared" si="1"/>
        <v/>
      </c>
    </row>
    <row r="126">
      <c r="E126" s="10" t="str">
        <f t="shared" si="1"/>
        <v/>
      </c>
    </row>
    <row r="127">
      <c r="E127" s="10" t="str">
        <f t="shared" si="1"/>
        <v/>
      </c>
    </row>
    <row r="128">
      <c r="E128" s="10" t="str">
        <f t="shared" si="1"/>
        <v/>
      </c>
    </row>
    <row r="129">
      <c r="E129" s="10" t="str">
        <f t="shared" si="1"/>
        <v/>
      </c>
    </row>
    <row r="130">
      <c r="E130" s="10" t="str">
        <f t="shared" si="1"/>
        <v/>
      </c>
    </row>
    <row r="131">
      <c r="E131" s="10" t="str">
        <f t="shared" si="1"/>
        <v/>
      </c>
    </row>
    <row r="132">
      <c r="E132" s="10" t="str">
        <f t="shared" si="1"/>
        <v/>
      </c>
    </row>
    <row r="133">
      <c r="E133" s="10" t="str">
        <f t="shared" si="1"/>
        <v/>
      </c>
    </row>
    <row r="134">
      <c r="E134" s="10" t="str">
        <f t="shared" si="1"/>
        <v/>
      </c>
    </row>
    <row r="135">
      <c r="E135" s="10" t="str">
        <f t="shared" si="1"/>
        <v/>
      </c>
    </row>
    <row r="136">
      <c r="E136" s="10" t="str">
        <f t="shared" si="1"/>
        <v/>
      </c>
    </row>
    <row r="137">
      <c r="E137" s="10" t="str">
        <f t="shared" si="1"/>
        <v/>
      </c>
    </row>
    <row r="138">
      <c r="E138" s="10" t="str">
        <f t="shared" si="1"/>
        <v/>
      </c>
    </row>
    <row r="139">
      <c r="E139" s="10" t="str">
        <f t="shared" si="1"/>
        <v/>
      </c>
    </row>
    <row r="140">
      <c r="E140" s="10" t="str">
        <f t="shared" si="1"/>
        <v/>
      </c>
    </row>
    <row r="141">
      <c r="E141" s="10" t="str">
        <f t="shared" si="1"/>
        <v/>
      </c>
    </row>
    <row r="142">
      <c r="E142" s="10" t="str">
        <f t="shared" si="1"/>
        <v/>
      </c>
    </row>
    <row r="143">
      <c r="E143" s="10" t="str">
        <f t="shared" si="1"/>
        <v/>
      </c>
    </row>
    <row r="144">
      <c r="E144" s="10" t="str">
        <f t="shared" si="1"/>
        <v/>
      </c>
    </row>
    <row r="145">
      <c r="E145" s="10" t="str">
        <f t="shared" si="1"/>
        <v/>
      </c>
    </row>
    <row r="146">
      <c r="E146" s="10" t="str">
        <f t="shared" si="1"/>
        <v/>
      </c>
    </row>
    <row r="147">
      <c r="E147" s="10" t="str">
        <f t="shared" si="1"/>
        <v/>
      </c>
    </row>
    <row r="148">
      <c r="E148" s="10" t="str">
        <f t="shared" si="1"/>
        <v/>
      </c>
    </row>
    <row r="149">
      <c r="E149" s="10" t="str">
        <f t="shared" si="1"/>
        <v/>
      </c>
    </row>
    <row r="150">
      <c r="E150" s="10" t="str">
        <f t="shared" si="1"/>
        <v/>
      </c>
    </row>
    <row r="151">
      <c r="E151" s="10" t="str">
        <f t="shared" si="1"/>
        <v/>
      </c>
    </row>
    <row r="152">
      <c r="E152" s="10" t="str">
        <f t="shared" si="1"/>
        <v/>
      </c>
    </row>
    <row r="153">
      <c r="E153" s="10" t="str">
        <f t="shared" si="1"/>
        <v/>
      </c>
    </row>
    <row r="154">
      <c r="E154" s="10" t="str">
        <f t="shared" si="1"/>
        <v/>
      </c>
    </row>
    <row r="155">
      <c r="E155" s="10" t="str">
        <f t="shared" si="1"/>
        <v/>
      </c>
    </row>
    <row r="156">
      <c r="E156" s="10" t="str">
        <f t="shared" si="1"/>
        <v/>
      </c>
    </row>
    <row r="157">
      <c r="E157" s="10" t="str">
        <f t="shared" si="1"/>
        <v/>
      </c>
    </row>
    <row r="158">
      <c r="E158" s="10" t="str">
        <f t="shared" si="1"/>
        <v/>
      </c>
    </row>
    <row r="159">
      <c r="E159" s="10" t="str">
        <f t="shared" si="1"/>
        <v/>
      </c>
    </row>
    <row r="160">
      <c r="E160" s="10" t="str">
        <f t="shared" si="1"/>
        <v/>
      </c>
    </row>
    <row r="161">
      <c r="E161" s="10" t="str">
        <f t="shared" si="1"/>
        <v/>
      </c>
    </row>
    <row r="162">
      <c r="E162" s="10" t="str">
        <f t="shared" si="1"/>
        <v/>
      </c>
    </row>
    <row r="163">
      <c r="E163" s="10" t="str">
        <f t="shared" si="1"/>
        <v/>
      </c>
    </row>
    <row r="164">
      <c r="E164" s="10" t="str">
        <f t="shared" si="1"/>
        <v/>
      </c>
    </row>
    <row r="165">
      <c r="E165" s="10" t="str">
        <f t="shared" si="1"/>
        <v/>
      </c>
    </row>
    <row r="166">
      <c r="E166" s="10" t="str">
        <f t="shared" si="1"/>
        <v/>
      </c>
    </row>
    <row r="167">
      <c r="E167" s="10" t="str">
        <f t="shared" si="1"/>
        <v/>
      </c>
    </row>
    <row r="168">
      <c r="E168" s="10" t="str">
        <f t="shared" si="1"/>
        <v/>
      </c>
    </row>
    <row r="169">
      <c r="E169" s="10" t="str">
        <f t="shared" si="1"/>
        <v/>
      </c>
    </row>
    <row r="170">
      <c r="E170" s="10" t="str">
        <f t="shared" si="1"/>
        <v/>
      </c>
    </row>
    <row r="171">
      <c r="E171" s="10" t="str">
        <f t="shared" si="1"/>
        <v/>
      </c>
    </row>
    <row r="172">
      <c r="E172" s="10" t="str">
        <f t="shared" si="1"/>
        <v/>
      </c>
    </row>
    <row r="173">
      <c r="E173" s="10" t="str">
        <f t="shared" si="1"/>
        <v/>
      </c>
    </row>
    <row r="174">
      <c r="E174" s="10" t="str">
        <f t="shared" si="1"/>
        <v/>
      </c>
    </row>
    <row r="175">
      <c r="E175" s="10" t="str">
        <f t="shared" si="1"/>
        <v/>
      </c>
    </row>
    <row r="176">
      <c r="E176" s="10" t="str">
        <f t="shared" si="1"/>
        <v/>
      </c>
    </row>
    <row r="177">
      <c r="E177" s="10" t="str">
        <f t="shared" si="1"/>
        <v/>
      </c>
    </row>
    <row r="178">
      <c r="E178" s="10" t="str">
        <f t="shared" si="1"/>
        <v/>
      </c>
    </row>
    <row r="179">
      <c r="E179" s="10" t="str">
        <f t="shared" si="1"/>
        <v/>
      </c>
    </row>
    <row r="180">
      <c r="E180" s="10" t="str">
        <f t="shared" si="1"/>
        <v/>
      </c>
    </row>
    <row r="181">
      <c r="E181" s="10" t="str">
        <f t="shared" si="1"/>
        <v/>
      </c>
    </row>
    <row r="182">
      <c r="E182" s="10" t="str">
        <f t="shared" si="1"/>
        <v/>
      </c>
    </row>
    <row r="183">
      <c r="E183" s="10" t="str">
        <f t="shared" si="1"/>
        <v/>
      </c>
    </row>
    <row r="184">
      <c r="E184" s="10" t="str">
        <f t="shared" si="1"/>
        <v/>
      </c>
    </row>
    <row r="185">
      <c r="E185" s="10" t="str">
        <f t="shared" si="1"/>
        <v/>
      </c>
    </row>
    <row r="186">
      <c r="E186" s="10" t="str">
        <f t="shared" si="1"/>
        <v/>
      </c>
    </row>
    <row r="187">
      <c r="E187" s="10" t="str">
        <f t="shared" si="1"/>
        <v/>
      </c>
    </row>
    <row r="188">
      <c r="E188" s="10" t="str">
        <f t="shared" si="1"/>
        <v/>
      </c>
    </row>
    <row r="189">
      <c r="E189" s="10" t="str">
        <f t="shared" si="1"/>
        <v/>
      </c>
    </row>
    <row r="190">
      <c r="E190" s="10" t="str">
        <f t="shared" si="1"/>
        <v/>
      </c>
    </row>
    <row r="191">
      <c r="E191" s="10" t="str">
        <f t="shared" si="1"/>
        <v/>
      </c>
    </row>
    <row r="192">
      <c r="E192" s="10" t="str">
        <f t="shared" si="1"/>
        <v/>
      </c>
    </row>
    <row r="193">
      <c r="E193" s="10" t="str">
        <f t="shared" si="1"/>
        <v/>
      </c>
    </row>
    <row r="194">
      <c r="E194" s="10" t="str">
        <f t="shared" si="1"/>
        <v/>
      </c>
    </row>
    <row r="195">
      <c r="E195" s="10" t="str">
        <f t="shared" si="1"/>
        <v/>
      </c>
    </row>
    <row r="196">
      <c r="E196" s="10" t="str">
        <f t="shared" si="1"/>
        <v/>
      </c>
    </row>
    <row r="197">
      <c r="E197" s="10" t="str">
        <f t="shared" si="1"/>
        <v/>
      </c>
    </row>
    <row r="198">
      <c r="E198" s="10" t="str">
        <f t="shared" si="1"/>
        <v/>
      </c>
    </row>
    <row r="199">
      <c r="E199" s="10" t="str">
        <f t="shared" si="1"/>
        <v/>
      </c>
    </row>
    <row r="200">
      <c r="E200" s="10" t="str">
        <f t="shared" si="1"/>
        <v/>
      </c>
    </row>
    <row r="201">
      <c r="E201" s="10" t="str">
        <f t="shared" si="1"/>
        <v/>
      </c>
    </row>
    <row r="202">
      <c r="E202" s="10" t="str">
        <f t="shared" si="1"/>
        <v/>
      </c>
    </row>
    <row r="203">
      <c r="E203" s="10" t="str">
        <f t="shared" si="1"/>
        <v/>
      </c>
    </row>
    <row r="204">
      <c r="E204" s="10" t="str">
        <f t="shared" si="1"/>
        <v/>
      </c>
    </row>
    <row r="205">
      <c r="E205" s="10" t="str">
        <f t="shared" si="1"/>
        <v/>
      </c>
    </row>
    <row r="206">
      <c r="E206" s="10" t="str">
        <f t="shared" si="1"/>
        <v/>
      </c>
    </row>
    <row r="207">
      <c r="E207" s="10" t="str">
        <f t="shared" si="1"/>
        <v/>
      </c>
    </row>
    <row r="208">
      <c r="E208" s="10" t="str">
        <f t="shared" si="1"/>
        <v/>
      </c>
    </row>
    <row r="209">
      <c r="E209" s="10" t="str">
        <f t="shared" si="1"/>
        <v/>
      </c>
    </row>
    <row r="210">
      <c r="E210" s="10" t="str">
        <f t="shared" si="1"/>
        <v/>
      </c>
    </row>
    <row r="211">
      <c r="E211" s="10" t="str">
        <f t="shared" si="1"/>
        <v/>
      </c>
    </row>
    <row r="212">
      <c r="E212" s="10" t="str">
        <f t="shared" si="1"/>
        <v/>
      </c>
    </row>
    <row r="213">
      <c r="E213" s="10" t="str">
        <f t="shared" si="1"/>
        <v/>
      </c>
    </row>
    <row r="214">
      <c r="E214" s="10" t="str">
        <f t="shared" si="1"/>
        <v/>
      </c>
    </row>
    <row r="215">
      <c r="E215" s="10" t="str">
        <f t="shared" si="1"/>
        <v/>
      </c>
    </row>
    <row r="216">
      <c r="E216" s="10" t="str">
        <f t="shared" si="1"/>
        <v/>
      </c>
    </row>
    <row r="217">
      <c r="E217" s="10" t="str">
        <f t="shared" si="1"/>
        <v/>
      </c>
    </row>
    <row r="218">
      <c r="E218" s="10" t="str">
        <f t="shared" si="1"/>
        <v/>
      </c>
    </row>
    <row r="219">
      <c r="E219" s="10" t="str">
        <f t="shared" si="1"/>
        <v/>
      </c>
    </row>
    <row r="220">
      <c r="E220" s="10" t="str">
        <f t="shared" si="1"/>
        <v/>
      </c>
    </row>
    <row r="221">
      <c r="E221" s="10" t="str">
        <f t="shared" si="1"/>
        <v/>
      </c>
    </row>
    <row r="222">
      <c r="E222" s="10" t="str">
        <f t="shared" si="1"/>
        <v/>
      </c>
    </row>
    <row r="223">
      <c r="E223" s="10" t="str">
        <f t="shared" si="1"/>
        <v/>
      </c>
    </row>
    <row r="224">
      <c r="E224" s="10" t="str">
        <f t="shared" si="1"/>
        <v/>
      </c>
    </row>
    <row r="225">
      <c r="E225" s="10" t="str">
        <f t="shared" si="1"/>
        <v/>
      </c>
    </row>
    <row r="226">
      <c r="E226" s="10" t="str">
        <f t="shared" si="1"/>
        <v/>
      </c>
    </row>
    <row r="227">
      <c r="E227" s="10" t="str">
        <f t="shared" si="1"/>
        <v/>
      </c>
    </row>
    <row r="228">
      <c r="E228" s="10" t="str">
        <f t="shared" si="1"/>
        <v/>
      </c>
    </row>
    <row r="229">
      <c r="E229" s="10" t="str">
        <f t="shared" si="1"/>
        <v/>
      </c>
    </row>
    <row r="230">
      <c r="E230" s="10" t="str">
        <f t="shared" si="1"/>
        <v/>
      </c>
    </row>
    <row r="231">
      <c r="E231" s="10" t="str">
        <f t="shared" si="1"/>
        <v/>
      </c>
    </row>
    <row r="232">
      <c r="E232" s="10" t="str">
        <f t="shared" si="1"/>
        <v/>
      </c>
    </row>
    <row r="233">
      <c r="E233" s="10" t="str">
        <f t="shared" si="1"/>
        <v/>
      </c>
    </row>
    <row r="234">
      <c r="E234" s="10" t="str">
        <f t="shared" si="1"/>
        <v/>
      </c>
    </row>
    <row r="235">
      <c r="E235" s="10" t="str">
        <f t="shared" si="1"/>
        <v/>
      </c>
    </row>
    <row r="236">
      <c r="E236" s="10" t="str">
        <f t="shared" si="1"/>
        <v/>
      </c>
    </row>
    <row r="237">
      <c r="E237" s="10" t="str">
        <f t="shared" si="1"/>
        <v/>
      </c>
    </row>
    <row r="238">
      <c r="E238" s="10" t="str">
        <f t="shared" si="1"/>
        <v/>
      </c>
    </row>
    <row r="239">
      <c r="E239" s="10" t="str">
        <f t="shared" si="1"/>
        <v/>
      </c>
    </row>
    <row r="240">
      <c r="E240" s="10" t="str">
        <f t="shared" si="1"/>
        <v/>
      </c>
    </row>
    <row r="241">
      <c r="E241" s="10" t="str">
        <f t="shared" si="1"/>
        <v/>
      </c>
    </row>
    <row r="242">
      <c r="E242" s="10" t="str">
        <f t="shared" si="1"/>
        <v/>
      </c>
    </row>
    <row r="243">
      <c r="E243" s="10" t="str">
        <f t="shared" si="1"/>
        <v/>
      </c>
    </row>
    <row r="244">
      <c r="E244" s="10" t="str">
        <f t="shared" si="1"/>
        <v/>
      </c>
    </row>
    <row r="245">
      <c r="E245" s="10" t="str">
        <f t="shared" si="1"/>
        <v/>
      </c>
    </row>
    <row r="246">
      <c r="E246" s="10" t="str">
        <f t="shared" si="1"/>
        <v/>
      </c>
    </row>
    <row r="247">
      <c r="E247" s="10" t="str">
        <f t="shared" si="1"/>
        <v/>
      </c>
    </row>
    <row r="248">
      <c r="E248" s="10" t="str">
        <f t="shared" si="1"/>
        <v/>
      </c>
    </row>
    <row r="249">
      <c r="E249" s="10" t="str">
        <f t="shared" si="1"/>
        <v/>
      </c>
    </row>
    <row r="250">
      <c r="E250" s="10" t="str">
        <f t="shared" si="1"/>
        <v/>
      </c>
    </row>
    <row r="251">
      <c r="E251" s="10" t="str">
        <f t="shared" si="1"/>
        <v/>
      </c>
    </row>
    <row r="252">
      <c r="E252" s="10" t="str">
        <f t="shared" si="1"/>
        <v/>
      </c>
    </row>
    <row r="253">
      <c r="E253" s="10" t="str">
        <f t="shared" si="1"/>
        <v/>
      </c>
    </row>
    <row r="254">
      <c r="E254" s="10" t="str">
        <f t="shared" si="1"/>
        <v/>
      </c>
    </row>
    <row r="255">
      <c r="E255" s="10" t="str">
        <f t="shared" si="1"/>
        <v/>
      </c>
    </row>
    <row r="256">
      <c r="E256" s="10" t="str">
        <f t="shared" si="1"/>
        <v/>
      </c>
    </row>
    <row r="257">
      <c r="E257" s="10" t="str">
        <f t="shared" si="1"/>
        <v/>
      </c>
    </row>
    <row r="258">
      <c r="E258" s="10" t="str">
        <f t="shared" si="1"/>
        <v/>
      </c>
    </row>
    <row r="259">
      <c r="E259" s="10" t="str">
        <f t="shared" si="1"/>
        <v/>
      </c>
    </row>
    <row r="260">
      <c r="E260" s="10" t="str">
        <f t="shared" si="1"/>
        <v/>
      </c>
    </row>
    <row r="261">
      <c r="E261" s="10" t="str">
        <f t="shared" si="1"/>
        <v/>
      </c>
    </row>
    <row r="262">
      <c r="E262" s="10" t="str">
        <f t="shared" si="1"/>
        <v/>
      </c>
    </row>
    <row r="263">
      <c r="E263" s="10" t="str">
        <f t="shared" si="1"/>
        <v/>
      </c>
    </row>
    <row r="264">
      <c r="E264" s="10" t="str">
        <f t="shared" si="1"/>
        <v/>
      </c>
    </row>
    <row r="265">
      <c r="E265" s="10" t="str">
        <f t="shared" si="1"/>
        <v/>
      </c>
    </row>
    <row r="266">
      <c r="E266" s="10" t="str">
        <f t="shared" si="1"/>
        <v/>
      </c>
    </row>
    <row r="267">
      <c r="E267" s="10" t="str">
        <f t="shared" si="1"/>
        <v/>
      </c>
    </row>
    <row r="268">
      <c r="E268" s="10" t="str">
        <f t="shared" si="1"/>
        <v/>
      </c>
    </row>
    <row r="269">
      <c r="E269" s="10" t="str">
        <f t="shared" si="1"/>
        <v/>
      </c>
    </row>
    <row r="270">
      <c r="E270" s="10" t="str">
        <f t="shared" si="1"/>
        <v/>
      </c>
    </row>
    <row r="271">
      <c r="E271" s="10" t="str">
        <f t="shared" si="1"/>
        <v/>
      </c>
    </row>
    <row r="272">
      <c r="E272" s="10" t="str">
        <f t="shared" si="1"/>
        <v/>
      </c>
    </row>
    <row r="273">
      <c r="E273" s="10" t="str">
        <f t="shared" si="1"/>
        <v/>
      </c>
    </row>
    <row r="274">
      <c r="E274" s="10" t="str">
        <f t="shared" si="1"/>
        <v/>
      </c>
    </row>
    <row r="275">
      <c r="E275" s="10" t="str">
        <f t="shared" si="1"/>
        <v/>
      </c>
    </row>
    <row r="276">
      <c r="E276" s="10" t="str">
        <f t="shared" si="1"/>
        <v/>
      </c>
    </row>
    <row r="277">
      <c r="E277" s="10" t="str">
        <f t="shared" si="1"/>
        <v/>
      </c>
    </row>
    <row r="278">
      <c r="E278" s="10" t="str">
        <f t="shared" si="1"/>
        <v/>
      </c>
    </row>
    <row r="279">
      <c r="E279" s="10" t="str">
        <f t="shared" si="1"/>
        <v/>
      </c>
    </row>
    <row r="280">
      <c r="E280" s="10" t="str">
        <f t="shared" si="1"/>
        <v/>
      </c>
    </row>
    <row r="281">
      <c r="E281" s="10" t="str">
        <f t="shared" si="1"/>
        <v/>
      </c>
    </row>
    <row r="282">
      <c r="E282" s="10" t="str">
        <f t="shared" si="1"/>
        <v/>
      </c>
    </row>
    <row r="283">
      <c r="E283" s="10" t="str">
        <f t="shared" si="1"/>
        <v/>
      </c>
    </row>
    <row r="284">
      <c r="E284" s="10" t="str">
        <f t="shared" si="1"/>
        <v/>
      </c>
    </row>
    <row r="285">
      <c r="E285" s="10" t="str">
        <f t="shared" si="1"/>
        <v/>
      </c>
    </row>
    <row r="286">
      <c r="E286" s="10" t="str">
        <f t="shared" si="1"/>
        <v/>
      </c>
    </row>
    <row r="287">
      <c r="E287" s="10" t="str">
        <f t="shared" si="1"/>
        <v/>
      </c>
    </row>
    <row r="288">
      <c r="E288" s="10" t="str">
        <f t="shared" si="1"/>
        <v/>
      </c>
    </row>
    <row r="289">
      <c r="E289" s="10" t="str">
        <f t="shared" si="1"/>
        <v/>
      </c>
    </row>
    <row r="290">
      <c r="E290" s="10" t="str">
        <f t="shared" si="1"/>
        <v/>
      </c>
    </row>
    <row r="291">
      <c r="E291" s="10" t="str">
        <f t="shared" si="1"/>
        <v/>
      </c>
    </row>
    <row r="292">
      <c r="E292" s="10" t="str">
        <f t="shared" si="1"/>
        <v/>
      </c>
    </row>
    <row r="293">
      <c r="E293" s="10" t="str">
        <f t="shared" si="1"/>
        <v/>
      </c>
    </row>
    <row r="294">
      <c r="E294" s="10" t="str">
        <f t="shared" si="1"/>
        <v/>
      </c>
    </row>
    <row r="295">
      <c r="E295" s="10" t="str">
        <f t="shared" si="1"/>
        <v/>
      </c>
    </row>
    <row r="296">
      <c r="E296" s="10" t="str">
        <f t="shared" si="1"/>
        <v/>
      </c>
    </row>
    <row r="297">
      <c r="E297" s="10" t="str">
        <f t="shared" si="1"/>
        <v/>
      </c>
    </row>
    <row r="298">
      <c r="E298" s="10" t="str">
        <f t="shared" si="1"/>
        <v/>
      </c>
    </row>
    <row r="299">
      <c r="E299" s="10" t="str">
        <f t="shared" si="1"/>
        <v/>
      </c>
    </row>
    <row r="300">
      <c r="E300" s="10" t="str">
        <f t="shared" si="1"/>
        <v/>
      </c>
    </row>
    <row r="301">
      <c r="E301" s="10" t="str">
        <f t="shared" si="1"/>
        <v/>
      </c>
    </row>
    <row r="302">
      <c r="E302" s="10" t="str">
        <f t="shared" si="1"/>
        <v/>
      </c>
    </row>
    <row r="303">
      <c r="E303" s="10" t="str">
        <f t="shared" si="1"/>
        <v/>
      </c>
    </row>
    <row r="304">
      <c r="E304" s="10" t="str">
        <f t="shared" si="1"/>
        <v/>
      </c>
    </row>
    <row r="305">
      <c r="E305" s="10" t="str">
        <f t="shared" si="1"/>
        <v/>
      </c>
    </row>
    <row r="306">
      <c r="E306" s="10" t="str">
        <f t="shared" si="1"/>
        <v/>
      </c>
    </row>
    <row r="307">
      <c r="E307" s="10" t="str">
        <f t="shared" si="1"/>
        <v/>
      </c>
    </row>
    <row r="308">
      <c r="E308" s="10" t="str">
        <f t="shared" si="1"/>
        <v/>
      </c>
    </row>
    <row r="309">
      <c r="E309" s="10" t="str">
        <f t="shared" si="1"/>
        <v/>
      </c>
    </row>
    <row r="310">
      <c r="E310" s="10" t="str">
        <f t="shared" si="1"/>
        <v/>
      </c>
    </row>
    <row r="311">
      <c r="E311" s="10" t="str">
        <f t="shared" si="1"/>
        <v/>
      </c>
    </row>
    <row r="312">
      <c r="E312" s="10" t="str">
        <f t="shared" si="1"/>
        <v/>
      </c>
    </row>
    <row r="313">
      <c r="E313" s="10" t="str">
        <f t="shared" si="1"/>
        <v/>
      </c>
    </row>
    <row r="314">
      <c r="E314" s="10" t="str">
        <f t="shared" si="1"/>
        <v/>
      </c>
    </row>
    <row r="315">
      <c r="E315" s="10" t="str">
        <f t="shared" si="1"/>
        <v/>
      </c>
    </row>
    <row r="316">
      <c r="E316" s="10" t="str">
        <f t="shared" si="1"/>
        <v/>
      </c>
    </row>
    <row r="317">
      <c r="E317" s="10" t="str">
        <f t="shared" si="1"/>
        <v/>
      </c>
    </row>
    <row r="318">
      <c r="E318" s="10" t="str">
        <f t="shared" si="1"/>
        <v/>
      </c>
    </row>
    <row r="319">
      <c r="E319" s="10" t="str">
        <f t="shared" si="1"/>
        <v/>
      </c>
    </row>
    <row r="320">
      <c r="E320" s="10" t="str">
        <f t="shared" si="1"/>
        <v/>
      </c>
    </row>
    <row r="321">
      <c r="E321" s="10" t="str">
        <f t="shared" si="1"/>
        <v/>
      </c>
    </row>
    <row r="322">
      <c r="E322" s="10" t="str">
        <f t="shared" si="1"/>
        <v/>
      </c>
    </row>
    <row r="323">
      <c r="E323" s="10" t="str">
        <f t="shared" si="1"/>
        <v/>
      </c>
    </row>
    <row r="324">
      <c r="E324" s="10" t="str">
        <f t="shared" si="1"/>
        <v/>
      </c>
    </row>
    <row r="325">
      <c r="E325" s="10" t="str">
        <f t="shared" si="1"/>
        <v/>
      </c>
    </row>
    <row r="326">
      <c r="E326" s="10" t="str">
        <f t="shared" si="1"/>
        <v/>
      </c>
    </row>
    <row r="327">
      <c r="E327" s="10" t="str">
        <f t="shared" si="1"/>
        <v/>
      </c>
    </row>
    <row r="328">
      <c r="E328" s="10" t="str">
        <f t="shared" si="1"/>
        <v/>
      </c>
    </row>
    <row r="329">
      <c r="E329" s="10" t="str">
        <f t="shared" si="1"/>
        <v/>
      </c>
    </row>
    <row r="330">
      <c r="E330" s="10" t="str">
        <f t="shared" si="1"/>
        <v/>
      </c>
    </row>
    <row r="331">
      <c r="E331" s="10" t="str">
        <f t="shared" si="1"/>
        <v/>
      </c>
    </row>
    <row r="332">
      <c r="E332" s="10" t="str">
        <f t="shared" si="1"/>
        <v/>
      </c>
    </row>
    <row r="333">
      <c r="E333" s="10" t="str">
        <f t="shared" si="1"/>
        <v/>
      </c>
    </row>
    <row r="334">
      <c r="E334" s="10" t="str">
        <f t="shared" si="1"/>
        <v/>
      </c>
    </row>
    <row r="335">
      <c r="E335" s="10" t="str">
        <f t="shared" si="1"/>
        <v/>
      </c>
    </row>
    <row r="336">
      <c r="E336" s="10" t="str">
        <f t="shared" si="1"/>
        <v/>
      </c>
    </row>
    <row r="337">
      <c r="E337" s="10" t="str">
        <f t="shared" si="1"/>
        <v/>
      </c>
    </row>
    <row r="338">
      <c r="E338" s="10" t="str">
        <f t="shared" si="1"/>
        <v/>
      </c>
    </row>
    <row r="339">
      <c r="E339" s="10" t="str">
        <f t="shared" si="1"/>
        <v/>
      </c>
    </row>
    <row r="340">
      <c r="E340" s="10" t="str">
        <f t="shared" si="1"/>
        <v/>
      </c>
    </row>
    <row r="341">
      <c r="E341" s="10" t="str">
        <f t="shared" si="1"/>
        <v/>
      </c>
    </row>
    <row r="342">
      <c r="E342" s="10" t="str">
        <f t="shared" si="1"/>
        <v/>
      </c>
    </row>
    <row r="343">
      <c r="E343" s="10" t="str">
        <f t="shared" si="1"/>
        <v/>
      </c>
    </row>
    <row r="344">
      <c r="E344" s="10" t="str">
        <f t="shared" si="1"/>
        <v/>
      </c>
    </row>
    <row r="345">
      <c r="E345" s="10" t="str">
        <f t="shared" si="1"/>
        <v/>
      </c>
    </row>
    <row r="346">
      <c r="E346" s="10" t="str">
        <f t="shared" si="1"/>
        <v/>
      </c>
    </row>
    <row r="347">
      <c r="E347" s="10" t="str">
        <f t="shared" si="1"/>
        <v/>
      </c>
    </row>
    <row r="348">
      <c r="E348" s="10" t="str">
        <f t="shared" si="1"/>
        <v/>
      </c>
    </row>
    <row r="349">
      <c r="E349" s="10" t="str">
        <f t="shared" si="1"/>
        <v/>
      </c>
    </row>
    <row r="350">
      <c r="E350" s="10" t="str">
        <f t="shared" si="1"/>
        <v/>
      </c>
    </row>
    <row r="351">
      <c r="E351" s="10" t="str">
        <f t="shared" si="1"/>
        <v/>
      </c>
    </row>
    <row r="352">
      <c r="E352" s="10" t="str">
        <f t="shared" si="1"/>
        <v/>
      </c>
    </row>
    <row r="353">
      <c r="E353" s="10" t="str">
        <f t="shared" si="1"/>
        <v/>
      </c>
    </row>
    <row r="354">
      <c r="E354" s="10" t="str">
        <f t="shared" si="1"/>
        <v/>
      </c>
    </row>
    <row r="355">
      <c r="E355" s="10" t="str">
        <f t="shared" si="1"/>
        <v/>
      </c>
    </row>
    <row r="356">
      <c r="E356" s="10" t="str">
        <f t="shared" si="1"/>
        <v/>
      </c>
    </row>
    <row r="357">
      <c r="E357" s="10" t="str">
        <f t="shared" si="1"/>
        <v/>
      </c>
    </row>
    <row r="358">
      <c r="E358" s="10" t="str">
        <f t="shared" si="1"/>
        <v/>
      </c>
    </row>
    <row r="359">
      <c r="E359" s="10" t="str">
        <f t="shared" si="1"/>
        <v/>
      </c>
    </row>
    <row r="360">
      <c r="E360" s="10" t="str">
        <f t="shared" si="1"/>
        <v/>
      </c>
    </row>
    <row r="361">
      <c r="E361" s="10" t="str">
        <f t="shared" si="1"/>
        <v/>
      </c>
    </row>
    <row r="362">
      <c r="E362" s="10" t="str">
        <f t="shared" si="1"/>
        <v/>
      </c>
    </row>
    <row r="363">
      <c r="E363" s="10" t="str">
        <f t="shared" si="1"/>
        <v/>
      </c>
    </row>
    <row r="364">
      <c r="E364" s="10" t="str">
        <f t="shared" si="1"/>
        <v/>
      </c>
    </row>
    <row r="365">
      <c r="E365" s="10" t="str">
        <f t="shared" si="1"/>
        <v/>
      </c>
    </row>
    <row r="366">
      <c r="E366" s="10" t="str">
        <f t="shared" si="1"/>
        <v/>
      </c>
    </row>
    <row r="367">
      <c r="E367" s="10" t="str">
        <f t="shared" si="1"/>
        <v/>
      </c>
    </row>
    <row r="368">
      <c r="E368" s="10" t="str">
        <f t="shared" si="1"/>
        <v/>
      </c>
    </row>
    <row r="369">
      <c r="E369" s="10" t="str">
        <f t="shared" si="1"/>
        <v/>
      </c>
    </row>
    <row r="370">
      <c r="E370" s="10" t="str">
        <f t="shared" si="1"/>
        <v/>
      </c>
    </row>
    <row r="371">
      <c r="E371" s="10" t="str">
        <f t="shared" si="1"/>
        <v/>
      </c>
    </row>
    <row r="372">
      <c r="E372" s="10" t="str">
        <f t="shared" si="1"/>
        <v/>
      </c>
    </row>
    <row r="373">
      <c r="E373" s="10" t="str">
        <f t="shared" si="1"/>
        <v/>
      </c>
    </row>
    <row r="374">
      <c r="E374" s="10" t="str">
        <f t="shared" si="1"/>
        <v/>
      </c>
    </row>
    <row r="375">
      <c r="E375" s="10" t="str">
        <f t="shared" si="1"/>
        <v/>
      </c>
    </row>
    <row r="376">
      <c r="E376" s="10" t="str">
        <f t="shared" si="1"/>
        <v/>
      </c>
    </row>
    <row r="377">
      <c r="E377" s="10" t="str">
        <f t="shared" si="1"/>
        <v/>
      </c>
    </row>
    <row r="378">
      <c r="E378" s="10" t="str">
        <f t="shared" si="1"/>
        <v/>
      </c>
    </row>
    <row r="379">
      <c r="E379" s="10" t="str">
        <f t="shared" si="1"/>
        <v/>
      </c>
    </row>
    <row r="380">
      <c r="E380" s="10" t="str">
        <f t="shared" si="1"/>
        <v/>
      </c>
    </row>
    <row r="381">
      <c r="E381" s="10" t="str">
        <f t="shared" si="1"/>
        <v/>
      </c>
    </row>
    <row r="382">
      <c r="E382" s="10" t="str">
        <f t="shared" si="1"/>
        <v/>
      </c>
    </row>
    <row r="383">
      <c r="E383" s="10" t="str">
        <f t="shared" si="1"/>
        <v/>
      </c>
    </row>
    <row r="384">
      <c r="E384" s="10" t="str">
        <f t="shared" si="1"/>
        <v/>
      </c>
    </row>
    <row r="385">
      <c r="E385" s="10" t="str">
        <f t="shared" si="1"/>
        <v/>
      </c>
    </row>
    <row r="386">
      <c r="E386" s="10" t="str">
        <f t="shared" si="1"/>
        <v/>
      </c>
    </row>
    <row r="387">
      <c r="E387" s="10" t="str">
        <f t="shared" si="1"/>
        <v/>
      </c>
    </row>
    <row r="388">
      <c r="E388" s="10" t="str">
        <f t="shared" si="1"/>
        <v/>
      </c>
    </row>
    <row r="389">
      <c r="E389" s="10" t="str">
        <f t="shared" si="1"/>
        <v/>
      </c>
    </row>
    <row r="390">
      <c r="E390" s="10" t="str">
        <f t="shared" si="1"/>
        <v/>
      </c>
    </row>
    <row r="391">
      <c r="E391" s="10" t="str">
        <f t="shared" si="1"/>
        <v/>
      </c>
    </row>
    <row r="392">
      <c r="E392" s="10" t="str">
        <f t="shared" si="1"/>
        <v/>
      </c>
    </row>
    <row r="393">
      <c r="E393" s="10" t="str">
        <f t="shared" si="1"/>
        <v/>
      </c>
    </row>
    <row r="394">
      <c r="E394" s="10" t="str">
        <f t="shared" si="1"/>
        <v/>
      </c>
    </row>
    <row r="395">
      <c r="E395" s="10" t="str">
        <f t="shared" si="1"/>
        <v/>
      </c>
    </row>
    <row r="396">
      <c r="E396" s="10" t="str">
        <f t="shared" si="1"/>
        <v/>
      </c>
    </row>
    <row r="397">
      <c r="E397" s="10" t="str">
        <f t="shared" si="1"/>
        <v/>
      </c>
    </row>
    <row r="398">
      <c r="E398" s="10" t="str">
        <f t="shared" si="1"/>
        <v/>
      </c>
    </row>
    <row r="399">
      <c r="E399" s="10" t="str">
        <f t="shared" si="1"/>
        <v/>
      </c>
    </row>
    <row r="400">
      <c r="E400" s="10" t="str">
        <f t="shared" si="1"/>
        <v/>
      </c>
    </row>
    <row r="401">
      <c r="E401" s="10" t="str">
        <f t="shared" si="1"/>
        <v/>
      </c>
    </row>
    <row r="402">
      <c r="E402" s="10" t="str">
        <f t="shared" si="1"/>
        <v/>
      </c>
    </row>
    <row r="403">
      <c r="E403" s="10" t="str">
        <f t="shared" si="1"/>
        <v/>
      </c>
    </row>
    <row r="404">
      <c r="E404" s="10" t="str">
        <f t="shared" si="1"/>
        <v/>
      </c>
    </row>
    <row r="405">
      <c r="E405" s="10" t="str">
        <f t="shared" si="1"/>
        <v/>
      </c>
    </row>
    <row r="406">
      <c r="E406" s="10" t="str">
        <f t="shared" si="1"/>
        <v/>
      </c>
    </row>
    <row r="407">
      <c r="E407" s="10" t="str">
        <f t="shared" si="1"/>
        <v/>
      </c>
    </row>
    <row r="408">
      <c r="E408" s="10" t="str">
        <f t="shared" si="1"/>
        <v/>
      </c>
    </row>
    <row r="409">
      <c r="E409" s="10" t="str">
        <f t="shared" si="1"/>
        <v/>
      </c>
    </row>
    <row r="410">
      <c r="E410" s="10" t="str">
        <f t="shared" si="1"/>
        <v/>
      </c>
    </row>
    <row r="411">
      <c r="E411" s="10" t="str">
        <f t="shared" si="1"/>
        <v/>
      </c>
    </row>
    <row r="412">
      <c r="E412" s="10" t="str">
        <f t="shared" si="1"/>
        <v/>
      </c>
    </row>
    <row r="413">
      <c r="E413" s="10" t="str">
        <f t="shared" si="1"/>
        <v/>
      </c>
    </row>
    <row r="414">
      <c r="E414" s="10" t="str">
        <f t="shared" si="1"/>
        <v/>
      </c>
    </row>
    <row r="415">
      <c r="E415" s="10" t="str">
        <f t="shared" si="1"/>
        <v/>
      </c>
    </row>
    <row r="416">
      <c r="E416" s="10" t="str">
        <f t="shared" si="1"/>
        <v/>
      </c>
    </row>
    <row r="417">
      <c r="E417" s="10" t="str">
        <f t="shared" si="1"/>
        <v/>
      </c>
    </row>
    <row r="418">
      <c r="E418" s="10" t="str">
        <f t="shared" si="1"/>
        <v/>
      </c>
    </row>
    <row r="419">
      <c r="E419" s="10" t="str">
        <f t="shared" si="1"/>
        <v/>
      </c>
    </row>
    <row r="420">
      <c r="E420" s="10" t="str">
        <f t="shared" si="1"/>
        <v/>
      </c>
    </row>
    <row r="421">
      <c r="E421" s="10" t="str">
        <f t="shared" si="1"/>
        <v/>
      </c>
    </row>
    <row r="422">
      <c r="E422" s="10" t="str">
        <f t="shared" si="1"/>
        <v/>
      </c>
    </row>
    <row r="423">
      <c r="E423" s="10" t="str">
        <f t="shared" si="1"/>
        <v/>
      </c>
    </row>
    <row r="424">
      <c r="E424" s="10" t="str">
        <f t="shared" si="1"/>
        <v/>
      </c>
    </row>
    <row r="425">
      <c r="E425" s="10" t="str">
        <f t="shared" si="1"/>
        <v/>
      </c>
    </row>
    <row r="426">
      <c r="E426" s="10" t="str">
        <f t="shared" si="1"/>
        <v/>
      </c>
    </row>
    <row r="427">
      <c r="E427" s="10" t="str">
        <f t="shared" si="1"/>
        <v/>
      </c>
    </row>
    <row r="428">
      <c r="E428" s="10" t="str">
        <f t="shared" si="1"/>
        <v/>
      </c>
    </row>
    <row r="429">
      <c r="E429" s="10" t="str">
        <f t="shared" si="1"/>
        <v/>
      </c>
    </row>
    <row r="430">
      <c r="E430" s="10" t="str">
        <f t="shared" si="1"/>
        <v/>
      </c>
    </row>
    <row r="431">
      <c r="E431" s="10" t="str">
        <f t="shared" si="1"/>
        <v/>
      </c>
    </row>
    <row r="432">
      <c r="E432" s="10" t="str">
        <f t="shared" si="1"/>
        <v/>
      </c>
    </row>
    <row r="433">
      <c r="E433" s="10" t="str">
        <f t="shared" si="1"/>
        <v/>
      </c>
    </row>
    <row r="434">
      <c r="E434" s="10" t="str">
        <f t="shared" si="1"/>
        <v/>
      </c>
    </row>
    <row r="435">
      <c r="E435" s="10" t="str">
        <f t="shared" si="1"/>
        <v/>
      </c>
    </row>
    <row r="436">
      <c r="E436" s="10" t="str">
        <f t="shared" si="1"/>
        <v/>
      </c>
    </row>
    <row r="437">
      <c r="E437" s="10" t="str">
        <f t="shared" si="1"/>
        <v/>
      </c>
    </row>
    <row r="438">
      <c r="E438" s="10" t="str">
        <f t="shared" si="1"/>
        <v/>
      </c>
    </row>
    <row r="439">
      <c r="E439" s="10" t="str">
        <f t="shared" si="1"/>
        <v/>
      </c>
    </row>
    <row r="440">
      <c r="E440" s="10" t="str">
        <f t="shared" si="1"/>
        <v/>
      </c>
    </row>
    <row r="441">
      <c r="E441" s="10" t="str">
        <f t="shared" si="1"/>
        <v/>
      </c>
    </row>
    <row r="442">
      <c r="E442" s="10" t="str">
        <f t="shared" si="1"/>
        <v/>
      </c>
    </row>
    <row r="443">
      <c r="E443" s="10" t="str">
        <f t="shared" si="1"/>
        <v/>
      </c>
    </row>
    <row r="444">
      <c r="E444" s="10" t="str">
        <f t="shared" si="1"/>
        <v/>
      </c>
    </row>
    <row r="445">
      <c r="E445" s="10" t="str">
        <f t="shared" si="1"/>
        <v/>
      </c>
    </row>
    <row r="446">
      <c r="E446" s="10" t="str">
        <f t="shared" si="1"/>
        <v/>
      </c>
    </row>
    <row r="447">
      <c r="E447" s="10" t="str">
        <f t="shared" si="1"/>
        <v/>
      </c>
    </row>
    <row r="448">
      <c r="E448" s="10" t="str">
        <f t="shared" si="1"/>
        <v/>
      </c>
    </row>
    <row r="449">
      <c r="E449" s="10" t="str">
        <f t="shared" si="1"/>
        <v/>
      </c>
    </row>
    <row r="450">
      <c r="E450" s="10" t="str">
        <f t="shared" si="1"/>
        <v/>
      </c>
    </row>
    <row r="451">
      <c r="E451" s="10" t="str">
        <f t="shared" si="1"/>
        <v/>
      </c>
    </row>
    <row r="452">
      <c r="E452" s="10" t="str">
        <f t="shared" si="1"/>
        <v/>
      </c>
    </row>
    <row r="453">
      <c r="E453" s="10" t="str">
        <f t="shared" si="1"/>
        <v/>
      </c>
    </row>
    <row r="454">
      <c r="E454" s="10" t="str">
        <f t="shared" si="1"/>
        <v/>
      </c>
    </row>
    <row r="455">
      <c r="E455" s="10" t="str">
        <f t="shared" si="1"/>
        <v/>
      </c>
    </row>
    <row r="456">
      <c r="E456" s="10" t="str">
        <f t="shared" si="1"/>
        <v/>
      </c>
    </row>
    <row r="457">
      <c r="E457" s="10" t="str">
        <f t="shared" si="1"/>
        <v/>
      </c>
    </row>
    <row r="458">
      <c r="E458" s="10" t="str">
        <f t="shared" si="1"/>
        <v/>
      </c>
    </row>
    <row r="459">
      <c r="E459" s="10" t="str">
        <f t="shared" si="1"/>
        <v/>
      </c>
    </row>
    <row r="460">
      <c r="E460" s="10" t="str">
        <f t="shared" si="1"/>
        <v/>
      </c>
    </row>
    <row r="461">
      <c r="E461" s="10" t="str">
        <f t="shared" si="1"/>
        <v/>
      </c>
    </row>
    <row r="462">
      <c r="E462" s="10" t="str">
        <f t="shared" si="1"/>
        <v/>
      </c>
    </row>
    <row r="463">
      <c r="E463" s="10" t="str">
        <f t="shared" si="1"/>
        <v/>
      </c>
    </row>
    <row r="464">
      <c r="E464" s="10" t="str">
        <f t="shared" si="1"/>
        <v/>
      </c>
    </row>
    <row r="465">
      <c r="E465" s="10" t="str">
        <f t="shared" si="1"/>
        <v/>
      </c>
    </row>
    <row r="466">
      <c r="E466" s="10" t="str">
        <f t="shared" si="1"/>
        <v/>
      </c>
    </row>
    <row r="467">
      <c r="E467" s="10" t="str">
        <f t="shared" si="1"/>
        <v/>
      </c>
    </row>
    <row r="468">
      <c r="E468" s="10" t="str">
        <f t="shared" si="1"/>
        <v/>
      </c>
    </row>
    <row r="469">
      <c r="E469" s="10" t="str">
        <f t="shared" si="1"/>
        <v/>
      </c>
    </row>
    <row r="470">
      <c r="E470" s="10" t="str">
        <f t="shared" si="1"/>
        <v/>
      </c>
    </row>
    <row r="471">
      <c r="E471" s="10" t="str">
        <f t="shared" si="1"/>
        <v/>
      </c>
    </row>
    <row r="472">
      <c r="E472" s="10" t="str">
        <f t="shared" si="1"/>
        <v/>
      </c>
    </row>
    <row r="473">
      <c r="E473" s="10" t="str">
        <f t="shared" si="1"/>
        <v/>
      </c>
    </row>
    <row r="474">
      <c r="E474" s="10" t="str">
        <f t="shared" si="1"/>
        <v/>
      </c>
    </row>
    <row r="475">
      <c r="E475" s="10" t="str">
        <f t="shared" si="1"/>
        <v/>
      </c>
    </row>
    <row r="476">
      <c r="E476" s="10" t="str">
        <f t="shared" si="1"/>
        <v/>
      </c>
    </row>
    <row r="477">
      <c r="E477" s="10" t="str">
        <f t="shared" si="1"/>
        <v/>
      </c>
    </row>
    <row r="478">
      <c r="E478" s="10" t="str">
        <f t="shared" si="1"/>
        <v/>
      </c>
    </row>
    <row r="479">
      <c r="E479" s="10" t="str">
        <f t="shared" si="1"/>
        <v/>
      </c>
    </row>
    <row r="480">
      <c r="E480" s="10" t="str">
        <f t="shared" si="1"/>
        <v/>
      </c>
    </row>
    <row r="481">
      <c r="E481" s="10" t="str">
        <f t="shared" si="1"/>
        <v/>
      </c>
    </row>
    <row r="482">
      <c r="E482" s="10" t="str">
        <f t="shared" si="1"/>
        <v/>
      </c>
    </row>
    <row r="483">
      <c r="E483" s="10" t="str">
        <f t="shared" si="1"/>
        <v/>
      </c>
    </row>
    <row r="484">
      <c r="E484" s="10" t="str">
        <f t="shared" si="1"/>
        <v/>
      </c>
    </row>
    <row r="485">
      <c r="E485" s="10" t="str">
        <f t="shared" si="1"/>
        <v/>
      </c>
    </row>
    <row r="486">
      <c r="E486" s="10" t="str">
        <f t="shared" si="1"/>
        <v/>
      </c>
    </row>
    <row r="487">
      <c r="E487" s="10" t="str">
        <f t="shared" si="1"/>
        <v/>
      </c>
    </row>
    <row r="488">
      <c r="E488" s="10" t="str">
        <f t="shared" si="1"/>
        <v/>
      </c>
    </row>
    <row r="489">
      <c r="E489" s="10" t="str">
        <f t="shared" si="1"/>
        <v/>
      </c>
    </row>
    <row r="490">
      <c r="E490" s="10" t="str">
        <f t="shared" si="1"/>
        <v/>
      </c>
    </row>
    <row r="491">
      <c r="E491" s="10" t="str">
        <f t="shared" si="1"/>
        <v/>
      </c>
    </row>
    <row r="492">
      <c r="E492" s="10" t="str">
        <f t="shared" si="1"/>
        <v/>
      </c>
    </row>
    <row r="493">
      <c r="E493" s="10" t="str">
        <f t="shared" si="1"/>
        <v/>
      </c>
    </row>
    <row r="494">
      <c r="E494" s="10" t="str">
        <f t="shared" si="1"/>
        <v/>
      </c>
    </row>
    <row r="495">
      <c r="E495" s="10" t="str">
        <f t="shared" si="1"/>
        <v/>
      </c>
    </row>
    <row r="496">
      <c r="E496" s="10" t="str">
        <f t="shared" si="1"/>
        <v/>
      </c>
    </row>
    <row r="497">
      <c r="E497" s="10" t="str">
        <f t="shared" si="1"/>
        <v/>
      </c>
    </row>
    <row r="498">
      <c r="E498" s="10" t="str">
        <f t="shared" si="1"/>
        <v/>
      </c>
    </row>
    <row r="499">
      <c r="E499" s="10" t="str">
        <f t="shared" si="1"/>
        <v/>
      </c>
    </row>
    <row r="500">
      <c r="E500" s="10" t="str">
        <f t="shared" si="1"/>
        <v/>
      </c>
    </row>
    <row r="501">
      <c r="E501" s="10" t="str">
        <f t="shared" si="1"/>
        <v/>
      </c>
    </row>
    <row r="502">
      <c r="E502" s="10" t="str">
        <f t="shared" si="1"/>
        <v/>
      </c>
    </row>
    <row r="503">
      <c r="E503" s="10" t="str">
        <f t="shared" si="1"/>
        <v/>
      </c>
    </row>
    <row r="504">
      <c r="E504" s="10" t="str">
        <f t="shared" si="1"/>
        <v/>
      </c>
    </row>
    <row r="505">
      <c r="E505" s="10" t="str">
        <f t="shared" si="1"/>
        <v/>
      </c>
    </row>
    <row r="506">
      <c r="E506" s="10" t="str">
        <f t="shared" si="1"/>
        <v/>
      </c>
    </row>
    <row r="507">
      <c r="E507" s="10" t="str">
        <f t="shared" si="1"/>
        <v/>
      </c>
    </row>
    <row r="508">
      <c r="E508" s="10" t="str">
        <f t="shared" si="1"/>
        <v/>
      </c>
    </row>
    <row r="509">
      <c r="E509" s="10" t="str">
        <f t="shared" si="1"/>
        <v/>
      </c>
    </row>
    <row r="510">
      <c r="E510" s="10" t="str">
        <f t="shared" si="1"/>
        <v/>
      </c>
    </row>
    <row r="511">
      <c r="E511" s="10" t="str">
        <f t="shared" si="1"/>
        <v/>
      </c>
    </row>
    <row r="512">
      <c r="E512" s="10" t="str">
        <f t="shared" si="1"/>
        <v/>
      </c>
    </row>
    <row r="513">
      <c r="E513" s="10" t="str">
        <f t="shared" si="1"/>
        <v/>
      </c>
    </row>
    <row r="514">
      <c r="E514" s="10" t="str">
        <f t="shared" si="1"/>
        <v/>
      </c>
    </row>
    <row r="515">
      <c r="E515" s="10" t="str">
        <f t="shared" si="1"/>
        <v/>
      </c>
    </row>
    <row r="516">
      <c r="E516" s="10" t="str">
        <f t="shared" si="1"/>
        <v/>
      </c>
    </row>
    <row r="517">
      <c r="E517" s="10" t="str">
        <f t="shared" si="1"/>
        <v/>
      </c>
    </row>
    <row r="518">
      <c r="E518" s="10" t="str">
        <f t="shared" si="1"/>
        <v/>
      </c>
    </row>
    <row r="519">
      <c r="E519" s="10" t="str">
        <f t="shared" si="1"/>
        <v/>
      </c>
    </row>
    <row r="520">
      <c r="E520" s="10" t="str">
        <f t="shared" si="1"/>
        <v/>
      </c>
    </row>
    <row r="521">
      <c r="E521" s="10" t="str">
        <f t="shared" si="1"/>
        <v/>
      </c>
    </row>
    <row r="522">
      <c r="E522" s="10" t="str">
        <f t="shared" si="1"/>
        <v/>
      </c>
    </row>
    <row r="523">
      <c r="E523" s="10" t="str">
        <f t="shared" si="1"/>
        <v/>
      </c>
    </row>
    <row r="524">
      <c r="E524" s="10" t="str">
        <f t="shared" si="1"/>
        <v/>
      </c>
    </row>
    <row r="525">
      <c r="E525" s="10" t="str">
        <f t="shared" si="1"/>
        <v/>
      </c>
    </row>
    <row r="526">
      <c r="E526" s="10" t="str">
        <f t="shared" si="1"/>
        <v/>
      </c>
    </row>
    <row r="527">
      <c r="E527" s="10" t="str">
        <f t="shared" si="1"/>
        <v/>
      </c>
    </row>
    <row r="528">
      <c r="E528" s="10" t="str">
        <f t="shared" si="1"/>
        <v/>
      </c>
    </row>
    <row r="529">
      <c r="E529" s="10" t="str">
        <f t="shared" si="1"/>
        <v/>
      </c>
    </row>
    <row r="530">
      <c r="E530" s="10" t="str">
        <f t="shared" si="1"/>
        <v/>
      </c>
    </row>
    <row r="531">
      <c r="E531" s="10" t="str">
        <f t="shared" si="1"/>
        <v/>
      </c>
    </row>
    <row r="532">
      <c r="E532" s="10" t="str">
        <f t="shared" si="1"/>
        <v/>
      </c>
    </row>
    <row r="533">
      <c r="E533" s="10" t="str">
        <f t="shared" si="1"/>
        <v/>
      </c>
    </row>
    <row r="534">
      <c r="E534" s="10" t="str">
        <f t="shared" si="1"/>
        <v/>
      </c>
    </row>
    <row r="535">
      <c r="E535" s="10" t="str">
        <f t="shared" si="1"/>
        <v/>
      </c>
    </row>
    <row r="536">
      <c r="E536" s="10" t="str">
        <f t="shared" si="1"/>
        <v/>
      </c>
    </row>
    <row r="537">
      <c r="E537" s="10" t="str">
        <f t="shared" si="1"/>
        <v/>
      </c>
    </row>
    <row r="538">
      <c r="E538" s="10" t="str">
        <f t="shared" si="1"/>
        <v/>
      </c>
    </row>
    <row r="539">
      <c r="E539" s="10" t="str">
        <f t="shared" si="1"/>
        <v/>
      </c>
    </row>
    <row r="540">
      <c r="E540" s="10" t="str">
        <f t="shared" si="1"/>
        <v/>
      </c>
    </row>
    <row r="541">
      <c r="E541" s="10" t="str">
        <f t="shared" si="1"/>
        <v/>
      </c>
    </row>
    <row r="542">
      <c r="E542" s="10" t="str">
        <f t="shared" si="1"/>
        <v/>
      </c>
    </row>
    <row r="543">
      <c r="E543" s="10" t="str">
        <f t="shared" si="1"/>
        <v/>
      </c>
    </row>
    <row r="544">
      <c r="E544" s="10" t="str">
        <f t="shared" si="1"/>
        <v/>
      </c>
    </row>
    <row r="545">
      <c r="E545" s="10" t="str">
        <f t="shared" si="1"/>
        <v/>
      </c>
    </row>
    <row r="546">
      <c r="E546" s="10" t="str">
        <f t="shared" si="1"/>
        <v/>
      </c>
    </row>
    <row r="547">
      <c r="E547" s="10" t="str">
        <f t="shared" si="1"/>
        <v/>
      </c>
    </row>
    <row r="548">
      <c r="E548" s="10" t="str">
        <f t="shared" si="1"/>
        <v/>
      </c>
    </row>
    <row r="549">
      <c r="E549" s="10" t="str">
        <f t="shared" si="1"/>
        <v/>
      </c>
    </row>
    <row r="550">
      <c r="E550" s="10" t="str">
        <f t="shared" si="1"/>
        <v/>
      </c>
    </row>
    <row r="551">
      <c r="E551" s="10" t="str">
        <f t="shared" si="1"/>
        <v/>
      </c>
    </row>
    <row r="552">
      <c r="E552" s="10" t="str">
        <f t="shared" si="1"/>
        <v/>
      </c>
    </row>
    <row r="553">
      <c r="E553" s="10" t="str">
        <f t="shared" si="1"/>
        <v/>
      </c>
    </row>
    <row r="554">
      <c r="E554" s="10" t="str">
        <f t="shared" si="1"/>
        <v/>
      </c>
    </row>
    <row r="555">
      <c r="E555" s="10" t="str">
        <f t="shared" si="1"/>
        <v/>
      </c>
    </row>
    <row r="556">
      <c r="E556" s="10" t="str">
        <f t="shared" si="1"/>
        <v/>
      </c>
    </row>
    <row r="557">
      <c r="E557" s="10" t="str">
        <f t="shared" si="1"/>
        <v/>
      </c>
    </row>
    <row r="558">
      <c r="E558" s="10" t="str">
        <f t="shared" si="1"/>
        <v/>
      </c>
    </row>
    <row r="559">
      <c r="E559" s="10" t="str">
        <f t="shared" si="1"/>
        <v/>
      </c>
    </row>
    <row r="560">
      <c r="E560" s="10" t="str">
        <f t="shared" si="1"/>
        <v/>
      </c>
    </row>
    <row r="561">
      <c r="E561" s="10" t="str">
        <f t="shared" si="1"/>
        <v/>
      </c>
    </row>
    <row r="562">
      <c r="E562" s="10" t="str">
        <f t="shared" si="1"/>
        <v/>
      </c>
    </row>
    <row r="563">
      <c r="E563" s="10" t="str">
        <f t="shared" si="1"/>
        <v/>
      </c>
    </row>
    <row r="564">
      <c r="E564" s="10" t="str">
        <f t="shared" si="1"/>
        <v/>
      </c>
    </row>
    <row r="565">
      <c r="E565" s="10" t="str">
        <f t="shared" si="1"/>
        <v/>
      </c>
    </row>
    <row r="566">
      <c r="E566" s="10" t="str">
        <f t="shared" si="1"/>
        <v/>
      </c>
    </row>
    <row r="567">
      <c r="E567" s="10" t="str">
        <f t="shared" si="1"/>
        <v/>
      </c>
    </row>
    <row r="568">
      <c r="E568" s="10" t="str">
        <f t="shared" si="1"/>
        <v/>
      </c>
    </row>
    <row r="569">
      <c r="E569" s="10" t="str">
        <f t="shared" si="1"/>
        <v/>
      </c>
    </row>
    <row r="570">
      <c r="E570" s="10" t="str">
        <f t="shared" si="1"/>
        <v/>
      </c>
    </row>
    <row r="571">
      <c r="E571" s="10" t="str">
        <f t="shared" si="1"/>
        <v/>
      </c>
    </row>
    <row r="572">
      <c r="E572" s="10" t="str">
        <f t="shared" si="1"/>
        <v/>
      </c>
    </row>
    <row r="573">
      <c r="E573" s="10" t="str">
        <f t="shared" si="1"/>
        <v/>
      </c>
    </row>
    <row r="574">
      <c r="E574" s="10" t="str">
        <f t="shared" si="1"/>
        <v/>
      </c>
    </row>
    <row r="575">
      <c r="E575" s="10" t="str">
        <f t="shared" si="1"/>
        <v/>
      </c>
    </row>
    <row r="576">
      <c r="E576" s="10" t="str">
        <f t="shared" si="1"/>
        <v/>
      </c>
    </row>
    <row r="577">
      <c r="E577" s="10" t="str">
        <f t="shared" si="1"/>
        <v/>
      </c>
    </row>
    <row r="578">
      <c r="E578" s="10" t="str">
        <f t="shared" si="1"/>
        <v/>
      </c>
    </row>
    <row r="579">
      <c r="E579" s="10" t="str">
        <f t="shared" si="1"/>
        <v/>
      </c>
    </row>
    <row r="580">
      <c r="E580" s="10" t="str">
        <f t="shared" si="1"/>
        <v/>
      </c>
    </row>
    <row r="581">
      <c r="E581" s="10" t="str">
        <f t="shared" si="1"/>
        <v/>
      </c>
    </row>
    <row r="582">
      <c r="E582" s="10" t="str">
        <f t="shared" si="1"/>
        <v/>
      </c>
    </row>
    <row r="583">
      <c r="E583" s="10" t="str">
        <f t="shared" si="1"/>
        <v/>
      </c>
    </row>
    <row r="584">
      <c r="E584" s="10" t="str">
        <f t="shared" si="1"/>
        <v/>
      </c>
    </row>
    <row r="585">
      <c r="E585" s="10" t="str">
        <f t="shared" si="1"/>
        <v/>
      </c>
    </row>
    <row r="586">
      <c r="E586" s="10" t="str">
        <f t="shared" si="1"/>
        <v/>
      </c>
    </row>
    <row r="587">
      <c r="E587" s="10" t="str">
        <f t="shared" si="1"/>
        <v/>
      </c>
    </row>
    <row r="588">
      <c r="E588" s="10" t="str">
        <f t="shared" si="1"/>
        <v/>
      </c>
    </row>
    <row r="589">
      <c r="E589" s="10" t="str">
        <f t="shared" si="1"/>
        <v/>
      </c>
    </row>
    <row r="590">
      <c r="E590" s="10" t="str">
        <f t="shared" si="1"/>
        <v/>
      </c>
    </row>
    <row r="591">
      <c r="E591" s="10" t="str">
        <f t="shared" si="1"/>
        <v/>
      </c>
    </row>
    <row r="592">
      <c r="E592" s="10" t="str">
        <f t="shared" si="1"/>
        <v/>
      </c>
    </row>
    <row r="593">
      <c r="E593" s="10" t="str">
        <f t="shared" si="1"/>
        <v/>
      </c>
    </row>
    <row r="594">
      <c r="E594" s="10" t="str">
        <f t="shared" si="1"/>
        <v/>
      </c>
    </row>
    <row r="595">
      <c r="E595" s="10" t="str">
        <f t="shared" si="1"/>
        <v/>
      </c>
    </row>
    <row r="596">
      <c r="E596" s="10" t="str">
        <f t="shared" si="1"/>
        <v/>
      </c>
    </row>
    <row r="597">
      <c r="E597" s="10" t="str">
        <f t="shared" si="1"/>
        <v/>
      </c>
    </row>
    <row r="598">
      <c r="E598" s="10" t="str">
        <f t="shared" si="1"/>
        <v/>
      </c>
    </row>
    <row r="599">
      <c r="E599" s="10" t="str">
        <f t="shared" si="1"/>
        <v/>
      </c>
    </row>
    <row r="600">
      <c r="E600" s="10" t="str">
        <f t="shared" si="1"/>
        <v/>
      </c>
    </row>
    <row r="601">
      <c r="E601" s="10" t="str">
        <f t="shared" si="1"/>
        <v/>
      </c>
    </row>
    <row r="602">
      <c r="E602" s="10" t="str">
        <f t="shared" si="1"/>
        <v/>
      </c>
    </row>
    <row r="603">
      <c r="E603" s="10" t="str">
        <f t="shared" si="1"/>
        <v/>
      </c>
    </row>
    <row r="604">
      <c r="E604" s="10" t="str">
        <f t="shared" si="1"/>
        <v/>
      </c>
    </row>
    <row r="605">
      <c r="E605" s="10" t="str">
        <f t="shared" si="1"/>
        <v/>
      </c>
    </row>
    <row r="606">
      <c r="E606" s="10" t="str">
        <f t="shared" si="1"/>
        <v/>
      </c>
    </row>
    <row r="607">
      <c r="E607" s="10" t="str">
        <f t="shared" si="1"/>
        <v/>
      </c>
    </row>
    <row r="608">
      <c r="E608" s="10" t="str">
        <f t="shared" si="1"/>
        <v/>
      </c>
    </row>
    <row r="609">
      <c r="E609" s="10" t="str">
        <f t="shared" si="1"/>
        <v/>
      </c>
    </row>
    <row r="610">
      <c r="E610" s="10" t="str">
        <f t="shared" si="1"/>
        <v/>
      </c>
    </row>
    <row r="611">
      <c r="E611" s="10" t="str">
        <f t="shared" si="1"/>
        <v/>
      </c>
    </row>
    <row r="612">
      <c r="E612" s="10" t="str">
        <f t="shared" si="1"/>
        <v/>
      </c>
    </row>
    <row r="613">
      <c r="E613" s="10" t="str">
        <f t="shared" si="1"/>
        <v/>
      </c>
    </row>
    <row r="614">
      <c r="E614" s="10" t="str">
        <f t="shared" si="1"/>
        <v/>
      </c>
    </row>
    <row r="615">
      <c r="E615" s="10" t="str">
        <f t="shared" si="1"/>
        <v/>
      </c>
    </row>
    <row r="616">
      <c r="E616" s="10" t="str">
        <f t="shared" si="1"/>
        <v/>
      </c>
    </row>
    <row r="617">
      <c r="E617" s="10" t="str">
        <f t="shared" si="1"/>
        <v/>
      </c>
    </row>
    <row r="618">
      <c r="E618" s="10" t="str">
        <f t="shared" si="1"/>
        <v/>
      </c>
    </row>
    <row r="619">
      <c r="E619" s="10" t="str">
        <f t="shared" si="1"/>
        <v/>
      </c>
    </row>
    <row r="620">
      <c r="E620" s="10" t="str">
        <f t="shared" si="1"/>
        <v/>
      </c>
    </row>
    <row r="621">
      <c r="E621" s="10" t="str">
        <f t="shared" si="1"/>
        <v/>
      </c>
    </row>
    <row r="622">
      <c r="E622" s="10" t="str">
        <f t="shared" si="1"/>
        <v/>
      </c>
    </row>
    <row r="623">
      <c r="E623" s="10" t="str">
        <f t="shared" si="1"/>
        <v/>
      </c>
    </row>
    <row r="624">
      <c r="E624" s="10" t="str">
        <f t="shared" si="1"/>
        <v/>
      </c>
    </row>
    <row r="625">
      <c r="E625" s="10" t="str">
        <f t="shared" si="1"/>
        <v/>
      </c>
    </row>
    <row r="626">
      <c r="E626" s="10" t="str">
        <f t="shared" si="1"/>
        <v/>
      </c>
    </row>
    <row r="627">
      <c r="E627" s="10" t="str">
        <f t="shared" si="1"/>
        <v/>
      </c>
    </row>
    <row r="628">
      <c r="E628" s="10" t="str">
        <f t="shared" si="1"/>
        <v/>
      </c>
    </row>
    <row r="629">
      <c r="E629" s="10" t="str">
        <f t="shared" si="1"/>
        <v/>
      </c>
    </row>
    <row r="630">
      <c r="E630" s="10" t="str">
        <f t="shared" si="1"/>
        <v/>
      </c>
    </row>
    <row r="631">
      <c r="E631" s="10" t="str">
        <f t="shared" si="1"/>
        <v/>
      </c>
    </row>
    <row r="632">
      <c r="E632" s="10" t="str">
        <f t="shared" si="1"/>
        <v/>
      </c>
    </row>
    <row r="633">
      <c r="E633" s="10" t="str">
        <f t="shared" si="1"/>
        <v/>
      </c>
    </row>
    <row r="634">
      <c r="E634" s="10" t="str">
        <f t="shared" si="1"/>
        <v/>
      </c>
    </row>
    <row r="635">
      <c r="E635" s="10" t="str">
        <f t="shared" si="1"/>
        <v/>
      </c>
    </row>
    <row r="636">
      <c r="E636" s="10" t="str">
        <f t="shared" si="1"/>
        <v/>
      </c>
    </row>
    <row r="637">
      <c r="E637" s="10" t="str">
        <f t="shared" si="1"/>
        <v/>
      </c>
    </row>
    <row r="638">
      <c r="E638" s="10" t="str">
        <f t="shared" si="1"/>
        <v/>
      </c>
    </row>
    <row r="639">
      <c r="E639" s="10" t="str">
        <f t="shared" si="1"/>
        <v/>
      </c>
    </row>
    <row r="640">
      <c r="E640" s="10" t="str">
        <f t="shared" si="1"/>
        <v/>
      </c>
    </row>
    <row r="641">
      <c r="E641" s="10" t="str">
        <f t="shared" si="1"/>
        <v/>
      </c>
    </row>
    <row r="642">
      <c r="E642" s="10" t="str">
        <f t="shared" si="1"/>
        <v/>
      </c>
    </row>
    <row r="643">
      <c r="E643" s="10" t="str">
        <f t="shared" si="1"/>
        <v/>
      </c>
    </row>
    <row r="644">
      <c r="E644" s="10" t="str">
        <f t="shared" si="1"/>
        <v/>
      </c>
    </row>
    <row r="645">
      <c r="E645" s="10" t="str">
        <f t="shared" si="1"/>
        <v/>
      </c>
    </row>
    <row r="646">
      <c r="E646" s="10" t="str">
        <f t="shared" si="1"/>
        <v/>
      </c>
    </row>
    <row r="647">
      <c r="E647" s="10" t="str">
        <f t="shared" si="1"/>
        <v/>
      </c>
    </row>
    <row r="648">
      <c r="E648" s="10" t="str">
        <f t="shared" si="1"/>
        <v/>
      </c>
    </row>
    <row r="649">
      <c r="E649" s="10" t="str">
        <f t="shared" si="1"/>
        <v/>
      </c>
    </row>
    <row r="650">
      <c r="E650" s="10" t="str">
        <f t="shared" si="1"/>
        <v/>
      </c>
    </row>
    <row r="651">
      <c r="E651" s="10" t="str">
        <f t="shared" si="1"/>
        <v/>
      </c>
    </row>
    <row r="652">
      <c r="E652" s="10" t="str">
        <f t="shared" si="1"/>
        <v/>
      </c>
    </row>
    <row r="653">
      <c r="E653" s="10" t="str">
        <f t="shared" si="1"/>
        <v/>
      </c>
    </row>
    <row r="654">
      <c r="E654" s="10" t="str">
        <f t="shared" si="1"/>
        <v/>
      </c>
    </row>
    <row r="655">
      <c r="E655" s="10" t="str">
        <f t="shared" si="1"/>
        <v/>
      </c>
    </row>
    <row r="656">
      <c r="E656" s="10" t="str">
        <f t="shared" si="1"/>
        <v/>
      </c>
    </row>
    <row r="657">
      <c r="E657" s="10" t="str">
        <f t="shared" si="1"/>
        <v/>
      </c>
    </row>
    <row r="658">
      <c r="E658" s="10" t="str">
        <f t="shared" si="1"/>
        <v/>
      </c>
    </row>
    <row r="659">
      <c r="E659" s="10" t="str">
        <f t="shared" si="1"/>
        <v/>
      </c>
    </row>
    <row r="660">
      <c r="E660" s="10" t="str">
        <f t="shared" si="1"/>
        <v/>
      </c>
    </row>
    <row r="661">
      <c r="E661" s="10" t="str">
        <f t="shared" si="1"/>
        <v/>
      </c>
    </row>
    <row r="662">
      <c r="E662" s="10" t="str">
        <f t="shared" si="1"/>
        <v/>
      </c>
    </row>
    <row r="663">
      <c r="E663" s="10" t="str">
        <f t="shared" si="1"/>
        <v/>
      </c>
    </row>
    <row r="664">
      <c r="E664" s="10" t="str">
        <f t="shared" si="1"/>
        <v/>
      </c>
    </row>
    <row r="665">
      <c r="E665" s="10" t="str">
        <f t="shared" si="1"/>
        <v/>
      </c>
    </row>
    <row r="666">
      <c r="E666" s="10" t="str">
        <f t="shared" si="1"/>
        <v/>
      </c>
    </row>
    <row r="667">
      <c r="E667" s="10" t="str">
        <f t="shared" si="1"/>
        <v/>
      </c>
    </row>
    <row r="668">
      <c r="E668" s="10" t="str">
        <f t="shared" si="1"/>
        <v/>
      </c>
    </row>
    <row r="669">
      <c r="E669" s="10" t="str">
        <f t="shared" si="1"/>
        <v/>
      </c>
    </row>
    <row r="670">
      <c r="E670" s="10" t="str">
        <f t="shared" si="1"/>
        <v/>
      </c>
    </row>
    <row r="671">
      <c r="E671" s="10" t="str">
        <f t="shared" si="1"/>
        <v/>
      </c>
    </row>
    <row r="672">
      <c r="E672" s="10" t="str">
        <f t="shared" si="1"/>
        <v/>
      </c>
    </row>
    <row r="673">
      <c r="E673" s="10" t="str">
        <f t="shared" si="1"/>
        <v/>
      </c>
    </row>
    <row r="674">
      <c r="E674" s="10" t="str">
        <f t="shared" si="1"/>
        <v/>
      </c>
    </row>
    <row r="675">
      <c r="E675" s="10" t="str">
        <f t="shared" si="1"/>
        <v/>
      </c>
    </row>
    <row r="676">
      <c r="E676" s="10" t="str">
        <f t="shared" si="1"/>
        <v/>
      </c>
    </row>
    <row r="677">
      <c r="E677" s="10" t="str">
        <f t="shared" si="1"/>
        <v/>
      </c>
    </row>
    <row r="678">
      <c r="E678" s="10" t="str">
        <f t="shared" si="1"/>
        <v/>
      </c>
    </row>
    <row r="679">
      <c r="E679" s="10" t="str">
        <f t="shared" si="1"/>
        <v/>
      </c>
    </row>
    <row r="680">
      <c r="E680" s="10" t="str">
        <f t="shared" si="1"/>
        <v/>
      </c>
    </row>
    <row r="681">
      <c r="E681" s="10" t="str">
        <f t="shared" si="1"/>
        <v/>
      </c>
    </row>
    <row r="682">
      <c r="E682" s="10" t="str">
        <f t="shared" si="1"/>
        <v/>
      </c>
    </row>
    <row r="683">
      <c r="E683" s="10" t="str">
        <f t="shared" si="1"/>
        <v/>
      </c>
    </row>
    <row r="684">
      <c r="E684" s="10" t="str">
        <f t="shared" si="1"/>
        <v/>
      </c>
    </row>
    <row r="685">
      <c r="E685" s="10" t="str">
        <f t="shared" si="1"/>
        <v/>
      </c>
    </row>
    <row r="686">
      <c r="E686" s="10" t="str">
        <f t="shared" si="1"/>
        <v/>
      </c>
    </row>
    <row r="687">
      <c r="E687" s="10" t="str">
        <f t="shared" si="1"/>
        <v/>
      </c>
    </row>
    <row r="688">
      <c r="E688" s="10" t="str">
        <f t="shared" si="1"/>
        <v/>
      </c>
    </row>
    <row r="689">
      <c r="E689" s="10" t="str">
        <f t="shared" si="1"/>
        <v/>
      </c>
    </row>
    <row r="690">
      <c r="E690" s="10" t="str">
        <f t="shared" si="1"/>
        <v/>
      </c>
    </row>
    <row r="691">
      <c r="E691" s="10" t="str">
        <f t="shared" si="1"/>
        <v/>
      </c>
    </row>
    <row r="692">
      <c r="E692" s="10" t="str">
        <f t="shared" si="1"/>
        <v/>
      </c>
    </row>
    <row r="693">
      <c r="E693" s="10" t="str">
        <f t="shared" si="1"/>
        <v/>
      </c>
    </row>
    <row r="694">
      <c r="E694" s="10" t="str">
        <f t="shared" si="1"/>
        <v/>
      </c>
    </row>
    <row r="695">
      <c r="E695" s="10" t="str">
        <f t="shared" si="1"/>
        <v/>
      </c>
    </row>
    <row r="696">
      <c r="E696" s="10" t="str">
        <f t="shared" si="1"/>
        <v/>
      </c>
    </row>
    <row r="697">
      <c r="E697" s="10" t="str">
        <f t="shared" si="1"/>
        <v/>
      </c>
    </row>
    <row r="698">
      <c r="E698" s="10" t="str">
        <f t="shared" si="1"/>
        <v/>
      </c>
    </row>
    <row r="699">
      <c r="E699" s="10" t="str">
        <f t="shared" si="1"/>
        <v/>
      </c>
    </row>
    <row r="700">
      <c r="E700" s="10" t="str">
        <f t="shared" si="1"/>
        <v/>
      </c>
    </row>
    <row r="701">
      <c r="E701" s="10" t="str">
        <f t="shared" si="1"/>
        <v/>
      </c>
    </row>
    <row r="702">
      <c r="E702" s="10" t="str">
        <f t="shared" si="1"/>
        <v/>
      </c>
    </row>
    <row r="703">
      <c r="E703" s="10" t="str">
        <f t="shared" si="1"/>
        <v/>
      </c>
    </row>
    <row r="704">
      <c r="E704" s="10" t="str">
        <f t="shared" si="1"/>
        <v/>
      </c>
    </row>
    <row r="705">
      <c r="E705" s="10" t="str">
        <f t="shared" si="1"/>
        <v/>
      </c>
    </row>
    <row r="706">
      <c r="E706" s="10" t="str">
        <f t="shared" si="1"/>
        <v/>
      </c>
    </row>
    <row r="707">
      <c r="E707" s="10" t="str">
        <f t="shared" si="1"/>
        <v/>
      </c>
    </row>
    <row r="708">
      <c r="E708" s="10" t="str">
        <f t="shared" si="1"/>
        <v/>
      </c>
    </row>
    <row r="709">
      <c r="E709" s="10" t="str">
        <f t="shared" si="1"/>
        <v/>
      </c>
    </row>
    <row r="710">
      <c r="E710" s="10" t="str">
        <f t="shared" si="1"/>
        <v/>
      </c>
    </row>
    <row r="711">
      <c r="E711" s="10" t="str">
        <f t="shared" si="1"/>
        <v/>
      </c>
    </row>
    <row r="712">
      <c r="E712" s="10" t="str">
        <f t="shared" si="1"/>
        <v/>
      </c>
    </row>
    <row r="713">
      <c r="E713" s="10" t="str">
        <f t="shared" si="1"/>
        <v/>
      </c>
    </row>
    <row r="714">
      <c r="E714" s="10" t="str">
        <f t="shared" si="1"/>
        <v/>
      </c>
    </row>
    <row r="715">
      <c r="E715" s="10" t="str">
        <f t="shared" si="1"/>
        <v/>
      </c>
    </row>
    <row r="716">
      <c r="E716" s="10" t="str">
        <f t="shared" si="1"/>
        <v/>
      </c>
    </row>
    <row r="717">
      <c r="E717" s="10" t="str">
        <f t="shared" si="1"/>
        <v/>
      </c>
    </row>
    <row r="718">
      <c r="E718" s="10" t="str">
        <f t="shared" si="1"/>
        <v/>
      </c>
    </row>
    <row r="719">
      <c r="E719" s="10" t="str">
        <f t="shared" si="1"/>
        <v/>
      </c>
    </row>
    <row r="720">
      <c r="E720" s="10" t="str">
        <f t="shared" si="1"/>
        <v/>
      </c>
    </row>
    <row r="721">
      <c r="E721" s="10" t="str">
        <f t="shared" si="1"/>
        <v/>
      </c>
    </row>
    <row r="722">
      <c r="E722" s="10" t="str">
        <f t="shared" si="1"/>
        <v/>
      </c>
    </row>
    <row r="723">
      <c r="E723" s="10" t="str">
        <f t="shared" si="1"/>
        <v/>
      </c>
    </row>
    <row r="724">
      <c r="E724" s="10" t="str">
        <f t="shared" si="1"/>
        <v/>
      </c>
    </row>
    <row r="725">
      <c r="E725" s="10" t="str">
        <f t="shared" si="1"/>
        <v/>
      </c>
    </row>
    <row r="726">
      <c r="E726" s="10" t="str">
        <f t="shared" si="1"/>
        <v/>
      </c>
    </row>
    <row r="727">
      <c r="E727" s="10" t="str">
        <f t="shared" si="1"/>
        <v/>
      </c>
    </row>
    <row r="728">
      <c r="E728" s="10" t="str">
        <f t="shared" si="1"/>
        <v/>
      </c>
    </row>
    <row r="729">
      <c r="E729" s="10" t="str">
        <f t="shared" si="1"/>
        <v/>
      </c>
    </row>
    <row r="730">
      <c r="E730" s="10" t="str">
        <f t="shared" si="1"/>
        <v/>
      </c>
    </row>
    <row r="731">
      <c r="E731" s="10" t="str">
        <f t="shared" si="1"/>
        <v/>
      </c>
    </row>
    <row r="732">
      <c r="E732" s="10" t="str">
        <f t="shared" si="1"/>
        <v/>
      </c>
    </row>
    <row r="733">
      <c r="E733" s="10" t="str">
        <f t="shared" si="1"/>
        <v/>
      </c>
    </row>
    <row r="734">
      <c r="E734" s="10" t="str">
        <f t="shared" si="1"/>
        <v/>
      </c>
    </row>
    <row r="735">
      <c r="E735" s="10" t="str">
        <f t="shared" si="1"/>
        <v/>
      </c>
    </row>
    <row r="736">
      <c r="E736" s="10" t="str">
        <f t="shared" si="1"/>
        <v/>
      </c>
    </row>
    <row r="737">
      <c r="E737" s="10" t="str">
        <f t="shared" si="1"/>
        <v/>
      </c>
    </row>
    <row r="738">
      <c r="E738" s="10" t="str">
        <f t="shared" si="1"/>
        <v/>
      </c>
    </row>
    <row r="739">
      <c r="E739" s="10" t="str">
        <f t="shared" si="1"/>
        <v/>
      </c>
    </row>
    <row r="740">
      <c r="E740" s="10" t="str">
        <f t="shared" si="1"/>
        <v/>
      </c>
    </row>
    <row r="741">
      <c r="E741" s="10" t="str">
        <f t="shared" si="1"/>
        <v/>
      </c>
    </row>
    <row r="742">
      <c r="E742" s="10" t="str">
        <f t="shared" si="1"/>
        <v/>
      </c>
    </row>
    <row r="743">
      <c r="E743" s="10" t="str">
        <f t="shared" si="1"/>
        <v/>
      </c>
    </row>
    <row r="744">
      <c r="E744" s="10" t="str">
        <f t="shared" si="1"/>
        <v/>
      </c>
    </row>
    <row r="745">
      <c r="E745" s="10" t="str">
        <f t="shared" si="1"/>
        <v/>
      </c>
    </row>
    <row r="746">
      <c r="E746" s="10" t="str">
        <f t="shared" si="1"/>
        <v/>
      </c>
    </row>
    <row r="747">
      <c r="E747" s="10" t="str">
        <f t="shared" si="1"/>
        <v/>
      </c>
    </row>
    <row r="748">
      <c r="E748" s="10" t="str">
        <f t="shared" si="1"/>
        <v/>
      </c>
    </row>
    <row r="749">
      <c r="E749" s="10" t="str">
        <f t="shared" si="1"/>
        <v/>
      </c>
    </row>
    <row r="750">
      <c r="E750" s="10" t="str">
        <f t="shared" si="1"/>
        <v/>
      </c>
    </row>
    <row r="751">
      <c r="E751" s="10" t="str">
        <f t="shared" si="1"/>
        <v/>
      </c>
    </row>
    <row r="752">
      <c r="E752" s="10" t="str">
        <f t="shared" si="1"/>
        <v/>
      </c>
    </row>
    <row r="753">
      <c r="E753" s="10" t="str">
        <f t="shared" si="1"/>
        <v/>
      </c>
    </row>
    <row r="754">
      <c r="E754" s="10" t="str">
        <f t="shared" si="1"/>
        <v/>
      </c>
    </row>
    <row r="755">
      <c r="E755" s="10" t="str">
        <f t="shared" si="1"/>
        <v/>
      </c>
    </row>
    <row r="756">
      <c r="E756" s="10" t="str">
        <f t="shared" si="1"/>
        <v/>
      </c>
    </row>
    <row r="757">
      <c r="E757" s="10" t="str">
        <f t="shared" si="1"/>
        <v/>
      </c>
    </row>
    <row r="758">
      <c r="E758" s="10" t="str">
        <f t="shared" si="1"/>
        <v/>
      </c>
    </row>
    <row r="759">
      <c r="E759" s="10" t="str">
        <f t="shared" si="1"/>
        <v/>
      </c>
    </row>
    <row r="760">
      <c r="E760" s="10" t="str">
        <f t="shared" si="1"/>
        <v/>
      </c>
    </row>
    <row r="761">
      <c r="E761" s="10" t="str">
        <f t="shared" si="1"/>
        <v/>
      </c>
    </row>
    <row r="762">
      <c r="E762" s="10" t="str">
        <f t="shared" si="1"/>
        <v/>
      </c>
    </row>
    <row r="763">
      <c r="E763" s="10" t="str">
        <f t="shared" si="1"/>
        <v/>
      </c>
    </row>
    <row r="764">
      <c r="E764" s="10" t="str">
        <f t="shared" si="1"/>
        <v/>
      </c>
    </row>
    <row r="765">
      <c r="E765" s="10" t="str">
        <f t="shared" si="1"/>
        <v/>
      </c>
    </row>
    <row r="766">
      <c r="E766" s="10" t="str">
        <f t="shared" si="1"/>
        <v/>
      </c>
    </row>
    <row r="767">
      <c r="E767" s="10" t="str">
        <f t="shared" si="1"/>
        <v/>
      </c>
    </row>
    <row r="768">
      <c r="E768" s="10" t="str">
        <f t="shared" si="1"/>
        <v/>
      </c>
    </row>
    <row r="769">
      <c r="E769" s="10" t="str">
        <f t="shared" si="1"/>
        <v/>
      </c>
    </row>
    <row r="770">
      <c r="E770" s="10" t="str">
        <f t="shared" si="1"/>
        <v/>
      </c>
    </row>
    <row r="771">
      <c r="E771" s="10" t="str">
        <f t="shared" si="1"/>
        <v/>
      </c>
    </row>
    <row r="772">
      <c r="E772" s="10" t="str">
        <f t="shared" si="1"/>
        <v/>
      </c>
    </row>
    <row r="773">
      <c r="E773" s="10" t="str">
        <f t="shared" si="1"/>
        <v/>
      </c>
    </row>
    <row r="774">
      <c r="E774" s="10" t="str">
        <f t="shared" si="1"/>
        <v/>
      </c>
    </row>
    <row r="775">
      <c r="E775" s="10" t="str">
        <f t="shared" si="1"/>
        <v/>
      </c>
    </row>
    <row r="776">
      <c r="E776" s="10" t="str">
        <f t="shared" si="1"/>
        <v/>
      </c>
    </row>
    <row r="777">
      <c r="E777" s="10" t="str">
        <f t="shared" si="1"/>
        <v/>
      </c>
    </row>
    <row r="778">
      <c r="E778" s="10" t="str">
        <f t="shared" si="1"/>
        <v/>
      </c>
    </row>
    <row r="779">
      <c r="E779" s="10" t="str">
        <f t="shared" si="1"/>
        <v/>
      </c>
    </row>
    <row r="780">
      <c r="E780" s="10" t="str">
        <f t="shared" si="1"/>
        <v/>
      </c>
    </row>
    <row r="781">
      <c r="E781" s="10" t="str">
        <f t="shared" si="1"/>
        <v/>
      </c>
    </row>
    <row r="782">
      <c r="E782" s="10" t="str">
        <f t="shared" si="1"/>
        <v/>
      </c>
    </row>
    <row r="783">
      <c r="E783" s="10" t="str">
        <f t="shared" si="1"/>
        <v/>
      </c>
    </row>
    <row r="784">
      <c r="E784" s="10" t="str">
        <f t="shared" si="1"/>
        <v/>
      </c>
    </row>
    <row r="785">
      <c r="E785" s="10" t="str">
        <f t="shared" si="1"/>
        <v/>
      </c>
    </row>
    <row r="786">
      <c r="E786" s="10" t="str">
        <f t="shared" si="1"/>
        <v/>
      </c>
    </row>
    <row r="787">
      <c r="E787" s="10" t="str">
        <f t="shared" si="1"/>
        <v/>
      </c>
    </row>
    <row r="788">
      <c r="E788" s="10" t="str">
        <f t="shared" si="1"/>
        <v/>
      </c>
    </row>
    <row r="789">
      <c r="E789" s="10" t="str">
        <f t="shared" si="1"/>
        <v/>
      </c>
    </row>
    <row r="790">
      <c r="E790" s="10" t="str">
        <f t="shared" si="1"/>
        <v/>
      </c>
    </row>
    <row r="791">
      <c r="E791" s="10" t="str">
        <f t="shared" si="1"/>
        <v/>
      </c>
    </row>
    <row r="792">
      <c r="E792" s="10" t="str">
        <f t="shared" si="1"/>
        <v/>
      </c>
    </row>
    <row r="793">
      <c r="E793" s="10" t="str">
        <f t="shared" si="1"/>
        <v/>
      </c>
    </row>
    <row r="794">
      <c r="E794" s="10" t="str">
        <f t="shared" si="1"/>
        <v/>
      </c>
    </row>
    <row r="795">
      <c r="E795" s="10" t="str">
        <f t="shared" si="1"/>
        <v/>
      </c>
    </row>
    <row r="796">
      <c r="E796" s="10" t="str">
        <f t="shared" si="1"/>
        <v/>
      </c>
    </row>
    <row r="797">
      <c r="E797" s="10" t="str">
        <f t="shared" si="1"/>
        <v/>
      </c>
    </row>
    <row r="798">
      <c r="E798" s="10" t="str">
        <f t="shared" si="1"/>
        <v/>
      </c>
    </row>
    <row r="799">
      <c r="E799" s="10" t="str">
        <f t="shared" si="1"/>
        <v/>
      </c>
    </row>
    <row r="800">
      <c r="E800" s="10" t="str">
        <f t="shared" si="1"/>
        <v/>
      </c>
    </row>
    <row r="801">
      <c r="E801" s="10" t="str">
        <f t="shared" si="1"/>
        <v/>
      </c>
    </row>
    <row r="802">
      <c r="E802" s="10" t="str">
        <f t="shared" si="1"/>
        <v/>
      </c>
    </row>
    <row r="803">
      <c r="E803" s="10" t="str">
        <f t="shared" si="1"/>
        <v/>
      </c>
    </row>
    <row r="804">
      <c r="E804" s="10" t="str">
        <f t="shared" si="1"/>
        <v/>
      </c>
    </row>
    <row r="805">
      <c r="E805" s="10" t="str">
        <f t="shared" si="1"/>
        <v/>
      </c>
    </row>
    <row r="806">
      <c r="E806" s="10" t="str">
        <f t="shared" si="1"/>
        <v/>
      </c>
    </row>
    <row r="807">
      <c r="E807" s="10" t="str">
        <f t="shared" si="1"/>
        <v/>
      </c>
    </row>
    <row r="808">
      <c r="E808" s="10" t="str">
        <f t="shared" si="1"/>
        <v/>
      </c>
    </row>
    <row r="809">
      <c r="E809" s="10" t="str">
        <f t="shared" si="1"/>
        <v/>
      </c>
    </row>
    <row r="810">
      <c r="E810" s="10" t="str">
        <f t="shared" si="1"/>
        <v/>
      </c>
    </row>
    <row r="811">
      <c r="E811" s="10" t="str">
        <f t="shared" si="1"/>
        <v/>
      </c>
    </row>
    <row r="812">
      <c r="E812" s="10" t="str">
        <f t="shared" si="1"/>
        <v/>
      </c>
    </row>
    <row r="813">
      <c r="E813" s="10" t="str">
        <f t="shared" si="1"/>
        <v/>
      </c>
    </row>
    <row r="814">
      <c r="E814" s="10" t="str">
        <f t="shared" si="1"/>
        <v/>
      </c>
    </row>
    <row r="815">
      <c r="E815" s="10" t="str">
        <f t="shared" si="1"/>
        <v/>
      </c>
    </row>
    <row r="816">
      <c r="E816" s="10" t="str">
        <f t="shared" si="1"/>
        <v/>
      </c>
    </row>
    <row r="817">
      <c r="E817" s="10" t="str">
        <f t="shared" si="1"/>
        <v/>
      </c>
    </row>
    <row r="818">
      <c r="E818" s="10" t="str">
        <f t="shared" si="1"/>
        <v/>
      </c>
    </row>
    <row r="819">
      <c r="E819" s="10" t="str">
        <f t="shared" si="1"/>
        <v/>
      </c>
    </row>
    <row r="820">
      <c r="E820" s="10" t="str">
        <f t="shared" si="1"/>
        <v/>
      </c>
    </row>
    <row r="821">
      <c r="E821" s="10" t="str">
        <f t="shared" si="1"/>
        <v/>
      </c>
    </row>
    <row r="822">
      <c r="E822" s="10" t="str">
        <f t="shared" si="1"/>
        <v/>
      </c>
    </row>
    <row r="823">
      <c r="E823" s="10" t="str">
        <f t="shared" si="1"/>
        <v/>
      </c>
    </row>
    <row r="824">
      <c r="E824" s="10" t="str">
        <f t="shared" si="1"/>
        <v/>
      </c>
    </row>
    <row r="825">
      <c r="E825" s="10" t="str">
        <f t="shared" si="1"/>
        <v/>
      </c>
    </row>
    <row r="826">
      <c r="E826" s="10" t="str">
        <f t="shared" si="1"/>
        <v/>
      </c>
    </row>
    <row r="827">
      <c r="E827" s="10" t="str">
        <f t="shared" si="1"/>
        <v/>
      </c>
    </row>
    <row r="828">
      <c r="E828" s="10" t="str">
        <f t="shared" si="1"/>
        <v/>
      </c>
    </row>
    <row r="829">
      <c r="E829" s="10" t="str">
        <f t="shared" si="1"/>
        <v/>
      </c>
    </row>
    <row r="830">
      <c r="E830" s="10" t="str">
        <f t="shared" si="1"/>
        <v/>
      </c>
    </row>
    <row r="831">
      <c r="E831" s="10" t="str">
        <f t="shared" si="1"/>
        <v/>
      </c>
    </row>
    <row r="832">
      <c r="E832" s="10" t="str">
        <f t="shared" si="1"/>
        <v/>
      </c>
    </row>
    <row r="833">
      <c r="E833" s="10" t="str">
        <f t="shared" si="1"/>
        <v/>
      </c>
    </row>
    <row r="834">
      <c r="E834" s="10" t="str">
        <f t="shared" si="1"/>
        <v/>
      </c>
    </row>
    <row r="835">
      <c r="E835" s="10" t="str">
        <f t="shared" si="1"/>
        <v/>
      </c>
    </row>
    <row r="836">
      <c r="E836" s="10" t="str">
        <f t="shared" si="1"/>
        <v/>
      </c>
    </row>
    <row r="837">
      <c r="E837" s="10" t="str">
        <f t="shared" si="1"/>
        <v/>
      </c>
    </row>
    <row r="838">
      <c r="E838" s="10" t="str">
        <f t="shared" si="1"/>
        <v/>
      </c>
    </row>
    <row r="839">
      <c r="E839" s="10" t="str">
        <f t="shared" si="1"/>
        <v/>
      </c>
    </row>
    <row r="840">
      <c r="E840" s="10" t="str">
        <f t="shared" si="1"/>
        <v/>
      </c>
    </row>
    <row r="841">
      <c r="E841" s="10" t="str">
        <f t="shared" si="1"/>
        <v/>
      </c>
    </row>
    <row r="842">
      <c r="E842" s="10" t="str">
        <f t="shared" si="1"/>
        <v/>
      </c>
    </row>
    <row r="843">
      <c r="E843" s="10" t="str">
        <f t="shared" si="1"/>
        <v/>
      </c>
    </row>
    <row r="844">
      <c r="E844" s="10" t="str">
        <f t="shared" si="1"/>
        <v/>
      </c>
    </row>
    <row r="845">
      <c r="E845" s="10" t="str">
        <f t="shared" si="1"/>
        <v/>
      </c>
    </row>
    <row r="846">
      <c r="E846" s="10" t="str">
        <f t="shared" si="1"/>
        <v/>
      </c>
    </row>
    <row r="847">
      <c r="E847" s="10" t="str">
        <f t="shared" si="1"/>
        <v/>
      </c>
    </row>
    <row r="848">
      <c r="E848" s="10" t="str">
        <f t="shared" si="1"/>
        <v/>
      </c>
    </row>
    <row r="849">
      <c r="E849" s="10" t="str">
        <f t="shared" si="1"/>
        <v/>
      </c>
    </row>
    <row r="850">
      <c r="E850" s="10" t="str">
        <f t="shared" si="1"/>
        <v/>
      </c>
    </row>
    <row r="851">
      <c r="E851" s="10" t="str">
        <f t="shared" si="1"/>
        <v/>
      </c>
    </row>
    <row r="852">
      <c r="E852" s="10" t="str">
        <f t="shared" si="1"/>
        <v/>
      </c>
    </row>
    <row r="853">
      <c r="E853" s="10" t="str">
        <f t="shared" si="1"/>
        <v/>
      </c>
    </row>
    <row r="854">
      <c r="E854" s="10" t="str">
        <f t="shared" si="1"/>
        <v/>
      </c>
    </row>
    <row r="855">
      <c r="E855" s="10" t="str">
        <f t="shared" si="1"/>
        <v/>
      </c>
    </row>
    <row r="856">
      <c r="E856" s="10" t="str">
        <f t="shared" si="1"/>
        <v/>
      </c>
    </row>
    <row r="857">
      <c r="E857" s="10" t="str">
        <f t="shared" si="1"/>
        <v/>
      </c>
    </row>
    <row r="858">
      <c r="E858" s="10" t="str">
        <f t="shared" si="1"/>
        <v/>
      </c>
    </row>
    <row r="859">
      <c r="E859" s="10" t="str">
        <f t="shared" si="1"/>
        <v/>
      </c>
    </row>
    <row r="860">
      <c r="E860" s="10" t="str">
        <f t="shared" si="1"/>
        <v/>
      </c>
    </row>
    <row r="861">
      <c r="E861" s="10" t="str">
        <f t="shared" si="1"/>
        <v/>
      </c>
    </row>
    <row r="862">
      <c r="E862" s="10" t="str">
        <f t="shared" si="1"/>
        <v/>
      </c>
    </row>
    <row r="863">
      <c r="E863" s="10" t="str">
        <f t="shared" si="1"/>
        <v/>
      </c>
    </row>
    <row r="864">
      <c r="E864" s="10" t="str">
        <f t="shared" si="1"/>
        <v/>
      </c>
    </row>
    <row r="865">
      <c r="E865" s="10" t="str">
        <f t="shared" si="1"/>
        <v/>
      </c>
    </row>
    <row r="866">
      <c r="E866" s="10" t="str">
        <f t="shared" si="1"/>
        <v/>
      </c>
    </row>
    <row r="867">
      <c r="E867" s="10" t="str">
        <f t="shared" si="1"/>
        <v/>
      </c>
    </row>
    <row r="868">
      <c r="E868" s="10" t="str">
        <f t="shared" si="1"/>
        <v/>
      </c>
    </row>
    <row r="869">
      <c r="E869" s="10" t="str">
        <f t="shared" si="1"/>
        <v/>
      </c>
    </row>
    <row r="870">
      <c r="E870" s="10" t="str">
        <f t="shared" si="1"/>
        <v/>
      </c>
    </row>
    <row r="871">
      <c r="E871" s="10" t="str">
        <f t="shared" si="1"/>
        <v/>
      </c>
    </row>
    <row r="872">
      <c r="E872" s="10" t="str">
        <f t="shared" si="1"/>
        <v/>
      </c>
    </row>
    <row r="873">
      <c r="E873" s="10" t="str">
        <f t="shared" si="1"/>
        <v/>
      </c>
    </row>
    <row r="874">
      <c r="E874" s="10" t="str">
        <f t="shared" si="1"/>
        <v/>
      </c>
    </row>
    <row r="875">
      <c r="E875" s="10" t="str">
        <f t="shared" si="1"/>
        <v/>
      </c>
    </row>
    <row r="876">
      <c r="E876" s="10" t="str">
        <f t="shared" si="1"/>
        <v/>
      </c>
    </row>
    <row r="877">
      <c r="E877" s="10" t="str">
        <f t="shared" si="1"/>
        <v/>
      </c>
    </row>
    <row r="878">
      <c r="E878" s="10" t="str">
        <f t="shared" si="1"/>
        <v/>
      </c>
    </row>
    <row r="879">
      <c r="E879" s="10" t="str">
        <f t="shared" si="1"/>
        <v/>
      </c>
    </row>
    <row r="880">
      <c r="E880" s="10" t="str">
        <f t="shared" si="1"/>
        <v/>
      </c>
    </row>
    <row r="881">
      <c r="E881" s="10" t="str">
        <f t="shared" si="1"/>
        <v/>
      </c>
    </row>
    <row r="882">
      <c r="E882" s="10" t="str">
        <f t="shared" si="1"/>
        <v/>
      </c>
    </row>
    <row r="883">
      <c r="E883" s="10" t="str">
        <f t="shared" si="1"/>
        <v/>
      </c>
    </row>
    <row r="884">
      <c r="E884" s="10" t="str">
        <f t="shared" si="1"/>
        <v/>
      </c>
    </row>
    <row r="885">
      <c r="E885" s="10" t="str">
        <f t="shared" si="1"/>
        <v/>
      </c>
    </row>
    <row r="886">
      <c r="E886" s="10" t="str">
        <f t="shared" si="1"/>
        <v/>
      </c>
    </row>
    <row r="887">
      <c r="E887" s="10" t="str">
        <f t="shared" si="1"/>
        <v/>
      </c>
    </row>
    <row r="888">
      <c r="E888" s="10" t="str">
        <f t="shared" si="1"/>
        <v/>
      </c>
    </row>
    <row r="889">
      <c r="E889" s="10" t="str">
        <f t="shared" si="1"/>
        <v/>
      </c>
    </row>
    <row r="890">
      <c r="E890" s="10" t="str">
        <f t="shared" si="1"/>
        <v/>
      </c>
    </row>
    <row r="891">
      <c r="E891" s="10" t="str">
        <f t="shared" si="1"/>
        <v/>
      </c>
    </row>
    <row r="892">
      <c r="E892" s="10" t="str">
        <f t="shared" si="1"/>
        <v/>
      </c>
    </row>
    <row r="893">
      <c r="E893" s="10" t="str">
        <f t="shared" si="1"/>
        <v/>
      </c>
    </row>
    <row r="894">
      <c r="E894" s="10" t="str">
        <f t="shared" si="1"/>
        <v/>
      </c>
    </row>
    <row r="895">
      <c r="E895" s="10" t="str">
        <f t="shared" si="1"/>
        <v/>
      </c>
    </row>
    <row r="896">
      <c r="E896" s="10" t="str">
        <f t="shared" si="1"/>
        <v/>
      </c>
    </row>
    <row r="897">
      <c r="E897" s="10" t="str">
        <f t="shared" si="1"/>
        <v/>
      </c>
    </row>
    <row r="898">
      <c r="E898" s="10" t="str">
        <f t="shared" si="1"/>
        <v/>
      </c>
    </row>
    <row r="899">
      <c r="E899" s="10" t="str">
        <f t="shared" si="1"/>
        <v/>
      </c>
    </row>
    <row r="900">
      <c r="E900" s="10" t="str">
        <f t="shared" si="1"/>
        <v/>
      </c>
    </row>
    <row r="901">
      <c r="E901" s="10" t="str">
        <f t="shared" si="1"/>
        <v/>
      </c>
    </row>
    <row r="902">
      <c r="E902" s="10" t="str">
        <f t="shared" si="1"/>
        <v/>
      </c>
    </row>
    <row r="903">
      <c r="E903" s="10" t="str">
        <f t="shared" si="1"/>
        <v/>
      </c>
    </row>
    <row r="904">
      <c r="E904" s="10" t="str">
        <f t="shared" si="1"/>
        <v/>
      </c>
    </row>
    <row r="905">
      <c r="E905" s="10" t="str">
        <f t="shared" si="1"/>
        <v/>
      </c>
    </row>
    <row r="906">
      <c r="E906" s="10" t="str">
        <f t="shared" si="1"/>
        <v/>
      </c>
    </row>
    <row r="907">
      <c r="E907" s="10" t="str">
        <f t="shared" si="1"/>
        <v/>
      </c>
    </row>
    <row r="908">
      <c r="E908" s="10" t="str">
        <f t="shared" si="1"/>
        <v/>
      </c>
    </row>
    <row r="909">
      <c r="E909" s="10" t="str">
        <f t="shared" si="1"/>
        <v/>
      </c>
    </row>
    <row r="910">
      <c r="E910" s="10" t="str">
        <f t="shared" si="1"/>
        <v/>
      </c>
    </row>
    <row r="911">
      <c r="E911" s="10" t="str">
        <f t="shared" si="1"/>
        <v/>
      </c>
    </row>
    <row r="912">
      <c r="E912" s="10" t="str">
        <f t="shared" si="1"/>
        <v/>
      </c>
    </row>
    <row r="913">
      <c r="E913" s="10" t="str">
        <f t="shared" si="1"/>
        <v/>
      </c>
    </row>
    <row r="914">
      <c r="E914" s="10" t="str">
        <f t="shared" si="1"/>
        <v/>
      </c>
    </row>
    <row r="915">
      <c r="E915" s="10" t="str">
        <f t="shared" si="1"/>
        <v/>
      </c>
    </row>
    <row r="916">
      <c r="E916" s="10" t="str">
        <f t="shared" si="1"/>
        <v/>
      </c>
    </row>
    <row r="917">
      <c r="E917" s="10" t="str">
        <f t="shared" si="1"/>
        <v/>
      </c>
    </row>
    <row r="918">
      <c r="E918" s="10" t="str">
        <f t="shared" si="1"/>
        <v/>
      </c>
    </row>
    <row r="919">
      <c r="E919" s="10" t="str">
        <f t="shared" si="1"/>
        <v/>
      </c>
    </row>
    <row r="920">
      <c r="E920" s="10" t="str">
        <f t="shared" si="1"/>
        <v/>
      </c>
    </row>
    <row r="921">
      <c r="E921" s="10" t="str">
        <f t="shared" si="1"/>
        <v/>
      </c>
    </row>
    <row r="922">
      <c r="E922" s="10" t="str">
        <f t="shared" si="1"/>
        <v/>
      </c>
    </row>
    <row r="923">
      <c r="E923" s="10" t="str">
        <f t="shared" si="1"/>
        <v/>
      </c>
    </row>
    <row r="924">
      <c r="E924" s="10" t="str">
        <f t="shared" si="1"/>
        <v/>
      </c>
    </row>
    <row r="925">
      <c r="E925" s="10" t="str">
        <f t="shared" si="1"/>
        <v/>
      </c>
    </row>
    <row r="926">
      <c r="E926" s="10" t="str">
        <f t="shared" si="1"/>
        <v/>
      </c>
    </row>
    <row r="927">
      <c r="E927" s="10" t="str">
        <f t="shared" si="1"/>
        <v/>
      </c>
    </row>
    <row r="928">
      <c r="E928" s="10" t="str">
        <f t="shared" si="1"/>
        <v/>
      </c>
    </row>
    <row r="929">
      <c r="E929" s="10" t="str">
        <f t="shared" si="1"/>
        <v/>
      </c>
    </row>
    <row r="930">
      <c r="E930" s="10" t="str">
        <f t="shared" si="1"/>
        <v/>
      </c>
    </row>
    <row r="931">
      <c r="E931" s="10" t="str">
        <f t="shared" si="1"/>
        <v/>
      </c>
    </row>
    <row r="932">
      <c r="E932" s="10" t="str">
        <f t="shared" si="1"/>
        <v/>
      </c>
    </row>
    <row r="933">
      <c r="E933" s="10" t="str">
        <f t="shared" si="1"/>
        <v/>
      </c>
    </row>
    <row r="934">
      <c r="E934" s="10" t="str">
        <f t="shared" si="1"/>
        <v/>
      </c>
    </row>
    <row r="935">
      <c r="E935" s="10" t="str">
        <f t="shared" si="1"/>
        <v/>
      </c>
    </row>
    <row r="936">
      <c r="E936" s="10" t="str">
        <f t="shared" si="1"/>
        <v/>
      </c>
    </row>
    <row r="937">
      <c r="E937" s="10" t="str">
        <f t="shared" si="1"/>
        <v/>
      </c>
    </row>
    <row r="938">
      <c r="E938" s="10" t="str">
        <f t="shared" si="1"/>
        <v/>
      </c>
    </row>
    <row r="939">
      <c r="E939" s="10" t="str">
        <f t="shared" si="1"/>
        <v/>
      </c>
    </row>
    <row r="940">
      <c r="E940" s="10" t="str">
        <f t="shared" si="1"/>
        <v/>
      </c>
    </row>
    <row r="941">
      <c r="E941" s="10" t="str">
        <f t="shared" si="1"/>
        <v/>
      </c>
    </row>
    <row r="942">
      <c r="E942" s="10" t="str">
        <f t="shared" si="1"/>
        <v/>
      </c>
    </row>
    <row r="943">
      <c r="E943" s="10" t="str">
        <f t="shared" si="1"/>
        <v/>
      </c>
    </row>
    <row r="944">
      <c r="E944" s="10" t="str">
        <f t="shared" si="1"/>
        <v/>
      </c>
    </row>
    <row r="945">
      <c r="E945" s="10" t="str">
        <f t="shared" si="1"/>
        <v/>
      </c>
    </row>
    <row r="946">
      <c r="E946" s="10" t="str">
        <f t="shared" si="1"/>
        <v/>
      </c>
    </row>
    <row r="947">
      <c r="E947" s="10" t="str">
        <f t="shared" si="1"/>
        <v/>
      </c>
    </row>
    <row r="948">
      <c r="E948" s="10" t="str">
        <f t="shared" si="1"/>
        <v/>
      </c>
    </row>
    <row r="949">
      <c r="E949" s="10" t="str">
        <f t="shared" si="1"/>
        <v/>
      </c>
    </row>
    <row r="950">
      <c r="E950" s="10" t="str">
        <f t="shared" si="1"/>
        <v/>
      </c>
    </row>
    <row r="951">
      <c r="E951" s="10" t="str">
        <f t="shared" si="1"/>
        <v/>
      </c>
    </row>
    <row r="952">
      <c r="E952" s="10" t="str">
        <f t="shared" si="1"/>
        <v/>
      </c>
    </row>
    <row r="953">
      <c r="E953" s="10" t="str">
        <f t="shared" si="1"/>
        <v/>
      </c>
    </row>
    <row r="954">
      <c r="E954" s="10" t="str">
        <f t="shared" si="1"/>
        <v/>
      </c>
    </row>
    <row r="955">
      <c r="E955" s="10" t="str">
        <f t="shared" si="1"/>
        <v/>
      </c>
    </row>
    <row r="956">
      <c r="E956" s="10" t="str">
        <f t="shared" si="1"/>
        <v/>
      </c>
    </row>
    <row r="957">
      <c r="E957" s="10" t="str">
        <f t="shared" si="1"/>
        <v/>
      </c>
    </row>
    <row r="958">
      <c r="E958" s="10" t="str">
        <f t="shared" si="1"/>
        <v/>
      </c>
    </row>
    <row r="959">
      <c r="E959" s="10" t="str">
        <f t="shared" si="1"/>
        <v/>
      </c>
    </row>
    <row r="960">
      <c r="E960" s="10" t="str">
        <f t="shared" si="1"/>
        <v/>
      </c>
    </row>
    <row r="961">
      <c r="E961" s="10" t="str">
        <f t="shared" si="1"/>
        <v/>
      </c>
    </row>
    <row r="962">
      <c r="E962" s="10" t="str">
        <f t="shared" si="1"/>
        <v/>
      </c>
    </row>
    <row r="963">
      <c r="E963" s="10" t="str">
        <f t="shared" si="1"/>
        <v/>
      </c>
    </row>
    <row r="964">
      <c r="E964" s="10" t="str">
        <f t="shared" si="1"/>
        <v/>
      </c>
    </row>
    <row r="965">
      <c r="E965" s="10" t="str">
        <f t="shared" si="1"/>
        <v/>
      </c>
    </row>
    <row r="966">
      <c r="E966" s="10" t="str">
        <f t="shared" si="1"/>
        <v/>
      </c>
    </row>
    <row r="967">
      <c r="E967" s="10" t="str">
        <f t="shared" si="1"/>
        <v/>
      </c>
    </row>
    <row r="968">
      <c r="E968" s="10" t="str">
        <f t="shared" si="1"/>
        <v/>
      </c>
    </row>
    <row r="969">
      <c r="E969" s="10" t="str">
        <f t="shared" si="1"/>
        <v/>
      </c>
    </row>
    <row r="970">
      <c r="E970" s="10" t="str">
        <f t="shared" si="1"/>
        <v/>
      </c>
    </row>
    <row r="971">
      <c r="E971" s="10" t="str">
        <f t="shared" si="1"/>
        <v/>
      </c>
    </row>
    <row r="972">
      <c r="E972" s="10" t="str">
        <f t="shared" si="1"/>
        <v/>
      </c>
    </row>
    <row r="973">
      <c r="E973" s="10" t="str">
        <f t="shared" si="1"/>
        <v/>
      </c>
    </row>
    <row r="974">
      <c r="E974" s="10" t="str">
        <f t="shared" si="1"/>
        <v/>
      </c>
    </row>
    <row r="975">
      <c r="E975" s="10" t="str">
        <f t="shared" si="1"/>
        <v/>
      </c>
    </row>
    <row r="976">
      <c r="E976" s="10" t="str">
        <f t="shared" si="1"/>
        <v/>
      </c>
    </row>
    <row r="977">
      <c r="E977" s="10" t="str">
        <f t="shared" si="1"/>
        <v/>
      </c>
    </row>
    <row r="978">
      <c r="E978" s="10" t="str">
        <f t="shared" si="1"/>
        <v/>
      </c>
    </row>
    <row r="979">
      <c r="E979" s="10" t="str">
        <f t="shared" si="1"/>
        <v/>
      </c>
    </row>
    <row r="980">
      <c r="E980" s="10" t="str">
        <f t="shared" si="1"/>
        <v/>
      </c>
    </row>
    <row r="981">
      <c r="E981" s="10" t="str">
        <f t="shared" si="1"/>
        <v/>
      </c>
    </row>
    <row r="982">
      <c r="E982" s="10" t="str">
        <f t="shared" si="1"/>
        <v/>
      </c>
    </row>
    <row r="983">
      <c r="E983" s="10" t="str">
        <f t="shared" si="1"/>
        <v/>
      </c>
    </row>
    <row r="984">
      <c r="E984" s="10" t="str">
        <f t="shared" si="1"/>
        <v/>
      </c>
    </row>
    <row r="985">
      <c r="E985" s="10" t="str">
        <f t="shared" si="1"/>
        <v/>
      </c>
    </row>
    <row r="986">
      <c r="E986" s="10" t="str">
        <f t="shared" si="1"/>
        <v/>
      </c>
    </row>
    <row r="987">
      <c r="E987" s="10" t="str">
        <f t="shared" si="1"/>
        <v/>
      </c>
    </row>
    <row r="988">
      <c r="E988" s="10" t="str">
        <f t="shared" si="1"/>
        <v/>
      </c>
    </row>
    <row r="989">
      <c r="E989" s="10" t="str">
        <f t="shared" si="1"/>
        <v/>
      </c>
    </row>
    <row r="990">
      <c r="E990" s="10" t="str">
        <f t="shared" si="1"/>
        <v/>
      </c>
    </row>
    <row r="991">
      <c r="E991" s="10" t="str">
        <f t="shared" si="1"/>
        <v/>
      </c>
    </row>
    <row r="992">
      <c r="E992" s="10" t="str">
        <f t="shared" si="1"/>
        <v/>
      </c>
    </row>
    <row r="993">
      <c r="E993" s="10" t="str">
        <f t="shared" si="1"/>
        <v/>
      </c>
    </row>
    <row r="994">
      <c r="E994" s="10" t="str">
        <f t="shared" si="1"/>
        <v/>
      </c>
    </row>
    <row r="995">
      <c r="E995" s="10" t="str">
        <f t="shared" si="1"/>
        <v/>
      </c>
    </row>
    <row r="996">
      <c r="E996" s="10" t="str">
        <f t="shared" si="1"/>
        <v/>
      </c>
    </row>
    <row r="997">
      <c r="E997" s="10" t="str">
        <f t="shared" si="1"/>
        <v/>
      </c>
    </row>
    <row r="998">
      <c r="E998" s="10" t="str">
        <f t="shared" si="1"/>
        <v/>
      </c>
    </row>
    <row r="999">
      <c r="E999" s="10" t="str">
        <f t="shared" si="1"/>
        <v/>
      </c>
    </row>
    <row r="1000">
      <c r="E1000" s="10" t="str">
        <f t="shared" si="1"/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0" max="10" width="16.63"/>
    <col customWidth="1" min="11" max="11" width="24.75"/>
  </cols>
  <sheetData>
    <row r="1">
      <c r="A1" s="1" t="s">
        <v>67</v>
      </c>
      <c r="B1" s="1" t="s">
        <v>68</v>
      </c>
      <c r="C1" s="1" t="s">
        <v>69</v>
      </c>
      <c r="D1" s="1" t="s">
        <v>28</v>
      </c>
      <c r="E1" s="1" t="s">
        <v>29</v>
      </c>
      <c r="F1" s="1" t="s">
        <v>30</v>
      </c>
      <c r="G1" s="1" t="s">
        <v>53</v>
      </c>
      <c r="H1" s="1" t="s">
        <v>62</v>
      </c>
      <c r="I1" s="1" t="s">
        <v>70</v>
      </c>
      <c r="J1" s="1" t="s">
        <v>55</v>
      </c>
      <c r="K1" s="1" t="s">
        <v>56</v>
      </c>
    </row>
    <row r="2">
      <c r="A2" s="1" t="s">
        <v>66</v>
      </c>
      <c r="B2" s="1">
        <v>1.0</v>
      </c>
      <c r="C2" s="1" t="s">
        <v>71</v>
      </c>
      <c r="D2" s="1" t="s">
        <v>72</v>
      </c>
      <c r="E2" s="1">
        <v>3.0</v>
      </c>
      <c r="F2" s="1">
        <v>160.0</v>
      </c>
      <c r="H2" s="1">
        <v>3500.0</v>
      </c>
      <c r="I2" s="1">
        <v>8.0</v>
      </c>
      <c r="J2" s="1">
        <v>250.0</v>
      </c>
    </row>
    <row r="3">
      <c r="A3" s="1" t="s">
        <v>66</v>
      </c>
      <c r="B3" s="1">
        <v>2.0</v>
      </c>
      <c r="C3" s="1" t="s">
        <v>43</v>
      </c>
      <c r="D3" s="1" t="s">
        <v>60</v>
      </c>
      <c r="H3" s="1">
        <v>6000.0</v>
      </c>
      <c r="I3" s="1">
        <v>8.0</v>
      </c>
      <c r="J3" s="1">
        <v>250.0</v>
      </c>
    </row>
    <row r="4">
      <c r="A4" s="1" t="s">
        <v>66</v>
      </c>
      <c r="B4" s="1">
        <v>3.0</v>
      </c>
      <c r="C4" s="1" t="s">
        <v>43</v>
      </c>
      <c r="D4" s="1" t="s">
        <v>73</v>
      </c>
      <c r="H4" s="1">
        <v>8000.0</v>
      </c>
      <c r="I4" s="1">
        <v>8.0</v>
      </c>
      <c r="J4" s="1">
        <v>300.0</v>
      </c>
    </row>
    <row r="5">
      <c r="A5" s="1" t="s">
        <v>66</v>
      </c>
      <c r="B5" s="1">
        <v>4.0</v>
      </c>
      <c r="C5" s="1" t="s">
        <v>43</v>
      </c>
      <c r="D5" s="1" t="s">
        <v>74</v>
      </c>
      <c r="H5" s="1">
        <v>9000.0</v>
      </c>
      <c r="I5" s="1">
        <v>8.0</v>
      </c>
      <c r="J5" s="1">
        <v>300.0</v>
      </c>
    </row>
    <row r="6">
      <c r="A6" s="1" t="s">
        <v>66</v>
      </c>
      <c r="B6" s="1">
        <v>5.0</v>
      </c>
      <c r="C6" s="1" t="s">
        <v>43</v>
      </c>
      <c r="D6" s="1" t="s">
        <v>75</v>
      </c>
      <c r="H6" s="1">
        <v>12000.0</v>
      </c>
      <c r="I6" s="1">
        <v>8.0</v>
      </c>
      <c r="J6" s="1">
        <v>300.0</v>
      </c>
    </row>
    <row r="7">
      <c r="A7" s="1" t="s">
        <v>66</v>
      </c>
      <c r="B7" s="1">
        <v>6.0</v>
      </c>
      <c r="C7" s="1" t="s">
        <v>43</v>
      </c>
      <c r="D7" s="1" t="s">
        <v>76</v>
      </c>
      <c r="H7" s="1">
        <v>14000.0</v>
      </c>
      <c r="I7" s="1">
        <v>8.0</v>
      </c>
      <c r="J7" s="1">
        <v>300.0</v>
      </c>
    </row>
    <row r="8">
      <c r="A8" s="1" t="s">
        <v>66</v>
      </c>
      <c r="B8" s="1">
        <v>7.0</v>
      </c>
      <c r="C8" s="1" t="s">
        <v>43</v>
      </c>
      <c r="D8" s="1" t="s">
        <v>77</v>
      </c>
      <c r="H8" s="1">
        <v>40000.0</v>
      </c>
      <c r="I8" s="1">
        <v>8.0</v>
      </c>
      <c r="J8" s="1">
        <v>300.0</v>
      </c>
    </row>
    <row r="9">
      <c r="A9" s="1" t="s">
        <v>66</v>
      </c>
      <c r="B9" s="1">
        <v>8.0</v>
      </c>
      <c r="C9" s="1" t="s">
        <v>43</v>
      </c>
      <c r="D9" s="1" t="s">
        <v>78</v>
      </c>
      <c r="H9" s="1">
        <v>40000.0</v>
      </c>
      <c r="I9" s="1">
        <v>8.0</v>
      </c>
      <c r="J9" s="1">
        <v>300.0</v>
      </c>
    </row>
    <row r="10">
      <c r="A10" s="10"/>
      <c r="D10" s="10"/>
    </row>
    <row r="11">
      <c r="A11" s="10"/>
      <c r="D11" s="10"/>
    </row>
    <row r="12">
      <c r="A12" s="10"/>
      <c r="D12" s="10"/>
    </row>
    <row r="13">
      <c r="A13" s="10"/>
      <c r="D13" s="10"/>
    </row>
    <row r="14">
      <c r="A14" s="10"/>
      <c r="D14" s="10"/>
    </row>
    <row r="15">
      <c r="A15" s="10"/>
      <c r="D15" s="10"/>
    </row>
    <row r="16">
      <c r="A16" s="10"/>
      <c r="D16" s="10"/>
    </row>
    <row r="17">
      <c r="A17" s="10"/>
      <c r="D17" s="10"/>
    </row>
    <row r="18">
      <c r="A18" s="10"/>
      <c r="D18" s="10"/>
    </row>
    <row r="19">
      <c r="A19" s="10"/>
      <c r="D19" s="10"/>
    </row>
    <row r="20">
      <c r="A20" s="10"/>
      <c r="D20" s="10"/>
    </row>
    <row r="21">
      <c r="A21" s="10"/>
      <c r="D21" s="10"/>
    </row>
    <row r="22">
      <c r="A22" s="10"/>
      <c r="D22" s="10"/>
    </row>
    <row r="23">
      <c r="A23" s="10"/>
      <c r="D23" s="10"/>
    </row>
    <row r="24">
      <c r="A24" s="10"/>
      <c r="D24" s="10"/>
    </row>
    <row r="25">
      <c r="A25" s="10"/>
      <c r="D25" s="10"/>
    </row>
    <row r="26">
      <c r="A26" s="10"/>
      <c r="D26" s="10"/>
    </row>
    <row r="27">
      <c r="A27" s="10"/>
      <c r="D27" s="10"/>
    </row>
    <row r="28">
      <c r="A28" s="10"/>
      <c r="D28" s="10"/>
    </row>
    <row r="29">
      <c r="A29" s="10"/>
      <c r="D29" s="10"/>
    </row>
    <row r="30">
      <c r="A30" s="10"/>
      <c r="D30" s="10"/>
    </row>
    <row r="31">
      <c r="A31" s="10"/>
      <c r="D31" s="10"/>
    </row>
    <row r="32">
      <c r="A32" s="10"/>
      <c r="D32" s="10"/>
    </row>
    <row r="33">
      <c r="A33" s="10"/>
      <c r="D33" s="10"/>
    </row>
    <row r="34">
      <c r="A34" s="10"/>
      <c r="D34" s="10"/>
    </row>
    <row r="35">
      <c r="A35" s="10"/>
      <c r="D35" s="10"/>
    </row>
    <row r="36">
      <c r="A36" s="10"/>
      <c r="D36" s="10"/>
    </row>
    <row r="37">
      <c r="A37" s="10"/>
      <c r="D37" s="10"/>
    </row>
    <row r="38">
      <c r="A38" s="10"/>
      <c r="D38" s="10"/>
    </row>
    <row r="39">
      <c r="A39" s="10"/>
      <c r="D39" s="10"/>
    </row>
    <row r="40">
      <c r="A40" s="10"/>
      <c r="D40" s="10"/>
    </row>
    <row r="41">
      <c r="A41" s="10"/>
      <c r="D41" s="10"/>
    </row>
    <row r="42">
      <c r="A42" s="10"/>
      <c r="D42" s="10"/>
    </row>
    <row r="43">
      <c r="A43" s="10"/>
      <c r="D43" s="10"/>
    </row>
    <row r="44">
      <c r="A44" s="10"/>
      <c r="D44" s="10"/>
    </row>
    <row r="45">
      <c r="A45" s="10"/>
      <c r="D45" s="10"/>
    </row>
    <row r="46">
      <c r="A46" s="10"/>
      <c r="D46" s="10"/>
    </row>
    <row r="47">
      <c r="A47" s="10"/>
      <c r="D47" s="10"/>
    </row>
    <row r="48">
      <c r="A48" s="10"/>
      <c r="D48" s="10"/>
    </row>
    <row r="49">
      <c r="A49" s="10"/>
      <c r="D49" s="10"/>
    </row>
    <row r="50">
      <c r="A50" s="10"/>
      <c r="D50" s="10"/>
    </row>
    <row r="51">
      <c r="A51" s="10"/>
      <c r="D51" s="10"/>
    </row>
    <row r="52">
      <c r="A52" s="10"/>
      <c r="D52" s="10"/>
    </row>
    <row r="53">
      <c r="A53" s="10"/>
      <c r="D53" s="10"/>
    </row>
    <row r="54">
      <c r="A54" s="10"/>
      <c r="D54" s="10"/>
    </row>
    <row r="55">
      <c r="A55" s="10"/>
      <c r="D55" s="10"/>
    </row>
    <row r="56">
      <c r="A56" s="10"/>
      <c r="D56" s="10"/>
    </row>
    <row r="57">
      <c r="A57" s="10"/>
      <c r="D57" s="10"/>
    </row>
    <row r="58">
      <c r="A58" s="10"/>
      <c r="D58" s="10"/>
    </row>
    <row r="59">
      <c r="A59" s="10"/>
      <c r="D59" s="10"/>
    </row>
    <row r="60">
      <c r="A60" s="10"/>
      <c r="D60" s="10"/>
    </row>
    <row r="61">
      <c r="A61" s="10"/>
      <c r="D61" s="10"/>
    </row>
    <row r="62">
      <c r="A62" s="10"/>
      <c r="D62" s="10"/>
    </row>
    <row r="63">
      <c r="A63" s="10"/>
      <c r="D63" s="10"/>
    </row>
    <row r="64">
      <c r="A64" s="10"/>
      <c r="D64" s="10"/>
    </row>
    <row r="65">
      <c r="A65" s="10"/>
      <c r="D65" s="10"/>
    </row>
    <row r="66">
      <c r="A66" s="10"/>
      <c r="D66" s="10"/>
    </row>
    <row r="67">
      <c r="A67" s="10"/>
      <c r="D67" s="10"/>
    </row>
    <row r="68">
      <c r="A68" s="10"/>
      <c r="D68" s="10"/>
    </row>
    <row r="69">
      <c r="A69" s="10"/>
      <c r="D69" s="10"/>
    </row>
    <row r="70">
      <c r="A70" s="10"/>
      <c r="D70" s="10"/>
    </row>
    <row r="71">
      <c r="A71" s="10"/>
      <c r="D71" s="10"/>
    </row>
    <row r="72">
      <c r="A72" s="10"/>
      <c r="D72" s="10"/>
    </row>
    <row r="73">
      <c r="A73" s="10"/>
      <c r="D73" s="10"/>
    </row>
    <row r="74">
      <c r="A74" s="10"/>
      <c r="D74" s="10"/>
    </row>
    <row r="75">
      <c r="A75" s="10"/>
      <c r="D75" s="10"/>
    </row>
    <row r="76">
      <c r="A76" s="10"/>
      <c r="D76" s="10"/>
    </row>
    <row r="77">
      <c r="A77" s="10"/>
      <c r="D77" s="10"/>
    </row>
    <row r="78">
      <c r="A78" s="10"/>
      <c r="D78" s="10"/>
    </row>
    <row r="79">
      <c r="A79" s="10"/>
      <c r="D79" s="10"/>
    </row>
    <row r="80">
      <c r="A80" s="10"/>
      <c r="D80" s="10"/>
    </row>
    <row r="81">
      <c r="A81" s="10"/>
      <c r="D81" s="10"/>
    </row>
    <row r="82">
      <c r="A82" s="10"/>
      <c r="D82" s="10"/>
    </row>
    <row r="83">
      <c r="A83" s="10"/>
      <c r="D83" s="10"/>
    </row>
    <row r="84">
      <c r="A84" s="10"/>
      <c r="D84" s="10"/>
    </row>
    <row r="85">
      <c r="A85" s="10"/>
      <c r="D85" s="10"/>
    </row>
    <row r="86">
      <c r="A86" s="10"/>
      <c r="D86" s="10"/>
    </row>
    <row r="87">
      <c r="A87" s="10"/>
      <c r="D87" s="10"/>
    </row>
    <row r="88">
      <c r="A88" s="10"/>
      <c r="D88" s="10"/>
    </row>
    <row r="89">
      <c r="A89" s="10"/>
      <c r="D89" s="10"/>
    </row>
    <row r="90">
      <c r="A90" s="10"/>
      <c r="D90" s="10"/>
    </row>
    <row r="91">
      <c r="A91" s="10"/>
      <c r="D91" s="10"/>
    </row>
    <row r="92">
      <c r="A92" s="10"/>
      <c r="D92" s="10"/>
    </row>
    <row r="93">
      <c r="A93" s="10"/>
      <c r="D93" s="10"/>
    </row>
    <row r="94">
      <c r="A94" s="10"/>
      <c r="D94" s="10"/>
    </row>
    <row r="95">
      <c r="A95" s="10"/>
      <c r="D95" s="10"/>
    </row>
    <row r="96">
      <c r="A96" s="10"/>
      <c r="D96" s="10"/>
    </row>
    <row r="97">
      <c r="A97" s="10"/>
      <c r="D97" s="10"/>
    </row>
    <row r="98">
      <c r="A98" s="10"/>
      <c r="D98" s="10"/>
    </row>
    <row r="99">
      <c r="A99" s="10"/>
      <c r="D99" s="10"/>
    </row>
    <row r="100">
      <c r="A100" s="10"/>
      <c r="D100" s="10"/>
    </row>
    <row r="101">
      <c r="A101" s="10"/>
      <c r="D101" s="10"/>
    </row>
    <row r="102">
      <c r="A102" s="10"/>
      <c r="D102" s="10"/>
    </row>
    <row r="103">
      <c r="A103" s="10"/>
      <c r="D103" s="10"/>
    </row>
    <row r="104">
      <c r="A104" s="10"/>
      <c r="D104" s="10"/>
    </row>
    <row r="105">
      <c r="A105" s="10"/>
      <c r="D105" s="10"/>
    </row>
    <row r="106">
      <c r="A106" s="10"/>
      <c r="D106" s="10"/>
    </row>
    <row r="107">
      <c r="A107" s="10"/>
      <c r="D107" s="10"/>
    </row>
    <row r="108">
      <c r="A108" s="10"/>
      <c r="D108" s="10"/>
    </row>
    <row r="109">
      <c r="A109" s="10"/>
      <c r="D109" s="10"/>
    </row>
    <row r="110">
      <c r="A110" s="10"/>
      <c r="D110" s="10"/>
    </row>
    <row r="111">
      <c r="A111" s="10"/>
      <c r="D111" s="10"/>
    </row>
    <row r="112">
      <c r="A112" s="10"/>
      <c r="D112" s="10"/>
    </row>
    <row r="113">
      <c r="A113" s="10"/>
      <c r="D113" s="10"/>
    </row>
    <row r="114">
      <c r="A114" s="10"/>
      <c r="D114" s="10"/>
    </row>
    <row r="115">
      <c r="A115" s="10"/>
      <c r="D115" s="10"/>
    </row>
    <row r="116">
      <c r="A116" s="10"/>
      <c r="D116" s="10"/>
    </row>
    <row r="117">
      <c r="A117" s="10"/>
      <c r="D117" s="10"/>
    </row>
    <row r="118">
      <c r="A118" s="10"/>
      <c r="D118" s="10"/>
    </row>
    <row r="119">
      <c r="A119" s="10"/>
      <c r="D119" s="10"/>
    </row>
    <row r="120">
      <c r="A120" s="10"/>
      <c r="D120" s="10"/>
    </row>
    <row r="121">
      <c r="A121" s="10"/>
      <c r="D121" s="10"/>
    </row>
    <row r="122">
      <c r="A122" s="10"/>
      <c r="D122" s="10"/>
    </row>
    <row r="123">
      <c r="A123" s="10"/>
      <c r="D123" s="10"/>
    </row>
    <row r="124">
      <c r="A124" s="10"/>
      <c r="D124" s="10"/>
    </row>
    <row r="125">
      <c r="A125" s="10"/>
      <c r="D125" s="10"/>
    </row>
    <row r="126">
      <c r="A126" s="10"/>
      <c r="D126" s="10"/>
    </row>
    <row r="127">
      <c r="A127" s="10"/>
      <c r="D127" s="10"/>
    </row>
    <row r="128">
      <c r="A128" s="10"/>
      <c r="D128" s="10"/>
    </row>
    <row r="129">
      <c r="A129" s="10"/>
      <c r="D129" s="10"/>
    </row>
    <row r="130">
      <c r="A130" s="10"/>
      <c r="D130" s="10"/>
    </row>
    <row r="131">
      <c r="A131" s="10"/>
      <c r="D131" s="10"/>
    </row>
    <row r="132">
      <c r="A132" s="10"/>
      <c r="D132" s="10"/>
    </row>
    <row r="133">
      <c r="A133" s="10"/>
      <c r="D133" s="10"/>
    </row>
    <row r="134">
      <c r="A134" s="10"/>
      <c r="D134" s="10"/>
    </row>
    <row r="135">
      <c r="A135" s="10"/>
      <c r="D135" s="10"/>
    </row>
    <row r="136">
      <c r="A136" s="10"/>
      <c r="D136" s="10"/>
    </row>
    <row r="137">
      <c r="A137" s="10"/>
      <c r="D137" s="10"/>
    </row>
    <row r="138">
      <c r="A138" s="10"/>
      <c r="D138" s="10"/>
    </row>
    <row r="139">
      <c r="A139" s="10"/>
      <c r="D139" s="10"/>
    </row>
    <row r="140">
      <c r="A140" s="10"/>
      <c r="D140" s="10"/>
    </row>
    <row r="141">
      <c r="A141" s="10"/>
      <c r="D141" s="10"/>
    </row>
    <row r="142">
      <c r="A142" s="10"/>
      <c r="D142" s="10"/>
    </row>
    <row r="143">
      <c r="A143" s="10"/>
      <c r="D143" s="10"/>
    </row>
    <row r="144">
      <c r="A144" s="10"/>
      <c r="D144" s="10"/>
    </row>
    <row r="145">
      <c r="A145" s="10"/>
      <c r="D145" s="10"/>
    </row>
    <row r="146">
      <c r="A146" s="10"/>
      <c r="D146" s="10"/>
    </row>
    <row r="147">
      <c r="A147" s="10"/>
      <c r="D147" s="10"/>
    </row>
    <row r="148">
      <c r="A148" s="10"/>
      <c r="D148" s="10"/>
    </row>
    <row r="149">
      <c r="A149" s="10"/>
      <c r="D149" s="10"/>
    </row>
    <row r="150">
      <c r="A150" s="10"/>
      <c r="D150" s="10"/>
    </row>
    <row r="151">
      <c r="A151" s="10"/>
      <c r="D151" s="10"/>
    </row>
    <row r="152">
      <c r="A152" s="10"/>
      <c r="D152" s="10"/>
    </row>
    <row r="153">
      <c r="A153" s="10"/>
      <c r="D153" s="10"/>
    </row>
    <row r="154">
      <c r="A154" s="10"/>
      <c r="D154" s="10"/>
    </row>
    <row r="155">
      <c r="A155" s="10"/>
      <c r="D155" s="10"/>
    </row>
    <row r="156">
      <c r="A156" s="10"/>
      <c r="D156" s="10"/>
    </row>
    <row r="157">
      <c r="A157" s="10"/>
      <c r="D157" s="10"/>
    </row>
    <row r="158">
      <c r="A158" s="10"/>
      <c r="D158" s="10"/>
    </row>
    <row r="159">
      <c r="A159" s="10"/>
      <c r="D159" s="10"/>
    </row>
    <row r="160">
      <c r="A160" s="10"/>
      <c r="D160" s="10"/>
    </row>
    <row r="161">
      <c r="A161" s="10"/>
      <c r="D161" s="10"/>
    </row>
    <row r="162">
      <c r="A162" s="10"/>
      <c r="D162" s="10"/>
    </row>
    <row r="163">
      <c r="A163" s="10"/>
      <c r="D163" s="10"/>
    </row>
    <row r="164">
      <c r="A164" s="10"/>
      <c r="D164" s="10"/>
    </row>
    <row r="165">
      <c r="A165" s="10"/>
      <c r="D165" s="10"/>
    </row>
    <row r="166">
      <c r="A166" s="10"/>
      <c r="D166" s="10"/>
    </row>
    <row r="167">
      <c r="A167" s="10"/>
      <c r="D167" s="10"/>
    </row>
    <row r="168">
      <c r="A168" s="10"/>
      <c r="D168" s="10"/>
    </row>
    <row r="169">
      <c r="A169" s="10"/>
      <c r="D169" s="10"/>
    </row>
    <row r="170">
      <c r="A170" s="10"/>
      <c r="D170" s="10"/>
    </row>
    <row r="171">
      <c r="A171" s="10"/>
      <c r="D171" s="10"/>
    </row>
    <row r="172">
      <c r="A172" s="10"/>
      <c r="D172" s="10"/>
    </row>
    <row r="173">
      <c r="A173" s="10"/>
      <c r="D173" s="10"/>
    </row>
    <row r="174">
      <c r="A174" s="10"/>
      <c r="D174" s="10"/>
    </row>
    <row r="175">
      <c r="A175" s="10"/>
      <c r="D175" s="10"/>
    </row>
    <row r="176">
      <c r="A176" s="10"/>
      <c r="D176" s="10"/>
    </row>
    <row r="177">
      <c r="A177" s="10"/>
      <c r="D177" s="10"/>
    </row>
    <row r="178">
      <c r="A178" s="10"/>
      <c r="D178" s="10"/>
    </row>
    <row r="179">
      <c r="A179" s="10"/>
      <c r="D179" s="10"/>
    </row>
    <row r="180">
      <c r="A180" s="10"/>
      <c r="D180" s="10"/>
    </row>
    <row r="181">
      <c r="A181" s="10"/>
      <c r="D181" s="10"/>
    </row>
    <row r="182">
      <c r="A182" s="10"/>
      <c r="D182" s="10"/>
    </row>
    <row r="183">
      <c r="A183" s="10"/>
      <c r="D183" s="10"/>
    </row>
    <row r="184">
      <c r="A184" s="10"/>
      <c r="D184" s="10"/>
    </row>
    <row r="185">
      <c r="A185" s="10"/>
      <c r="D185" s="10"/>
    </row>
    <row r="186">
      <c r="A186" s="10"/>
      <c r="D186" s="10"/>
    </row>
    <row r="187">
      <c r="A187" s="10"/>
      <c r="D187" s="10"/>
    </row>
    <row r="188">
      <c r="A188" s="10"/>
      <c r="D188" s="10"/>
    </row>
    <row r="189">
      <c r="A189" s="10"/>
      <c r="D189" s="10"/>
    </row>
    <row r="190">
      <c r="A190" s="10"/>
      <c r="D190" s="10"/>
    </row>
    <row r="191">
      <c r="A191" s="10"/>
      <c r="D191" s="10"/>
    </row>
    <row r="192">
      <c r="A192" s="10"/>
      <c r="D192" s="10"/>
    </row>
    <row r="193">
      <c r="A193" s="10"/>
      <c r="D193" s="10"/>
    </row>
    <row r="194">
      <c r="A194" s="10"/>
      <c r="D194" s="10"/>
    </row>
    <row r="195">
      <c r="A195" s="10"/>
      <c r="D195" s="10"/>
    </row>
    <row r="196">
      <c r="A196" s="10"/>
      <c r="D196" s="10"/>
    </row>
    <row r="197">
      <c r="A197" s="10"/>
      <c r="D197" s="10"/>
    </row>
    <row r="198">
      <c r="A198" s="10"/>
      <c r="D198" s="10"/>
    </row>
    <row r="199">
      <c r="A199" s="10"/>
      <c r="D199" s="10"/>
    </row>
    <row r="200">
      <c r="A200" s="10"/>
      <c r="D200" s="10"/>
    </row>
    <row r="201">
      <c r="A201" s="10"/>
      <c r="D201" s="10"/>
    </row>
    <row r="202">
      <c r="A202" s="10"/>
      <c r="D202" s="10"/>
    </row>
    <row r="203">
      <c r="A203" s="10"/>
      <c r="D203" s="10"/>
    </row>
    <row r="204">
      <c r="A204" s="10"/>
      <c r="D204" s="10"/>
    </row>
    <row r="205">
      <c r="A205" s="10"/>
      <c r="D205" s="10"/>
    </row>
    <row r="206">
      <c r="A206" s="10"/>
      <c r="D206" s="10"/>
    </row>
    <row r="207">
      <c r="A207" s="10"/>
      <c r="D207" s="10"/>
    </row>
    <row r="208">
      <c r="A208" s="10"/>
      <c r="D208" s="10"/>
    </row>
    <row r="209">
      <c r="A209" s="10"/>
      <c r="D209" s="10"/>
    </row>
    <row r="210">
      <c r="A210" s="10"/>
      <c r="D210" s="10"/>
    </row>
    <row r="211">
      <c r="A211" s="10"/>
      <c r="D211" s="10"/>
    </row>
    <row r="212">
      <c r="A212" s="10"/>
      <c r="D212" s="10"/>
    </row>
    <row r="213">
      <c r="A213" s="10"/>
      <c r="D213" s="10"/>
    </row>
    <row r="214">
      <c r="A214" s="10"/>
      <c r="D214" s="10"/>
    </row>
    <row r="215">
      <c r="A215" s="10"/>
      <c r="D215" s="10"/>
    </row>
    <row r="216">
      <c r="A216" s="10"/>
      <c r="D216" s="10"/>
    </row>
    <row r="217">
      <c r="A217" s="10"/>
      <c r="D217" s="10"/>
    </row>
    <row r="218">
      <c r="A218" s="10"/>
      <c r="D218" s="10"/>
    </row>
    <row r="219">
      <c r="A219" s="10"/>
      <c r="D219" s="10"/>
    </row>
    <row r="220">
      <c r="A220" s="10"/>
      <c r="D220" s="10"/>
    </row>
    <row r="221">
      <c r="A221" s="10"/>
      <c r="D221" s="10"/>
    </row>
    <row r="222">
      <c r="A222" s="10"/>
      <c r="D222" s="10"/>
    </row>
    <row r="223">
      <c r="A223" s="10"/>
      <c r="D223" s="10"/>
    </row>
    <row r="224">
      <c r="A224" s="10"/>
      <c r="D224" s="10"/>
    </row>
    <row r="225">
      <c r="A225" s="10"/>
      <c r="D225" s="10"/>
    </row>
    <row r="226">
      <c r="A226" s="10"/>
      <c r="D226" s="10"/>
    </row>
    <row r="227">
      <c r="A227" s="10"/>
      <c r="D227" s="10"/>
    </row>
    <row r="228">
      <c r="A228" s="10"/>
      <c r="D228" s="10"/>
    </row>
    <row r="229">
      <c r="A229" s="10"/>
      <c r="D229" s="10"/>
    </row>
    <row r="230">
      <c r="A230" s="10"/>
      <c r="D230" s="10"/>
    </row>
    <row r="231">
      <c r="A231" s="10"/>
      <c r="D231" s="10"/>
    </row>
    <row r="232">
      <c r="A232" s="10"/>
      <c r="D232" s="10"/>
    </row>
    <row r="233">
      <c r="A233" s="10"/>
      <c r="D233" s="10"/>
    </row>
    <row r="234">
      <c r="A234" s="10"/>
      <c r="D234" s="10"/>
    </row>
    <row r="235">
      <c r="A235" s="10"/>
      <c r="D235" s="10"/>
    </row>
    <row r="236">
      <c r="A236" s="10"/>
      <c r="D236" s="10"/>
    </row>
    <row r="237">
      <c r="A237" s="10"/>
      <c r="D237" s="10"/>
    </row>
    <row r="238">
      <c r="A238" s="10"/>
      <c r="D238" s="10"/>
    </row>
    <row r="239">
      <c r="A239" s="10"/>
      <c r="D239" s="10"/>
    </row>
    <row r="240">
      <c r="A240" s="10"/>
      <c r="D240" s="10"/>
    </row>
    <row r="241">
      <c r="A241" s="10"/>
      <c r="D241" s="10"/>
    </row>
    <row r="242">
      <c r="A242" s="10"/>
      <c r="D242" s="10"/>
    </row>
    <row r="243">
      <c r="A243" s="10"/>
      <c r="D243" s="10"/>
    </row>
    <row r="244">
      <c r="A244" s="10"/>
      <c r="D244" s="10"/>
    </row>
    <row r="245">
      <c r="A245" s="10"/>
      <c r="D245" s="10"/>
    </row>
    <row r="246">
      <c r="A246" s="10"/>
      <c r="D246" s="10"/>
    </row>
    <row r="247">
      <c r="A247" s="10"/>
      <c r="D247" s="10"/>
    </row>
    <row r="248">
      <c r="A248" s="10"/>
      <c r="D248" s="10"/>
    </row>
    <row r="249">
      <c r="A249" s="10"/>
      <c r="D249" s="10"/>
    </row>
    <row r="250">
      <c r="A250" s="10"/>
      <c r="D250" s="10"/>
    </row>
    <row r="251">
      <c r="A251" s="10"/>
      <c r="D251" s="10"/>
    </row>
    <row r="252">
      <c r="A252" s="10"/>
      <c r="D252" s="10"/>
    </row>
    <row r="253">
      <c r="A253" s="10"/>
      <c r="D253" s="10"/>
    </row>
    <row r="254">
      <c r="A254" s="10"/>
      <c r="D254" s="10"/>
    </row>
    <row r="255">
      <c r="A255" s="10"/>
      <c r="D255" s="10"/>
    </row>
    <row r="256">
      <c r="A256" s="10"/>
      <c r="D256" s="10"/>
    </row>
    <row r="257">
      <c r="A257" s="10"/>
      <c r="D257" s="10"/>
    </row>
    <row r="258">
      <c r="A258" s="10"/>
      <c r="D258" s="10"/>
    </row>
    <row r="259">
      <c r="A259" s="10"/>
      <c r="D259" s="10"/>
    </row>
    <row r="260">
      <c r="A260" s="10"/>
      <c r="D260" s="10"/>
    </row>
    <row r="261">
      <c r="A261" s="10"/>
      <c r="D261" s="10"/>
    </row>
    <row r="262">
      <c r="A262" s="10"/>
      <c r="D262" s="10"/>
    </row>
    <row r="263">
      <c r="A263" s="10"/>
      <c r="D263" s="10"/>
    </row>
    <row r="264">
      <c r="A264" s="10"/>
      <c r="D264" s="10"/>
    </row>
    <row r="265">
      <c r="A265" s="10"/>
      <c r="D265" s="10"/>
    </row>
    <row r="266">
      <c r="A266" s="10"/>
      <c r="D266" s="10"/>
    </row>
    <row r="267">
      <c r="A267" s="10"/>
      <c r="D267" s="10"/>
    </row>
    <row r="268">
      <c r="A268" s="10"/>
      <c r="D268" s="10"/>
    </row>
    <row r="269">
      <c r="A269" s="10"/>
      <c r="D269" s="10"/>
    </row>
    <row r="270">
      <c r="A270" s="10"/>
      <c r="D270" s="10"/>
    </row>
    <row r="271">
      <c r="A271" s="10"/>
      <c r="D271" s="10"/>
    </row>
    <row r="272">
      <c r="A272" s="10"/>
      <c r="D272" s="10"/>
    </row>
    <row r="273">
      <c r="A273" s="10"/>
      <c r="D273" s="10"/>
    </row>
    <row r="274">
      <c r="A274" s="10"/>
      <c r="D274" s="10"/>
    </row>
    <row r="275">
      <c r="A275" s="10"/>
      <c r="D275" s="10"/>
    </row>
    <row r="276">
      <c r="A276" s="10"/>
      <c r="D276" s="10"/>
    </row>
    <row r="277">
      <c r="A277" s="10"/>
      <c r="D277" s="10"/>
    </row>
    <row r="278">
      <c r="A278" s="10"/>
      <c r="D278" s="10"/>
    </row>
    <row r="279">
      <c r="A279" s="10"/>
      <c r="D279" s="10"/>
    </row>
    <row r="280">
      <c r="A280" s="10"/>
      <c r="D280" s="10"/>
    </row>
    <row r="281">
      <c r="A281" s="10"/>
      <c r="D281" s="10"/>
    </row>
    <row r="282">
      <c r="A282" s="10"/>
      <c r="D282" s="10"/>
    </row>
    <row r="283">
      <c r="A283" s="10"/>
      <c r="D283" s="10"/>
    </row>
    <row r="284">
      <c r="A284" s="10"/>
      <c r="D284" s="10"/>
    </row>
    <row r="285">
      <c r="A285" s="10"/>
      <c r="D285" s="10"/>
    </row>
    <row r="286">
      <c r="A286" s="10"/>
      <c r="D286" s="10"/>
    </row>
    <row r="287">
      <c r="A287" s="10"/>
      <c r="D287" s="10"/>
    </row>
    <row r="288">
      <c r="A288" s="10"/>
      <c r="D288" s="10"/>
    </row>
    <row r="289">
      <c r="A289" s="10"/>
      <c r="D289" s="10"/>
    </row>
    <row r="290">
      <c r="A290" s="10"/>
      <c r="D290" s="10"/>
    </row>
    <row r="291">
      <c r="A291" s="10"/>
      <c r="D291" s="10"/>
    </row>
    <row r="292">
      <c r="A292" s="10"/>
      <c r="D292" s="10"/>
    </row>
    <row r="293">
      <c r="A293" s="10"/>
      <c r="D293" s="10"/>
    </row>
    <row r="294">
      <c r="A294" s="10"/>
      <c r="D294" s="10"/>
    </row>
    <row r="295">
      <c r="A295" s="10"/>
      <c r="D295" s="10"/>
    </row>
    <row r="296">
      <c r="A296" s="10"/>
      <c r="D296" s="10"/>
    </row>
    <row r="297">
      <c r="A297" s="10"/>
      <c r="D297" s="10"/>
    </row>
    <row r="298">
      <c r="A298" s="10"/>
      <c r="D298" s="10"/>
    </row>
    <row r="299">
      <c r="A299" s="10"/>
      <c r="D299" s="10"/>
    </row>
    <row r="300">
      <c r="A300" s="10"/>
      <c r="D300" s="10"/>
    </row>
    <row r="301">
      <c r="A301" s="10"/>
      <c r="D301" s="10"/>
    </row>
    <row r="302">
      <c r="A302" s="10"/>
      <c r="D302" s="10"/>
    </row>
    <row r="303">
      <c r="A303" s="10"/>
      <c r="D303" s="10"/>
    </row>
    <row r="304">
      <c r="A304" s="10"/>
      <c r="D304" s="10"/>
    </row>
    <row r="305">
      <c r="A305" s="10"/>
      <c r="D305" s="10"/>
    </row>
    <row r="306">
      <c r="A306" s="10"/>
      <c r="D306" s="10"/>
    </row>
    <row r="307">
      <c r="A307" s="10"/>
      <c r="D307" s="10"/>
    </row>
    <row r="308">
      <c r="A308" s="10"/>
      <c r="D308" s="10"/>
    </row>
    <row r="309">
      <c r="A309" s="10"/>
      <c r="D309" s="10"/>
    </row>
    <row r="310">
      <c r="A310" s="10"/>
      <c r="D310" s="10"/>
    </row>
    <row r="311">
      <c r="A311" s="10"/>
      <c r="D311" s="10"/>
    </row>
    <row r="312">
      <c r="A312" s="10"/>
      <c r="D312" s="10"/>
    </row>
    <row r="313">
      <c r="A313" s="10"/>
      <c r="D313" s="10"/>
    </row>
    <row r="314">
      <c r="A314" s="10"/>
      <c r="D314" s="10"/>
    </row>
    <row r="315">
      <c r="A315" s="10"/>
      <c r="D315" s="10"/>
    </row>
    <row r="316">
      <c r="A316" s="10"/>
      <c r="D316" s="10"/>
    </row>
    <row r="317">
      <c r="A317" s="10"/>
      <c r="D317" s="10"/>
    </row>
    <row r="318">
      <c r="A318" s="10"/>
      <c r="D318" s="10"/>
    </row>
    <row r="319">
      <c r="A319" s="10"/>
      <c r="D319" s="10"/>
    </row>
    <row r="320">
      <c r="A320" s="10"/>
      <c r="D320" s="10"/>
    </row>
    <row r="321">
      <c r="A321" s="10"/>
      <c r="D321" s="10"/>
    </row>
    <row r="322">
      <c r="A322" s="10"/>
      <c r="D322" s="10"/>
    </row>
    <row r="323">
      <c r="A323" s="10"/>
      <c r="D323" s="10"/>
    </row>
    <row r="324">
      <c r="A324" s="10"/>
      <c r="D324" s="10"/>
    </row>
    <row r="325">
      <c r="A325" s="10"/>
      <c r="D325" s="10"/>
    </row>
    <row r="326">
      <c r="A326" s="10"/>
      <c r="D326" s="10"/>
    </row>
    <row r="327">
      <c r="A327" s="10"/>
      <c r="D327" s="10"/>
    </row>
    <row r="328">
      <c r="A328" s="10"/>
      <c r="D328" s="10"/>
    </row>
    <row r="329">
      <c r="A329" s="10"/>
      <c r="D329" s="10"/>
    </row>
    <row r="330">
      <c r="A330" s="10"/>
      <c r="D330" s="10"/>
    </row>
    <row r="331">
      <c r="A331" s="10"/>
      <c r="D331" s="10"/>
    </row>
    <row r="332">
      <c r="A332" s="10"/>
      <c r="D332" s="10"/>
    </row>
    <row r="333">
      <c r="A333" s="10"/>
      <c r="D333" s="10"/>
    </row>
    <row r="334">
      <c r="A334" s="10"/>
      <c r="D334" s="10"/>
    </row>
    <row r="335">
      <c r="A335" s="10"/>
      <c r="D335" s="10"/>
    </row>
    <row r="336">
      <c r="A336" s="10"/>
      <c r="D336" s="10"/>
    </row>
    <row r="337">
      <c r="A337" s="10"/>
      <c r="D337" s="10"/>
    </row>
    <row r="338">
      <c r="A338" s="10"/>
      <c r="D338" s="10"/>
    </row>
    <row r="339">
      <c r="A339" s="10"/>
      <c r="D339" s="10"/>
    </row>
    <row r="340">
      <c r="A340" s="10"/>
      <c r="D340" s="10"/>
    </row>
    <row r="341">
      <c r="A341" s="10"/>
      <c r="D341" s="10"/>
    </row>
    <row r="342">
      <c r="A342" s="10"/>
      <c r="D342" s="10"/>
    </row>
    <row r="343">
      <c r="A343" s="10"/>
      <c r="D343" s="10"/>
    </row>
    <row r="344">
      <c r="A344" s="10"/>
      <c r="D344" s="10"/>
    </row>
    <row r="345">
      <c r="A345" s="10"/>
      <c r="D345" s="10"/>
    </row>
    <row r="346">
      <c r="A346" s="10"/>
      <c r="D346" s="10"/>
    </row>
    <row r="347">
      <c r="A347" s="10"/>
      <c r="D347" s="10"/>
    </row>
    <row r="348">
      <c r="A348" s="10"/>
      <c r="D348" s="10"/>
    </row>
    <row r="349">
      <c r="A349" s="10"/>
      <c r="D349" s="10"/>
    </row>
    <row r="350">
      <c r="A350" s="10"/>
      <c r="D350" s="10"/>
    </row>
    <row r="351">
      <c r="A351" s="10"/>
      <c r="D351" s="10"/>
    </row>
    <row r="352">
      <c r="A352" s="10"/>
      <c r="D352" s="10"/>
    </row>
    <row r="353">
      <c r="A353" s="10"/>
      <c r="D353" s="10"/>
    </row>
    <row r="354">
      <c r="A354" s="10"/>
      <c r="D354" s="10"/>
    </row>
    <row r="355">
      <c r="A355" s="10"/>
      <c r="D355" s="10"/>
    </row>
    <row r="356">
      <c r="A356" s="10"/>
      <c r="D356" s="10"/>
    </row>
    <row r="357">
      <c r="A357" s="10"/>
      <c r="D357" s="10"/>
    </row>
    <row r="358">
      <c r="A358" s="10"/>
      <c r="D358" s="10"/>
    </row>
    <row r="359">
      <c r="A359" s="10"/>
      <c r="D359" s="10"/>
    </row>
    <row r="360">
      <c r="A360" s="10"/>
      <c r="D360" s="10"/>
    </row>
    <row r="361">
      <c r="A361" s="10"/>
      <c r="D361" s="10"/>
    </row>
    <row r="362">
      <c r="A362" s="10"/>
      <c r="D362" s="10"/>
    </row>
    <row r="363">
      <c r="A363" s="10"/>
      <c r="D363" s="10"/>
    </row>
    <row r="364">
      <c r="A364" s="10"/>
      <c r="D364" s="10"/>
    </row>
    <row r="365">
      <c r="A365" s="10"/>
      <c r="D365" s="10"/>
    </row>
    <row r="366">
      <c r="A366" s="10"/>
      <c r="D366" s="10"/>
    </row>
    <row r="367">
      <c r="A367" s="10"/>
      <c r="D367" s="10"/>
    </row>
    <row r="368">
      <c r="A368" s="10"/>
      <c r="D368" s="10"/>
    </row>
    <row r="369">
      <c r="A369" s="10"/>
      <c r="D369" s="10"/>
    </row>
    <row r="370">
      <c r="A370" s="10"/>
      <c r="D370" s="10"/>
    </row>
    <row r="371">
      <c r="A371" s="10"/>
      <c r="D371" s="10"/>
    </row>
    <row r="372">
      <c r="A372" s="10"/>
      <c r="D372" s="10"/>
    </row>
    <row r="373">
      <c r="A373" s="10"/>
      <c r="D373" s="10"/>
    </row>
    <row r="374">
      <c r="A374" s="10"/>
      <c r="D374" s="10"/>
    </row>
    <row r="375">
      <c r="A375" s="10"/>
      <c r="D375" s="10"/>
    </row>
    <row r="376">
      <c r="A376" s="10"/>
      <c r="D376" s="10"/>
    </row>
    <row r="377">
      <c r="A377" s="10"/>
      <c r="D377" s="10"/>
    </row>
    <row r="378">
      <c r="A378" s="10"/>
      <c r="D378" s="10"/>
    </row>
    <row r="379">
      <c r="A379" s="10"/>
      <c r="D379" s="10"/>
    </row>
    <row r="380">
      <c r="A380" s="10"/>
      <c r="D380" s="10"/>
    </row>
    <row r="381">
      <c r="A381" s="10"/>
      <c r="D381" s="10"/>
    </row>
    <row r="382">
      <c r="A382" s="10"/>
      <c r="D382" s="10"/>
    </row>
    <row r="383">
      <c r="A383" s="10"/>
      <c r="D383" s="10"/>
    </row>
    <row r="384">
      <c r="A384" s="10"/>
      <c r="D384" s="10"/>
    </row>
    <row r="385">
      <c r="A385" s="10"/>
      <c r="D385" s="10"/>
    </row>
    <row r="386">
      <c r="A386" s="10"/>
      <c r="D386" s="10"/>
    </row>
    <row r="387">
      <c r="A387" s="10"/>
      <c r="D387" s="10"/>
    </row>
    <row r="388">
      <c r="A388" s="10"/>
      <c r="D388" s="10"/>
    </row>
    <row r="389">
      <c r="A389" s="10"/>
      <c r="D389" s="10"/>
    </row>
    <row r="390">
      <c r="A390" s="10"/>
      <c r="D390" s="10"/>
    </row>
    <row r="391">
      <c r="A391" s="10"/>
      <c r="D391" s="10"/>
    </row>
    <row r="392">
      <c r="A392" s="10"/>
      <c r="D392" s="10"/>
    </row>
    <row r="393">
      <c r="A393" s="10"/>
      <c r="D393" s="10"/>
    </row>
    <row r="394">
      <c r="A394" s="10"/>
      <c r="D394" s="10"/>
    </row>
    <row r="395">
      <c r="A395" s="10"/>
      <c r="D395" s="10"/>
    </row>
    <row r="396">
      <c r="A396" s="10"/>
      <c r="D396" s="10"/>
    </row>
    <row r="397">
      <c r="A397" s="10"/>
      <c r="D397" s="10"/>
    </row>
    <row r="398">
      <c r="A398" s="10"/>
      <c r="D398" s="10"/>
    </row>
    <row r="399">
      <c r="A399" s="10"/>
      <c r="D399" s="10"/>
    </row>
    <row r="400">
      <c r="A400" s="10"/>
      <c r="D400" s="10"/>
    </row>
    <row r="401">
      <c r="A401" s="10"/>
      <c r="D401" s="10"/>
    </row>
    <row r="402">
      <c r="A402" s="10"/>
      <c r="D402" s="10"/>
    </row>
    <row r="403">
      <c r="A403" s="10"/>
      <c r="D403" s="10"/>
    </row>
    <row r="404">
      <c r="A404" s="10"/>
      <c r="D404" s="10"/>
    </row>
    <row r="405">
      <c r="A405" s="10"/>
      <c r="D405" s="10"/>
    </row>
    <row r="406">
      <c r="A406" s="10"/>
      <c r="D406" s="10"/>
    </row>
    <row r="407">
      <c r="A407" s="10"/>
      <c r="D407" s="10"/>
    </row>
    <row r="408">
      <c r="A408" s="10"/>
      <c r="D408" s="10"/>
    </row>
    <row r="409">
      <c r="A409" s="10"/>
      <c r="D409" s="10"/>
    </row>
    <row r="410">
      <c r="A410" s="10"/>
      <c r="D410" s="10"/>
    </row>
    <row r="411">
      <c r="A411" s="10"/>
      <c r="D411" s="10"/>
    </row>
    <row r="412">
      <c r="A412" s="10"/>
      <c r="D412" s="10"/>
    </row>
    <row r="413">
      <c r="A413" s="10"/>
      <c r="D413" s="10"/>
    </row>
    <row r="414">
      <c r="A414" s="10"/>
      <c r="D414" s="10"/>
    </row>
    <row r="415">
      <c r="A415" s="10"/>
      <c r="D415" s="10"/>
    </row>
    <row r="416">
      <c r="A416" s="10"/>
      <c r="D416" s="10"/>
    </row>
    <row r="417">
      <c r="A417" s="10"/>
      <c r="D417" s="10"/>
    </row>
    <row r="418">
      <c r="A418" s="10"/>
      <c r="D418" s="10"/>
    </row>
    <row r="419">
      <c r="A419" s="10"/>
      <c r="D419" s="10"/>
    </row>
    <row r="420">
      <c r="A420" s="10"/>
      <c r="D420" s="10"/>
    </row>
    <row r="421">
      <c r="A421" s="10"/>
      <c r="D421" s="10"/>
    </row>
    <row r="422">
      <c r="A422" s="10"/>
      <c r="D422" s="10"/>
    </row>
    <row r="423">
      <c r="A423" s="10"/>
      <c r="D423" s="10"/>
    </row>
    <row r="424">
      <c r="A424" s="10"/>
      <c r="D424" s="10"/>
    </row>
    <row r="425">
      <c r="A425" s="10"/>
      <c r="D425" s="10"/>
    </row>
    <row r="426">
      <c r="A426" s="10"/>
      <c r="D426" s="10"/>
    </row>
    <row r="427">
      <c r="A427" s="10"/>
      <c r="D427" s="10"/>
    </row>
    <row r="428">
      <c r="A428" s="10"/>
      <c r="D428" s="10"/>
    </row>
    <row r="429">
      <c r="A429" s="10"/>
      <c r="D429" s="10"/>
    </row>
    <row r="430">
      <c r="A430" s="10"/>
      <c r="D430" s="10"/>
    </row>
    <row r="431">
      <c r="A431" s="10"/>
      <c r="D431" s="10"/>
    </row>
    <row r="432">
      <c r="A432" s="10"/>
      <c r="D432" s="10"/>
    </row>
    <row r="433">
      <c r="A433" s="10"/>
      <c r="D433" s="10"/>
    </row>
    <row r="434">
      <c r="A434" s="10"/>
      <c r="D434" s="10"/>
    </row>
    <row r="435">
      <c r="A435" s="10"/>
      <c r="D435" s="10"/>
    </row>
    <row r="436">
      <c r="A436" s="10"/>
      <c r="D436" s="10"/>
    </row>
    <row r="437">
      <c r="A437" s="10"/>
      <c r="D437" s="10"/>
    </row>
    <row r="438">
      <c r="A438" s="10"/>
      <c r="D438" s="10"/>
    </row>
    <row r="439">
      <c r="A439" s="10"/>
      <c r="D439" s="10"/>
    </row>
    <row r="440">
      <c r="A440" s="10"/>
      <c r="D440" s="10"/>
    </row>
    <row r="441">
      <c r="A441" s="10"/>
      <c r="D441" s="10"/>
    </row>
    <row r="442">
      <c r="A442" s="10"/>
      <c r="D442" s="10"/>
    </row>
    <row r="443">
      <c r="A443" s="10"/>
      <c r="D443" s="10"/>
    </row>
    <row r="444">
      <c r="A444" s="10"/>
      <c r="D444" s="10"/>
    </row>
    <row r="445">
      <c r="A445" s="10"/>
      <c r="D445" s="10"/>
    </row>
    <row r="446">
      <c r="A446" s="10"/>
      <c r="D446" s="10"/>
    </row>
    <row r="447">
      <c r="A447" s="10"/>
      <c r="D447" s="10"/>
    </row>
    <row r="448">
      <c r="A448" s="10"/>
      <c r="D448" s="10"/>
    </row>
    <row r="449">
      <c r="A449" s="10"/>
      <c r="D449" s="10"/>
    </row>
    <row r="450">
      <c r="A450" s="10"/>
      <c r="D450" s="10"/>
    </row>
    <row r="451">
      <c r="A451" s="10"/>
      <c r="D451" s="10"/>
    </row>
    <row r="452">
      <c r="A452" s="10"/>
      <c r="D452" s="10"/>
    </row>
    <row r="453">
      <c r="A453" s="10"/>
      <c r="D453" s="10"/>
    </row>
    <row r="454">
      <c r="A454" s="10"/>
      <c r="D454" s="10"/>
    </row>
    <row r="455">
      <c r="A455" s="10"/>
      <c r="D455" s="10"/>
    </row>
    <row r="456">
      <c r="A456" s="10"/>
      <c r="D456" s="10"/>
    </row>
    <row r="457">
      <c r="A457" s="10"/>
      <c r="D457" s="10"/>
    </row>
    <row r="458">
      <c r="A458" s="10"/>
      <c r="D458" s="10"/>
    </row>
    <row r="459">
      <c r="A459" s="10"/>
      <c r="D459" s="10"/>
    </row>
    <row r="460">
      <c r="A460" s="10"/>
      <c r="D460" s="10"/>
    </row>
    <row r="461">
      <c r="A461" s="10"/>
      <c r="D461" s="10"/>
    </row>
    <row r="462">
      <c r="A462" s="10"/>
      <c r="D462" s="10"/>
    </row>
    <row r="463">
      <c r="A463" s="10"/>
      <c r="D463" s="10"/>
    </row>
    <row r="464">
      <c r="A464" s="10"/>
      <c r="D464" s="10"/>
    </row>
    <row r="465">
      <c r="A465" s="10"/>
      <c r="D465" s="10"/>
    </row>
    <row r="466">
      <c r="A466" s="10"/>
      <c r="D466" s="10"/>
    </row>
    <row r="467">
      <c r="A467" s="10"/>
      <c r="D467" s="10"/>
    </row>
    <row r="468">
      <c r="A468" s="10"/>
      <c r="D468" s="10"/>
    </row>
    <row r="469">
      <c r="A469" s="10"/>
      <c r="D469" s="10"/>
    </row>
    <row r="470">
      <c r="A470" s="10"/>
      <c r="D470" s="10"/>
    </row>
    <row r="471">
      <c r="A471" s="10"/>
      <c r="D471" s="10"/>
    </row>
    <row r="472">
      <c r="A472" s="10"/>
      <c r="D472" s="10"/>
    </row>
    <row r="473">
      <c r="A473" s="10"/>
      <c r="D473" s="10"/>
    </row>
    <row r="474">
      <c r="A474" s="10"/>
      <c r="D474" s="10"/>
    </row>
    <row r="475">
      <c r="A475" s="10"/>
      <c r="D475" s="10"/>
    </row>
    <row r="476">
      <c r="A476" s="10"/>
      <c r="D476" s="10"/>
    </row>
    <row r="477">
      <c r="A477" s="10"/>
      <c r="D477" s="10"/>
    </row>
    <row r="478">
      <c r="A478" s="10"/>
      <c r="D478" s="10"/>
    </row>
    <row r="479">
      <c r="A479" s="10"/>
      <c r="D479" s="10"/>
    </row>
    <row r="480">
      <c r="A480" s="10"/>
      <c r="D480" s="10"/>
    </row>
    <row r="481">
      <c r="A481" s="10"/>
      <c r="D481" s="10"/>
    </row>
    <row r="482">
      <c r="A482" s="10"/>
      <c r="D482" s="10"/>
    </row>
    <row r="483">
      <c r="A483" s="10"/>
      <c r="D483" s="10"/>
    </row>
    <row r="484">
      <c r="A484" s="10"/>
      <c r="D484" s="10"/>
    </row>
    <row r="485">
      <c r="A485" s="10"/>
      <c r="D485" s="10"/>
    </row>
    <row r="486">
      <c r="A486" s="10"/>
      <c r="D486" s="10"/>
    </row>
    <row r="487">
      <c r="A487" s="10"/>
      <c r="D487" s="10"/>
    </row>
    <row r="488">
      <c r="A488" s="10"/>
      <c r="D488" s="10"/>
    </row>
    <row r="489">
      <c r="A489" s="10"/>
      <c r="D489" s="10"/>
    </row>
    <row r="490">
      <c r="A490" s="10"/>
      <c r="D490" s="10"/>
    </row>
    <row r="491">
      <c r="A491" s="10"/>
      <c r="D491" s="10"/>
    </row>
    <row r="492">
      <c r="A492" s="10"/>
      <c r="D492" s="10"/>
    </row>
    <row r="493">
      <c r="A493" s="10"/>
      <c r="D493" s="10"/>
    </row>
    <row r="494">
      <c r="A494" s="10"/>
      <c r="D494" s="10"/>
    </row>
    <row r="495">
      <c r="A495" s="10"/>
      <c r="D495" s="10"/>
    </row>
    <row r="496">
      <c r="A496" s="10"/>
      <c r="D496" s="10"/>
    </row>
    <row r="497">
      <c r="A497" s="10"/>
      <c r="D497" s="10"/>
    </row>
    <row r="498">
      <c r="A498" s="10"/>
      <c r="D498" s="10"/>
    </row>
    <row r="499">
      <c r="A499" s="10"/>
      <c r="D499" s="10"/>
    </row>
    <row r="500">
      <c r="A500" s="10"/>
      <c r="D500" s="10"/>
    </row>
    <row r="501">
      <c r="A501" s="10"/>
      <c r="D501" s="10"/>
    </row>
    <row r="502">
      <c r="A502" s="10"/>
      <c r="D502" s="10"/>
    </row>
    <row r="503">
      <c r="A503" s="10"/>
      <c r="D503" s="10"/>
    </row>
    <row r="504">
      <c r="A504" s="10"/>
      <c r="D504" s="10"/>
    </row>
    <row r="505">
      <c r="A505" s="10"/>
      <c r="D505" s="10"/>
    </row>
    <row r="506">
      <c r="A506" s="10"/>
      <c r="D506" s="10"/>
    </row>
    <row r="507">
      <c r="A507" s="10"/>
      <c r="D507" s="10"/>
    </row>
    <row r="508">
      <c r="A508" s="10"/>
      <c r="D508" s="10"/>
    </row>
    <row r="509">
      <c r="A509" s="10"/>
      <c r="D509" s="10"/>
    </row>
    <row r="510">
      <c r="A510" s="10"/>
      <c r="D510" s="10"/>
    </row>
    <row r="511">
      <c r="A511" s="10"/>
      <c r="D511" s="10"/>
    </row>
    <row r="512">
      <c r="A512" s="10"/>
      <c r="D512" s="10"/>
    </row>
    <row r="513">
      <c r="A513" s="10"/>
      <c r="D513" s="10"/>
    </row>
    <row r="514">
      <c r="A514" s="10"/>
      <c r="D514" s="10"/>
    </row>
    <row r="515">
      <c r="A515" s="10"/>
      <c r="D515" s="10"/>
    </row>
    <row r="516">
      <c r="A516" s="10"/>
      <c r="D516" s="10"/>
    </row>
    <row r="517">
      <c r="A517" s="10"/>
      <c r="D517" s="10"/>
    </row>
    <row r="518">
      <c r="A518" s="10"/>
      <c r="D518" s="10"/>
    </row>
    <row r="519">
      <c r="A519" s="10"/>
      <c r="D519" s="10"/>
    </row>
    <row r="520">
      <c r="A520" s="10"/>
      <c r="D520" s="10"/>
    </row>
    <row r="521">
      <c r="A521" s="10"/>
      <c r="D521" s="10"/>
    </row>
    <row r="522">
      <c r="A522" s="10"/>
      <c r="D522" s="10"/>
    </row>
    <row r="523">
      <c r="A523" s="10"/>
      <c r="D523" s="10"/>
    </row>
    <row r="524">
      <c r="A524" s="10"/>
      <c r="D524" s="10"/>
    </row>
    <row r="525">
      <c r="A525" s="10"/>
      <c r="D525" s="10"/>
    </row>
    <row r="526">
      <c r="A526" s="10"/>
      <c r="D526" s="10"/>
    </row>
    <row r="527">
      <c r="A527" s="10"/>
      <c r="D527" s="10"/>
    </row>
    <row r="528">
      <c r="A528" s="10"/>
      <c r="D528" s="10"/>
    </row>
    <row r="529">
      <c r="A529" s="10"/>
      <c r="D529" s="10"/>
    </row>
    <row r="530">
      <c r="A530" s="10"/>
      <c r="D530" s="10"/>
    </row>
    <row r="531">
      <c r="A531" s="10"/>
      <c r="D531" s="10"/>
    </row>
    <row r="532">
      <c r="A532" s="10"/>
      <c r="D532" s="10"/>
    </row>
    <row r="533">
      <c r="A533" s="10"/>
      <c r="D533" s="10"/>
    </row>
    <row r="534">
      <c r="A534" s="10"/>
      <c r="D534" s="10"/>
    </row>
    <row r="535">
      <c r="A535" s="10"/>
      <c r="D535" s="10"/>
    </row>
    <row r="536">
      <c r="A536" s="10"/>
      <c r="D536" s="10"/>
    </row>
    <row r="537">
      <c r="A537" s="10"/>
      <c r="D537" s="10"/>
    </row>
    <row r="538">
      <c r="A538" s="10"/>
      <c r="D538" s="10"/>
    </row>
    <row r="539">
      <c r="A539" s="10"/>
      <c r="D539" s="10"/>
    </row>
    <row r="540">
      <c r="A540" s="10"/>
      <c r="D540" s="10"/>
    </row>
    <row r="541">
      <c r="A541" s="10"/>
      <c r="D541" s="10"/>
    </row>
    <row r="542">
      <c r="A542" s="10"/>
      <c r="D542" s="10"/>
    </row>
    <row r="543">
      <c r="A543" s="10"/>
      <c r="D543" s="10"/>
    </row>
    <row r="544">
      <c r="A544" s="10"/>
      <c r="D544" s="10"/>
    </row>
    <row r="545">
      <c r="A545" s="10"/>
      <c r="D545" s="10"/>
    </row>
    <row r="546">
      <c r="A546" s="10"/>
      <c r="D546" s="10"/>
    </row>
    <row r="547">
      <c r="A547" s="10"/>
      <c r="D547" s="10"/>
    </row>
    <row r="548">
      <c r="A548" s="10"/>
      <c r="D548" s="10"/>
    </row>
    <row r="549">
      <c r="A549" s="10"/>
      <c r="D549" s="10"/>
    </row>
    <row r="550">
      <c r="A550" s="10"/>
      <c r="D550" s="10"/>
    </row>
    <row r="551">
      <c r="A551" s="10"/>
      <c r="D551" s="10"/>
    </row>
    <row r="552">
      <c r="A552" s="10"/>
      <c r="D552" s="10"/>
    </row>
    <row r="553">
      <c r="A553" s="10"/>
      <c r="D553" s="10"/>
    </row>
    <row r="554">
      <c r="A554" s="10"/>
      <c r="D554" s="10"/>
    </row>
    <row r="555">
      <c r="A555" s="10"/>
      <c r="D555" s="10"/>
    </row>
    <row r="556">
      <c r="A556" s="10"/>
      <c r="D556" s="10"/>
    </row>
    <row r="557">
      <c r="A557" s="10"/>
      <c r="D557" s="10"/>
    </row>
    <row r="558">
      <c r="A558" s="10"/>
      <c r="D558" s="10"/>
    </row>
    <row r="559">
      <c r="A559" s="10"/>
      <c r="D559" s="10"/>
    </row>
    <row r="560">
      <c r="A560" s="10"/>
      <c r="D560" s="10"/>
    </row>
    <row r="561">
      <c r="A561" s="10"/>
      <c r="D561" s="10"/>
    </row>
    <row r="562">
      <c r="A562" s="10"/>
      <c r="D562" s="10"/>
    </row>
    <row r="563">
      <c r="A563" s="10"/>
      <c r="D563" s="10"/>
    </row>
    <row r="564">
      <c r="A564" s="10"/>
      <c r="D564" s="10"/>
    </row>
    <row r="565">
      <c r="A565" s="10"/>
      <c r="D565" s="10"/>
    </row>
    <row r="566">
      <c r="A566" s="10"/>
      <c r="D566" s="10"/>
    </row>
    <row r="567">
      <c r="A567" s="10"/>
      <c r="D567" s="10"/>
    </row>
    <row r="568">
      <c r="A568" s="10"/>
      <c r="D568" s="10"/>
    </row>
    <row r="569">
      <c r="A569" s="10"/>
      <c r="D569" s="10"/>
    </row>
    <row r="570">
      <c r="A570" s="10"/>
      <c r="D570" s="10"/>
    </row>
    <row r="571">
      <c r="A571" s="10"/>
      <c r="D571" s="10"/>
    </row>
    <row r="572">
      <c r="A572" s="10"/>
      <c r="D572" s="10"/>
    </row>
    <row r="573">
      <c r="A573" s="10"/>
      <c r="D573" s="10"/>
    </row>
    <row r="574">
      <c r="A574" s="10"/>
      <c r="D574" s="10"/>
    </row>
    <row r="575">
      <c r="A575" s="10"/>
      <c r="D575" s="10"/>
    </row>
    <row r="576">
      <c r="A576" s="10"/>
      <c r="D576" s="10"/>
    </row>
    <row r="577">
      <c r="A577" s="10"/>
      <c r="D577" s="10"/>
    </row>
    <row r="578">
      <c r="A578" s="10"/>
      <c r="D578" s="10"/>
    </row>
    <row r="579">
      <c r="A579" s="10"/>
      <c r="D579" s="10"/>
    </row>
    <row r="580">
      <c r="A580" s="10"/>
      <c r="D580" s="10"/>
    </row>
    <row r="581">
      <c r="A581" s="10"/>
      <c r="D581" s="10"/>
    </row>
    <row r="582">
      <c r="A582" s="10"/>
      <c r="D582" s="10"/>
    </row>
    <row r="583">
      <c r="A583" s="10"/>
      <c r="D583" s="10"/>
    </row>
    <row r="584">
      <c r="A584" s="10"/>
      <c r="D584" s="10"/>
    </row>
    <row r="585">
      <c r="A585" s="10"/>
      <c r="D585" s="10"/>
    </row>
    <row r="586">
      <c r="A586" s="10"/>
      <c r="D586" s="10"/>
    </row>
    <row r="587">
      <c r="A587" s="10"/>
      <c r="D587" s="10"/>
    </row>
    <row r="588">
      <c r="A588" s="10"/>
      <c r="D588" s="10"/>
    </row>
    <row r="589">
      <c r="A589" s="10"/>
      <c r="D589" s="10"/>
    </row>
    <row r="590">
      <c r="A590" s="10"/>
      <c r="D590" s="10"/>
    </row>
    <row r="591">
      <c r="A591" s="10"/>
      <c r="D591" s="10"/>
    </row>
    <row r="592">
      <c r="A592" s="10"/>
      <c r="D592" s="10"/>
    </row>
    <row r="593">
      <c r="A593" s="10"/>
      <c r="D593" s="10"/>
    </row>
    <row r="594">
      <c r="A594" s="10"/>
      <c r="D594" s="10"/>
    </row>
    <row r="595">
      <c r="A595" s="10"/>
      <c r="D595" s="10"/>
    </row>
    <row r="596">
      <c r="A596" s="10"/>
      <c r="D596" s="10"/>
    </row>
    <row r="597">
      <c r="A597" s="10"/>
      <c r="D597" s="10"/>
    </row>
    <row r="598">
      <c r="A598" s="10"/>
      <c r="D598" s="10"/>
    </row>
    <row r="599">
      <c r="A599" s="10"/>
      <c r="D599" s="10"/>
    </row>
    <row r="600">
      <c r="A600" s="10"/>
      <c r="D600" s="10"/>
    </row>
    <row r="601">
      <c r="A601" s="10"/>
      <c r="D601" s="10"/>
    </row>
    <row r="602">
      <c r="A602" s="10"/>
      <c r="D602" s="10"/>
    </row>
    <row r="603">
      <c r="A603" s="10"/>
      <c r="D603" s="10"/>
    </row>
    <row r="604">
      <c r="A604" s="10"/>
      <c r="D604" s="10"/>
    </row>
    <row r="605">
      <c r="A605" s="10"/>
      <c r="D605" s="10"/>
    </row>
    <row r="606">
      <c r="A606" s="10"/>
      <c r="D606" s="10"/>
    </row>
    <row r="607">
      <c r="A607" s="10"/>
      <c r="D607" s="10"/>
    </row>
    <row r="608">
      <c r="A608" s="10"/>
      <c r="D608" s="10"/>
    </row>
    <row r="609">
      <c r="A609" s="10"/>
      <c r="D609" s="10"/>
    </row>
    <row r="610">
      <c r="A610" s="10"/>
      <c r="D610" s="10"/>
    </row>
    <row r="611">
      <c r="A611" s="10"/>
      <c r="D611" s="10"/>
    </row>
    <row r="612">
      <c r="A612" s="10"/>
      <c r="D612" s="10"/>
    </row>
    <row r="613">
      <c r="A613" s="10"/>
      <c r="D613" s="10"/>
    </row>
    <row r="614">
      <c r="A614" s="10"/>
      <c r="D614" s="10"/>
    </row>
    <row r="615">
      <c r="A615" s="10"/>
      <c r="D615" s="10"/>
    </row>
    <row r="616">
      <c r="A616" s="10"/>
      <c r="D616" s="10"/>
    </row>
    <row r="617">
      <c r="A617" s="10"/>
      <c r="D617" s="10"/>
    </row>
    <row r="618">
      <c r="A618" s="10"/>
      <c r="D618" s="10"/>
    </row>
    <row r="619">
      <c r="A619" s="10"/>
      <c r="D619" s="10"/>
    </row>
    <row r="620">
      <c r="A620" s="10"/>
      <c r="D620" s="10"/>
    </row>
    <row r="621">
      <c r="A621" s="10"/>
      <c r="D621" s="10"/>
    </row>
    <row r="622">
      <c r="A622" s="10"/>
      <c r="D622" s="10"/>
    </row>
    <row r="623">
      <c r="A623" s="10"/>
      <c r="D623" s="10"/>
    </row>
    <row r="624">
      <c r="A624" s="10"/>
      <c r="D624" s="10"/>
    </row>
    <row r="625">
      <c r="A625" s="10"/>
      <c r="D625" s="10"/>
    </row>
    <row r="626">
      <c r="A626" s="10"/>
      <c r="D626" s="10"/>
    </row>
    <row r="627">
      <c r="A627" s="10"/>
      <c r="D627" s="10"/>
    </row>
    <row r="628">
      <c r="A628" s="10"/>
      <c r="D628" s="10"/>
    </row>
    <row r="629">
      <c r="A629" s="10"/>
      <c r="D629" s="10"/>
    </row>
    <row r="630">
      <c r="A630" s="10"/>
      <c r="D630" s="10"/>
    </row>
    <row r="631">
      <c r="A631" s="10"/>
      <c r="D631" s="10"/>
    </row>
    <row r="632">
      <c r="A632" s="10"/>
      <c r="D632" s="10"/>
    </row>
    <row r="633">
      <c r="A633" s="10"/>
      <c r="D633" s="10"/>
    </row>
    <row r="634">
      <c r="A634" s="10"/>
      <c r="D634" s="10"/>
    </row>
    <row r="635">
      <c r="A635" s="10"/>
      <c r="D635" s="10"/>
    </row>
    <row r="636">
      <c r="A636" s="10"/>
      <c r="D636" s="10"/>
    </row>
    <row r="637">
      <c r="A637" s="10"/>
      <c r="D637" s="10"/>
    </row>
    <row r="638">
      <c r="A638" s="10"/>
      <c r="D638" s="10"/>
    </row>
    <row r="639">
      <c r="A639" s="10"/>
      <c r="D639" s="10"/>
    </row>
    <row r="640">
      <c r="A640" s="10"/>
      <c r="D640" s="10"/>
    </row>
    <row r="641">
      <c r="A641" s="10"/>
      <c r="D641" s="10"/>
    </row>
    <row r="642">
      <c r="A642" s="10"/>
      <c r="D642" s="10"/>
    </row>
    <row r="643">
      <c r="A643" s="10"/>
      <c r="D643" s="10"/>
    </row>
    <row r="644">
      <c r="A644" s="10"/>
      <c r="D644" s="10"/>
    </row>
    <row r="645">
      <c r="A645" s="10"/>
      <c r="D645" s="10"/>
    </row>
    <row r="646">
      <c r="A646" s="10"/>
      <c r="D646" s="10"/>
    </row>
    <row r="647">
      <c r="A647" s="10"/>
      <c r="D647" s="10"/>
    </row>
    <row r="648">
      <c r="A648" s="10"/>
      <c r="D648" s="10"/>
    </row>
    <row r="649">
      <c r="A649" s="10"/>
      <c r="D649" s="10"/>
    </row>
    <row r="650">
      <c r="A650" s="10"/>
      <c r="D650" s="10"/>
    </row>
    <row r="651">
      <c r="A651" s="10"/>
      <c r="D651" s="10"/>
    </row>
    <row r="652">
      <c r="A652" s="10"/>
      <c r="D652" s="10"/>
    </row>
    <row r="653">
      <c r="A653" s="10"/>
      <c r="D653" s="10"/>
    </row>
    <row r="654">
      <c r="A654" s="10"/>
      <c r="D654" s="10"/>
    </row>
    <row r="655">
      <c r="A655" s="10"/>
      <c r="D655" s="10"/>
    </row>
    <row r="656">
      <c r="A656" s="10"/>
      <c r="D656" s="10"/>
    </row>
    <row r="657">
      <c r="A657" s="10"/>
      <c r="D657" s="10"/>
    </row>
    <row r="658">
      <c r="A658" s="10"/>
      <c r="D658" s="10"/>
    </row>
    <row r="659">
      <c r="A659" s="10"/>
      <c r="D659" s="10"/>
    </row>
    <row r="660">
      <c r="A660" s="10"/>
      <c r="D660" s="10"/>
    </row>
    <row r="661">
      <c r="A661" s="10"/>
      <c r="D661" s="10"/>
    </row>
    <row r="662">
      <c r="A662" s="10"/>
      <c r="D662" s="10"/>
    </row>
    <row r="663">
      <c r="A663" s="10"/>
      <c r="D663" s="10"/>
    </row>
    <row r="664">
      <c r="A664" s="10"/>
      <c r="D664" s="10"/>
    </row>
    <row r="665">
      <c r="A665" s="10"/>
      <c r="D665" s="10"/>
    </row>
    <row r="666">
      <c r="A666" s="10"/>
      <c r="D666" s="10"/>
    </row>
    <row r="667">
      <c r="A667" s="10"/>
      <c r="D667" s="10"/>
    </row>
    <row r="668">
      <c r="A668" s="10"/>
      <c r="D668" s="10"/>
    </row>
    <row r="669">
      <c r="A669" s="10"/>
      <c r="D669" s="10"/>
    </row>
    <row r="670">
      <c r="A670" s="10"/>
      <c r="D670" s="10"/>
    </row>
    <row r="671">
      <c r="A671" s="10"/>
      <c r="D671" s="10"/>
    </row>
    <row r="672">
      <c r="A672" s="10"/>
      <c r="D672" s="10"/>
    </row>
    <row r="673">
      <c r="A673" s="10"/>
      <c r="D673" s="10"/>
    </row>
    <row r="674">
      <c r="A674" s="10"/>
      <c r="D674" s="10"/>
    </row>
    <row r="675">
      <c r="A675" s="10"/>
      <c r="D675" s="10"/>
    </row>
    <row r="676">
      <c r="A676" s="10"/>
      <c r="D676" s="10"/>
    </row>
    <row r="677">
      <c r="A677" s="10"/>
      <c r="D677" s="10"/>
    </row>
    <row r="678">
      <c r="A678" s="10"/>
      <c r="D678" s="10"/>
    </row>
    <row r="679">
      <c r="A679" s="10"/>
      <c r="D679" s="10"/>
    </row>
    <row r="680">
      <c r="A680" s="10"/>
      <c r="D680" s="10"/>
    </row>
    <row r="681">
      <c r="A681" s="10"/>
      <c r="D681" s="10"/>
    </row>
    <row r="682">
      <c r="A682" s="10"/>
      <c r="D682" s="10"/>
    </row>
    <row r="683">
      <c r="A683" s="10"/>
      <c r="D683" s="10"/>
    </row>
    <row r="684">
      <c r="A684" s="10"/>
      <c r="D684" s="10"/>
    </row>
    <row r="685">
      <c r="A685" s="10"/>
      <c r="D685" s="10"/>
    </row>
    <row r="686">
      <c r="A686" s="10"/>
      <c r="D686" s="10"/>
    </row>
    <row r="687">
      <c r="A687" s="10"/>
      <c r="D687" s="10"/>
    </row>
    <row r="688">
      <c r="A688" s="10"/>
      <c r="D688" s="10"/>
    </row>
    <row r="689">
      <c r="A689" s="10"/>
      <c r="D689" s="10"/>
    </row>
    <row r="690">
      <c r="A690" s="10"/>
      <c r="D690" s="10"/>
    </row>
    <row r="691">
      <c r="A691" s="10"/>
      <c r="D691" s="10"/>
    </row>
    <row r="692">
      <c r="A692" s="10"/>
      <c r="D692" s="10"/>
    </row>
    <row r="693">
      <c r="A693" s="10"/>
      <c r="D693" s="10"/>
    </row>
    <row r="694">
      <c r="A694" s="10"/>
      <c r="D694" s="10"/>
    </row>
    <row r="695">
      <c r="A695" s="10"/>
      <c r="D695" s="10"/>
    </row>
    <row r="696">
      <c r="A696" s="10"/>
      <c r="D696" s="10"/>
    </row>
    <row r="697">
      <c r="A697" s="10"/>
      <c r="D697" s="10"/>
    </row>
    <row r="698">
      <c r="A698" s="10"/>
      <c r="D698" s="10"/>
    </row>
    <row r="699">
      <c r="A699" s="10"/>
      <c r="D699" s="10"/>
    </row>
    <row r="700">
      <c r="A700" s="10"/>
      <c r="D700" s="10"/>
    </row>
    <row r="701">
      <c r="A701" s="10"/>
      <c r="D701" s="10"/>
    </row>
    <row r="702">
      <c r="A702" s="10"/>
      <c r="D702" s="10"/>
    </row>
    <row r="703">
      <c r="A703" s="10"/>
      <c r="D703" s="10"/>
    </row>
    <row r="704">
      <c r="A704" s="10"/>
      <c r="D704" s="10"/>
    </row>
    <row r="705">
      <c r="A705" s="10"/>
      <c r="D705" s="10"/>
    </row>
    <row r="706">
      <c r="A706" s="10"/>
      <c r="D706" s="10"/>
    </row>
    <row r="707">
      <c r="A707" s="10"/>
      <c r="D707" s="10"/>
    </row>
    <row r="708">
      <c r="A708" s="10"/>
      <c r="D708" s="10"/>
    </row>
    <row r="709">
      <c r="A709" s="10"/>
      <c r="D709" s="10"/>
    </row>
    <row r="710">
      <c r="A710" s="10"/>
      <c r="D710" s="10"/>
    </row>
    <row r="711">
      <c r="A711" s="10"/>
      <c r="D711" s="10"/>
    </row>
    <row r="712">
      <c r="A712" s="10"/>
      <c r="D712" s="10"/>
    </row>
    <row r="713">
      <c r="A713" s="10"/>
      <c r="D713" s="10"/>
    </row>
    <row r="714">
      <c r="A714" s="10"/>
      <c r="D714" s="10"/>
    </row>
    <row r="715">
      <c r="A715" s="10"/>
      <c r="D715" s="10"/>
    </row>
    <row r="716">
      <c r="A716" s="10"/>
      <c r="D716" s="10"/>
    </row>
    <row r="717">
      <c r="A717" s="10"/>
      <c r="D717" s="10"/>
    </row>
    <row r="718">
      <c r="A718" s="10"/>
      <c r="D718" s="10"/>
    </row>
    <row r="719">
      <c r="A719" s="10"/>
      <c r="D719" s="10"/>
    </row>
    <row r="720">
      <c r="A720" s="10"/>
      <c r="D720" s="10"/>
    </row>
    <row r="721">
      <c r="A721" s="10"/>
      <c r="D721" s="10"/>
    </row>
    <row r="722">
      <c r="A722" s="10"/>
      <c r="D722" s="10"/>
    </row>
    <row r="723">
      <c r="A723" s="10"/>
      <c r="D723" s="10"/>
    </row>
    <row r="724">
      <c r="A724" s="10"/>
      <c r="D724" s="10"/>
    </row>
    <row r="725">
      <c r="A725" s="10"/>
      <c r="D725" s="10"/>
    </row>
    <row r="726">
      <c r="A726" s="10"/>
      <c r="D726" s="10"/>
    </row>
    <row r="727">
      <c r="A727" s="10"/>
      <c r="D727" s="10"/>
    </row>
    <row r="728">
      <c r="A728" s="10"/>
      <c r="D728" s="10"/>
    </row>
    <row r="729">
      <c r="A729" s="10"/>
      <c r="D729" s="10"/>
    </row>
    <row r="730">
      <c r="A730" s="10"/>
      <c r="D730" s="10"/>
    </row>
    <row r="731">
      <c r="A731" s="10"/>
      <c r="D731" s="10"/>
    </row>
    <row r="732">
      <c r="A732" s="10"/>
      <c r="D732" s="10"/>
    </row>
    <row r="733">
      <c r="A733" s="10"/>
      <c r="D733" s="10"/>
    </row>
    <row r="734">
      <c r="A734" s="10"/>
      <c r="D734" s="10"/>
    </row>
    <row r="735">
      <c r="A735" s="10"/>
      <c r="D735" s="10"/>
    </row>
    <row r="736">
      <c r="A736" s="10"/>
      <c r="D736" s="10"/>
    </row>
    <row r="737">
      <c r="A737" s="10"/>
      <c r="D737" s="10"/>
    </row>
    <row r="738">
      <c r="A738" s="10"/>
      <c r="D738" s="10"/>
    </row>
    <row r="739">
      <c r="A739" s="10"/>
      <c r="D739" s="10"/>
    </row>
    <row r="740">
      <c r="A740" s="10"/>
      <c r="D740" s="10"/>
    </row>
    <row r="741">
      <c r="A741" s="10"/>
      <c r="D741" s="10"/>
    </row>
    <row r="742">
      <c r="A742" s="10"/>
      <c r="D742" s="10"/>
    </row>
    <row r="743">
      <c r="A743" s="10"/>
      <c r="D743" s="10"/>
    </row>
    <row r="744">
      <c r="A744" s="10"/>
      <c r="D744" s="10"/>
    </row>
    <row r="745">
      <c r="A745" s="10"/>
      <c r="D745" s="10"/>
    </row>
    <row r="746">
      <c r="A746" s="10"/>
      <c r="D746" s="10"/>
    </row>
    <row r="747">
      <c r="A747" s="10"/>
      <c r="D747" s="10"/>
    </row>
    <row r="748">
      <c r="A748" s="10"/>
      <c r="D748" s="10"/>
    </row>
    <row r="749">
      <c r="A749" s="10"/>
      <c r="D749" s="10"/>
    </row>
    <row r="750">
      <c r="A750" s="10"/>
      <c r="D750" s="10"/>
    </row>
    <row r="751">
      <c r="A751" s="10"/>
      <c r="D751" s="10"/>
    </row>
    <row r="752">
      <c r="A752" s="10"/>
      <c r="D752" s="10"/>
    </row>
    <row r="753">
      <c r="A753" s="10"/>
      <c r="D753" s="10"/>
    </row>
    <row r="754">
      <c r="A754" s="10"/>
      <c r="D754" s="10"/>
    </row>
    <row r="755">
      <c r="A755" s="10"/>
      <c r="D755" s="10"/>
    </row>
    <row r="756">
      <c r="A756" s="10"/>
      <c r="D756" s="10"/>
    </row>
    <row r="757">
      <c r="A757" s="10"/>
      <c r="D757" s="10"/>
    </row>
    <row r="758">
      <c r="A758" s="10"/>
      <c r="D758" s="10"/>
    </row>
    <row r="759">
      <c r="A759" s="10"/>
      <c r="D759" s="10"/>
    </row>
    <row r="760">
      <c r="A760" s="10"/>
      <c r="D760" s="10"/>
    </row>
    <row r="761">
      <c r="A761" s="10"/>
      <c r="D761" s="10"/>
    </row>
    <row r="762">
      <c r="A762" s="10"/>
      <c r="D762" s="10"/>
    </row>
    <row r="763">
      <c r="A763" s="10"/>
      <c r="D763" s="10"/>
    </row>
    <row r="764">
      <c r="A764" s="10"/>
      <c r="D764" s="10"/>
    </row>
    <row r="765">
      <c r="A765" s="10"/>
      <c r="D765" s="10"/>
    </row>
    <row r="766">
      <c r="A766" s="10"/>
      <c r="D766" s="10"/>
    </row>
    <row r="767">
      <c r="A767" s="10"/>
      <c r="D767" s="10"/>
    </row>
    <row r="768">
      <c r="A768" s="10"/>
      <c r="D768" s="10"/>
    </row>
    <row r="769">
      <c r="A769" s="10"/>
      <c r="D769" s="10"/>
    </row>
    <row r="770">
      <c r="A770" s="10"/>
      <c r="D770" s="10"/>
    </row>
    <row r="771">
      <c r="A771" s="10"/>
      <c r="D771" s="10"/>
    </row>
    <row r="772">
      <c r="A772" s="10"/>
      <c r="D772" s="10"/>
    </row>
    <row r="773">
      <c r="A773" s="10"/>
      <c r="D773" s="10"/>
    </row>
    <row r="774">
      <c r="A774" s="10"/>
      <c r="D774" s="10"/>
    </row>
    <row r="775">
      <c r="A775" s="10"/>
      <c r="D775" s="10"/>
    </row>
    <row r="776">
      <c r="A776" s="10"/>
      <c r="D776" s="10"/>
    </row>
    <row r="777">
      <c r="A777" s="10"/>
      <c r="D777" s="10"/>
    </row>
    <row r="778">
      <c r="A778" s="10"/>
      <c r="D778" s="10"/>
    </row>
    <row r="779">
      <c r="A779" s="10"/>
      <c r="D779" s="10"/>
    </row>
    <row r="780">
      <c r="A780" s="10"/>
      <c r="D780" s="10"/>
    </row>
    <row r="781">
      <c r="A781" s="10"/>
      <c r="D781" s="10"/>
    </row>
    <row r="782">
      <c r="A782" s="10"/>
      <c r="D782" s="10"/>
    </row>
    <row r="783">
      <c r="A783" s="10"/>
      <c r="D783" s="10"/>
    </row>
    <row r="784">
      <c r="A784" s="10"/>
      <c r="D784" s="10"/>
    </row>
    <row r="785">
      <c r="A785" s="10"/>
      <c r="D785" s="10"/>
    </row>
    <row r="786">
      <c r="A786" s="10"/>
      <c r="D786" s="10"/>
    </row>
    <row r="787">
      <c r="A787" s="10"/>
      <c r="D787" s="10"/>
    </row>
    <row r="788">
      <c r="A788" s="10"/>
      <c r="D788" s="10"/>
    </row>
    <row r="789">
      <c r="A789" s="10"/>
      <c r="D789" s="10"/>
    </row>
    <row r="790">
      <c r="A790" s="10"/>
      <c r="D790" s="10"/>
    </row>
    <row r="791">
      <c r="A791" s="10"/>
      <c r="D791" s="10"/>
    </row>
    <row r="792">
      <c r="A792" s="10"/>
      <c r="D792" s="10"/>
    </row>
    <row r="793">
      <c r="A793" s="10"/>
      <c r="D793" s="10"/>
    </row>
    <row r="794">
      <c r="A794" s="10"/>
      <c r="D794" s="10"/>
    </row>
    <row r="795">
      <c r="A795" s="10"/>
      <c r="D795" s="10"/>
    </row>
    <row r="796">
      <c r="A796" s="10"/>
      <c r="D796" s="10"/>
    </row>
    <row r="797">
      <c r="A797" s="10"/>
      <c r="D797" s="10"/>
    </row>
    <row r="798">
      <c r="A798" s="10"/>
      <c r="D798" s="10"/>
    </row>
    <row r="799">
      <c r="A799" s="10"/>
      <c r="D799" s="10"/>
    </row>
    <row r="800">
      <c r="A800" s="10"/>
      <c r="D800" s="10"/>
    </row>
    <row r="801">
      <c r="A801" s="10"/>
      <c r="D801" s="10"/>
    </row>
    <row r="802">
      <c r="A802" s="10"/>
      <c r="D802" s="10"/>
    </row>
    <row r="803">
      <c r="A803" s="10"/>
      <c r="D803" s="10"/>
    </row>
    <row r="804">
      <c r="A804" s="10"/>
      <c r="D804" s="10"/>
    </row>
    <row r="805">
      <c r="A805" s="10"/>
      <c r="D805" s="10"/>
    </row>
    <row r="806">
      <c r="A806" s="10"/>
      <c r="D806" s="10"/>
    </row>
    <row r="807">
      <c r="A807" s="10"/>
      <c r="D807" s="10"/>
    </row>
    <row r="808">
      <c r="A808" s="10"/>
      <c r="D808" s="10"/>
    </row>
    <row r="809">
      <c r="A809" s="10"/>
      <c r="D809" s="10"/>
    </row>
    <row r="810">
      <c r="A810" s="10"/>
      <c r="D810" s="10"/>
    </row>
    <row r="811">
      <c r="A811" s="10"/>
      <c r="D811" s="10"/>
    </row>
    <row r="812">
      <c r="A812" s="10"/>
      <c r="D812" s="10"/>
    </row>
    <row r="813">
      <c r="A813" s="10"/>
      <c r="D813" s="10"/>
    </row>
    <row r="814">
      <c r="A814" s="10"/>
      <c r="D814" s="10"/>
    </row>
    <row r="815">
      <c r="A815" s="10"/>
      <c r="D815" s="10"/>
    </row>
    <row r="816">
      <c r="A816" s="10"/>
      <c r="D816" s="10"/>
    </row>
    <row r="817">
      <c r="A817" s="10"/>
      <c r="D817" s="10"/>
    </row>
    <row r="818">
      <c r="A818" s="10"/>
      <c r="D818" s="10"/>
    </row>
    <row r="819">
      <c r="A819" s="10"/>
      <c r="D819" s="10"/>
    </row>
    <row r="820">
      <c r="A820" s="10"/>
      <c r="D820" s="10"/>
    </row>
    <row r="821">
      <c r="A821" s="10"/>
      <c r="D821" s="10"/>
    </row>
    <row r="822">
      <c r="A822" s="10"/>
      <c r="D822" s="10"/>
    </row>
    <row r="823">
      <c r="A823" s="10"/>
      <c r="D823" s="10"/>
    </row>
    <row r="824">
      <c r="A824" s="10"/>
      <c r="D824" s="10"/>
    </row>
    <row r="825">
      <c r="A825" s="10"/>
      <c r="D825" s="10"/>
    </row>
    <row r="826">
      <c r="A826" s="10"/>
      <c r="D826" s="10"/>
    </row>
    <row r="827">
      <c r="A827" s="10"/>
      <c r="D827" s="10"/>
    </row>
    <row r="828">
      <c r="A828" s="10"/>
      <c r="D828" s="10"/>
    </row>
    <row r="829">
      <c r="A829" s="10"/>
      <c r="D829" s="10"/>
    </row>
    <row r="830">
      <c r="A830" s="10"/>
      <c r="D830" s="10"/>
    </row>
    <row r="831">
      <c r="A831" s="10"/>
      <c r="D831" s="10"/>
    </row>
    <row r="832">
      <c r="A832" s="10"/>
      <c r="D832" s="10"/>
    </row>
    <row r="833">
      <c r="A833" s="10"/>
      <c r="D833" s="10"/>
    </row>
    <row r="834">
      <c r="A834" s="10"/>
      <c r="D834" s="10"/>
    </row>
    <row r="835">
      <c r="A835" s="10"/>
      <c r="D835" s="10"/>
    </row>
    <row r="836">
      <c r="A836" s="10"/>
      <c r="D836" s="10"/>
    </row>
    <row r="837">
      <c r="A837" s="10"/>
      <c r="D837" s="10"/>
    </row>
    <row r="838">
      <c r="A838" s="10"/>
      <c r="D838" s="10"/>
    </row>
    <row r="839">
      <c r="A839" s="10"/>
      <c r="D839" s="10"/>
    </row>
    <row r="840">
      <c r="A840" s="10"/>
      <c r="D840" s="10"/>
    </row>
    <row r="841">
      <c r="A841" s="10"/>
      <c r="D841" s="10"/>
    </row>
    <row r="842">
      <c r="A842" s="10"/>
      <c r="D842" s="10"/>
    </row>
    <row r="843">
      <c r="A843" s="10"/>
      <c r="D843" s="10"/>
    </row>
    <row r="844">
      <c r="A844" s="10"/>
      <c r="D844" s="10"/>
    </row>
    <row r="845">
      <c r="A845" s="10"/>
      <c r="D845" s="10"/>
    </row>
    <row r="846">
      <c r="A846" s="10"/>
      <c r="D846" s="10"/>
    </row>
    <row r="847">
      <c r="A847" s="10"/>
      <c r="D847" s="10"/>
    </row>
    <row r="848">
      <c r="A848" s="10"/>
      <c r="D848" s="10"/>
    </row>
    <row r="849">
      <c r="A849" s="10"/>
      <c r="D849" s="10"/>
    </row>
    <row r="850">
      <c r="A850" s="10"/>
      <c r="D850" s="10"/>
    </row>
    <row r="851">
      <c r="A851" s="10"/>
      <c r="D851" s="10"/>
    </row>
    <row r="852">
      <c r="A852" s="10"/>
      <c r="D852" s="10"/>
    </row>
    <row r="853">
      <c r="A853" s="10"/>
      <c r="D853" s="10"/>
    </row>
    <row r="854">
      <c r="A854" s="10"/>
      <c r="D854" s="10"/>
    </row>
    <row r="855">
      <c r="A855" s="10"/>
      <c r="D855" s="10"/>
    </row>
    <row r="856">
      <c r="A856" s="10"/>
      <c r="D856" s="10"/>
    </row>
    <row r="857">
      <c r="A857" s="10"/>
      <c r="D857" s="10"/>
    </row>
    <row r="858">
      <c r="A858" s="10"/>
      <c r="D858" s="10"/>
    </row>
    <row r="859">
      <c r="A859" s="10"/>
      <c r="D859" s="10"/>
    </row>
    <row r="860">
      <c r="A860" s="10"/>
      <c r="D860" s="10"/>
    </row>
    <row r="861">
      <c r="A861" s="10"/>
      <c r="D861" s="10"/>
    </row>
    <row r="862">
      <c r="A862" s="10"/>
      <c r="D862" s="10"/>
    </row>
    <row r="863">
      <c r="A863" s="10"/>
      <c r="D863" s="10"/>
    </row>
    <row r="864">
      <c r="A864" s="10"/>
      <c r="D864" s="10"/>
    </row>
    <row r="865">
      <c r="A865" s="10"/>
      <c r="D865" s="10"/>
    </row>
    <row r="866">
      <c r="A866" s="10"/>
      <c r="D866" s="10"/>
    </row>
    <row r="867">
      <c r="A867" s="10"/>
      <c r="D867" s="10"/>
    </row>
    <row r="868">
      <c r="A868" s="10"/>
      <c r="D868" s="10"/>
    </row>
    <row r="869">
      <c r="A869" s="10"/>
      <c r="D869" s="10"/>
    </row>
    <row r="870">
      <c r="A870" s="10"/>
      <c r="D870" s="10"/>
    </row>
    <row r="871">
      <c r="A871" s="10"/>
      <c r="D871" s="10"/>
    </row>
    <row r="872">
      <c r="A872" s="10"/>
      <c r="D872" s="10"/>
    </row>
    <row r="873">
      <c r="A873" s="10"/>
      <c r="D873" s="10"/>
    </row>
    <row r="874">
      <c r="A874" s="10"/>
      <c r="D874" s="10"/>
    </row>
    <row r="875">
      <c r="A875" s="10"/>
      <c r="D875" s="10"/>
    </row>
    <row r="876">
      <c r="A876" s="10"/>
      <c r="D876" s="10"/>
    </row>
    <row r="877">
      <c r="A877" s="10"/>
      <c r="D877" s="10"/>
    </row>
    <row r="878">
      <c r="A878" s="10"/>
      <c r="D878" s="10"/>
    </row>
    <row r="879">
      <c r="A879" s="10"/>
      <c r="D879" s="10"/>
    </row>
    <row r="880">
      <c r="A880" s="10"/>
      <c r="D880" s="10"/>
    </row>
    <row r="881">
      <c r="A881" s="10"/>
      <c r="D881" s="10"/>
    </row>
    <row r="882">
      <c r="A882" s="10"/>
      <c r="D882" s="10"/>
    </row>
    <row r="883">
      <c r="A883" s="10"/>
      <c r="D883" s="10"/>
    </row>
    <row r="884">
      <c r="A884" s="10"/>
      <c r="D884" s="10"/>
    </row>
    <row r="885">
      <c r="A885" s="10"/>
      <c r="D885" s="10"/>
    </row>
    <row r="886">
      <c r="A886" s="10"/>
      <c r="D886" s="10"/>
    </row>
    <row r="887">
      <c r="A887" s="10"/>
      <c r="D887" s="10"/>
    </row>
    <row r="888">
      <c r="A888" s="10"/>
      <c r="D888" s="10"/>
    </row>
    <row r="889">
      <c r="A889" s="10"/>
      <c r="D889" s="10"/>
    </row>
    <row r="890">
      <c r="A890" s="10"/>
      <c r="D890" s="10"/>
    </row>
    <row r="891">
      <c r="A891" s="10"/>
      <c r="D891" s="10"/>
    </row>
    <row r="892">
      <c r="A892" s="10"/>
      <c r="D892" s="10"/>
    </row>
    <row r="893">
      <c r="A893" s="10"/>
      <c r="D893" s="10"/>
    </row>
    <row r="894">
      <c r="A894" s="10"/>
      <c r="D894" s="10"/>
    </row>
    <row r="895">
      <c r="A895" s="10"/>
      <c r="D895" s="10"/>
    </row>
    <row r="896">
      <c r="A896" s="10"/>
      <c r="D896" s="10"/>
    </row>
    <row r="897">
      <c r="A897" s="10"/>
      <c r="D897" s="10"/>
    </row>
    <row r="898">
      <c r="A898" s="10"/>
      <c r="D898" s="10"/>
    </row>
    <row r="899">
      <c r="A899" s="10"/>
      <c r="D899" s="10"/>
    </row>
    <row r="900">
      <c r="A900" s="10"/>
      <c r="D900" s="10"/>
    </row>
    <row r="901">
      <c r="A901" s="10"/>
      <c r="D901" s="10"/>
    </row>
    <row r="902">
      <c r="A902" s="10"/>
      <c r="D902" s="10"/>
    </row>
    <row r="903">
      <c r="A903" s="10"/>
      <c r="D903" s="10"/>
    </row>
    <row r="904">
      <c r="A904" s="10"/>
      <c r="D904" s="10"/>
    </row>
    <row r="905">
      <c r="A905" s="10"/>
      <c r="D905" s="10"/>
    </row>
    <row r="906">
      <c r="A906" s="10"/>
      <c r="D906" s="10"/>
    </row>
    <row r="907">
      <c r="A907" s="10"/>
      <c r="D907" s="10"/>
    </row>
    <row r="908">
      <c r="A908" s="10"/>
      <c r="D908" s="10"/>
    </row>
    <row r="909">
      <c r="A909" s="10"/>
      <c r="D909" s="10"/>
    </row>
    <row r="910">
      <c r="A910" s="10"/>
      <c r="D910" s="10"/>
    </row>
    <row r="911">
      <c r="A911" s="10"/>
      <c r="D911" s="10"/>
    </row>
    <row r="912">
      <c r="A912" s="10"/>
      <c r="D912" s="10"/>
    </row>
    <row r="913">
      <c r="A913" s="10"/>
      <c r="D913" s="10"/>
    </row>
    <row r="914">
      <c r="A914" s="10"/>
      <c r="D914" s="10"/>
    </row>
    <row r="915">
      <c r="A915" s="10"/>
      <c r="D915" s="10"/>
    </row>
    <row r="916">
      <c r="A916" s="10"/>
      <c r="D916" s="10"/>
    </row>
    <row r="917">
      <c r="A917" s="10"/>
      <c r="D917" s="10"/>
    </row>
    <row r="918">
      <c r="A918" s="10"/>
      <c r="D918" s="10"/>
    </row>
    <row r="919">
      <c r="A919" s="10"/>
      <c r="D919" s="10"/>
    </row>
    <row r="920">
      <c r="A920" s="10"/>
      <c r="D920" s="10"/>
    </row>
    <row r="921">
      <c r="A921" s="10"/>
      <c r="D921" s="10"/>
    </row>
    <row r="922">
      <c r="A922" s="10"/>
      <c r="D922" s="10"/>
    </row>
    <row r="923">
      <c r="A923" s="10"/>
      <c r="D923" s="10"/>
    </row>
    <row r="924">
      <c r="A924" s="10"/>
      <c r="D924" s="10"/>
    </row>
    <row r="925">
      <c r="A925" s="10"/>
      <c r="D925" s="10"/>
    </row>
    <row r="926">
      <c r="A926" s="10"/>
      <c r="D926" s="10"/>
    </row>
    <row r="927">
      <c r="A927" s="10"/>
      <c r="D927" s="10"/>
    </row>
    <row r="928">
      <c r="A928" s="10"/>
      <c r="D928" s="10"/>
    </row>
    <row r="929">
      <c r="A929" s="10"/>
      <c r="D929" s="10"/>
    </row>
    <row r="930">
      <c r="A930" s="10"/>
      <c r="D930" s="10"/>
    </row>
    <row r="931">
      <c r="A931" s="10"/>
      <c r="D931" s="10"/>
    </row>
    <row r="932">
      <c r="A932" s="10"/>
      <c r="D932" s="10"/>
    </row>
    <row r="933">
      <c r="A933" s="10"/>
      <c r="D933" s="10"/>
    </row>
    <row r="934">
      <c r="A934" s="10"/>
      <c r="D934" s="10"/>
    </row>
    <row r="935">
      <c r="A935" s="10"/>
      <c r="D935" s="10"/>
    </row>
    <row r="936">
      <c r="A936" s="10"/>
      <c r="D936" s="10"/>
    </row>
    <row r="937">
      <c r="A937" s="10"/>
      <c r="D937" s="10"/>
    </row>
    <row r="938">
      <c r="A938" s="10"/>
      <c r="D938" s="10"/>
    </row>
    <row r="939">
      <c r="A939" s="10"/>
      <c r="D939" s="10"/>
    </row>
    <row r="940">
      <c r="A940" s="10"/>
      <c r="D940" s="10"/>
    </row>
    <row r="941">
      <c r="A941" s="10"/>
      <c r="D941" s="10"/>
    </row>
    <row r="942">
      <c r="A942" s="10"/>
      <c r="D942" s="10"/>
    </row>
    <row r="943">
      <c r="A943" s="10"/>
      <c r="D943" s="10"/>
    </row>
    <row r="944">
      <c r="A944" s="10"/>
      <c r="D944" s="10"/>
    </row>
    <row r="945">
      <c r="A945" s="10"/>
      <c r="D945" s="10"/>
    </row>
    <row r="946">
      <c r="A946" s="10"/>
      <c r="D946" s="10"/>
    </row>
    <row r="947">
      <c r="A947" s="10"/>
      <c r="D947" s="10"/>
    </row>
    <row r="948">
      <c r="A948" s="10"/>
      <c r="D948" s="10"/>
    </row>
    <row r="949">
      <c r="A949" s="10"/>
      <c r="D949" s="10"/>
    </row>
    <row r="950">
      <c r="A950" s="10"/>
      <c r="D950" s="10"/>
    </row>
    <row r="951">
      <c r="A951" s="10"/>
      <c r="D951" s="10"/>
    </row>
    <row r="952">
      <c r="A952" s="10"/>
      <c r="D952" s="10"/>
    </row>
    <row r="953">
      <c r="A953" s="10"/>
      <c r="D953" s="10"/>
    </row>
    <row r="954">
      <c r="A954" s="10"/>
      <c r="D954" s="10"/>
    </row>
    <row r="955">
      <c r="A955" s="10"/>
      <c r="D955" s="10"/>
    </row>
    <row r="956">
      <c r="A956" s="10"/>
      <c r="D956" s="10"/>
    </row>
    <row r="957">
      <c r="A957" s="10"/>
      <c r="D957" s="10"/>
    </row>
    <row r="958">
      <c r="A958" s="10"/>
      <c r="D958" s="10"/>
    </row>
    <row r="959">
      <c r="A959" s="10"/>
      <c r="D959" s="10"/>
    </row>
    <row r="960">
      <c r="A960" s="10"/>
      <c r="D960" s="10"/>
    </row>
    <row r="961">
      <c r="A961" s="10"/>
      <c r="D961" s="10"/>
    </row>
    <row r="962">
      <c r="A962" s="10"/>
      <c r="D962" s="10"/>
    </row>
    <row r="963">
      <c r="A963" s="10"/>
      <c r="D963" s="10"/>
    </row>
    <row r="964">
      <c r="A964" s="10"/>
      <c r="D964" s="10"/>
    </row>
    <row r="965">
      <c r="A965" s="10"/>
      <c r="D965" s="10"/>
    </row>
    <row r="966">
      <c r="A966" s="10"/>
      <c r="D966" s="10"/>
    </row>
    <row r="967">
      <c r="A967" s="10"/>
      <c r="D967" s="10"/>
    </row>
    <row r="968">
      <c r="A968" s="10"/>
      <c r="D968" s="10"/>
    </row>
    <row r="969">
      <c r="A969" s="10"/>
      <c r="D969" s="10"/>
    </row>
    <row r="970">
      <c r="A970" s="10"/>
      <c r="D970" s="10"/>
    </row>
    <row r="971">
      <c r="A971" s="10"/>
      <c r="D971" s="10"/>
    </row>
    <row r="972">
      <c r="A972" s="10"/>
      <c r="D972" s="10"/>
    </row>
    <row r="973">
      <c r="A973" s="10"/>
      <c r="D973" s="10"/>
    </row>
    <row r="974">
      <c r="A974" s="10"/>
      <c r="D974" s="10"/>
    </row>
    <row r="975">
      <c r="A975" s="10"/>
      <c r="D975" s="10"/>
    </row>
    <row r="976">
      <c r="A976" s="10"/>
      <c r="D976" s="10"/>
    </row>
    <row r="977">
      <c r="A977" s="10"/>
      <c r="D977" s="10"/>
    </row>
    <row r="978">
      <c r="A978" s="10"/>
      <c r="D978" s="10"/>
    </row>
    <row r="979">
      <c r="A979" s="10"/>
      <c r="D979" s="10"/>
    </row>
    <row r="980">
      <c r="A980" s="10"/>
      <c r="D980" s="10"/>
    </row>
    <row r="981">
      <c r="A981" s="10"/>
      <c r="D981" s="10"/>
    </row>
    <row r="982">
      <c r="A982" s="10"/>
      <c r="D982" s="10"/>
    </row>
    <row r="983">
      <c r="A983" s="10"/>
      <c r="D983" s="10"/>
    </row>
    <row r="984">
      <c r="A984" s="10"/>
      <c r="D984" s="10"/>
    </row>
    <row r="985">
      <c r="A985" s="10"/>
      <c r="D985" s="10"/>
    </row>
    <row r="986">
      <c r="A986" s="10"/>
      <c r="D986" s="10"/>
    </row>
    <row r="987">
      <c r="A987" s="10"/>
      <c r="D987" s="10"/>
    </row>
    <row r="988">
      <c r="A988" s="10"/>
      <c r="D988" s="10"/>
    </row>
    <row r="989">
      <c r="A989" s="10"/>
      <c r="D989" s="10"/>
    </row>
    <row r="990">
      <c r="A990" s="10"/>
      <c r="D990" s="10"/>
    </row>
    <row r="991">
      <c r="A991" s="10"/>
      <c r="D991" s="10"/>
    </row>
    <row r="992">
      <c r="A992" s="10"/>
      <c r="D992" s="10"/>
    </row>
    <row r="993">
      <c r="A993" s="10"/>
      <c r="D993" s="10"/>
    </row>
    <row r="994">
      <c r="A994" s="10"/>
      <c r="D994" s="10"/>
    </row>
    <row r="995">
      <c r="A995" s="10"/>
      <c r="D995" s="10"/>
    </row>
    <row r="996">
      <c r="A996" s="10"/>
      <c r="D996" s="10"/>
    </row>
    <row r="997">
      <c r="A997" s="10"/>
      <c r="D997" s="10"/>
    </row>
    <row r="998">
      <c r="A998" s="10"/>
      <c r="D998" s="10"/>
    </row>
    <row r="999">
      <c r="A999" s="10"/>
      <c r="D999" s="10"/>
    </row>
    <row r="1000">
      <c r="A1000" s="10"/>
      <c r="D1000" s="10"/>
    </row>
  </sheetData>
  <dataValidations>
    <dataValidation type="list" allowBlank="1" showErrorMessage="1" sqref="A2:A1000">
      <formula1>sub!$B$2:$B1000</formula1>
    </dataValidation>
    <dataValidation type="list" allowBlank="1" showErrorMessage="1" sqref="D2:D1000">
      <formula1>FIX!$A$2:$A1000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  <c r="C1" s="1" t="s">
        <v>69</v>
      </c>
      <c r="D1" s="1" t="s">
        <v>28</v>
      </c>
      <c r="E1" s="1" t="s">
        <v>29</v>
      </c>
      <c r="F1" s="1" t="s">
        <v>30</v>
      </c>
      <c r="G1" s="1" t="s">
        <v>53</v>
      </c>
      <c r="H1" s="1" t="s">
        <v>62</v>
      </c>
      <c r="I1" s="1" t="s">
        <v>70</v>
      </c>
      <c r="J1" s="1" t="s">
        <v>55</v>
      </c>
      <c r="K1" s="1" t="s">
        <v>56</v>
      </c>
    </row>
    <row r="2">
      <c r="A2" s="10" t="str">
        <f>IFNA(VLOOKUP(pts_sub!$A2,sub!$B$2:$E1000,4,FALSE),"")</f>
        <v>SUB001</v>
      </c>
      <c r="B2" s="10">
        <f t="array" ref="B2:C1000">pts_sub!B2:C1000</f>
        <v>1</v>
      </c>
      <c r="C2" s="10" t="s">
        <v>71</v>
      </c>
      <c r="D2" s="10">
        <f>IFNA(VLOOKUP(pts_sub!$D2,FIX!$A$2:$D1000,4, FALSE),"")</f>
        <v>222</v>
      </c>
      <c r="E2" s="10">
        <f t="array" ref="E2:K1000">pts_sub!E2:K1000</f>
        <v>3</v>
      </c>
      <c r="F2" s="10">
        <v>160.0</v>
      </c>
      <c r="G2" s="10"/>
      <c r="H2" s="10">
        <v>3500.0</v>
      </c>
      <c r="I2" s="10">
        <v>8.0</v>
      </c>
      <c r="J2" s="10">
        <v>250.0</v>
      </c>
      <c r="K2" s="10"/>
    </row>
    <row r="3">
      <c r="A3" s="10" t="str">
        <f>IFNA(VLOOKUP(pts_sub!$A3,sub!$B$2:$E1000,4,FALSE),"")</f>
        <v>SUB001</v>
      </c>
      <c r="B3" s="10">
        <v>2.0</v>
      </c>
      <c r="C3" s="10" t="s">
        <v>43</v>
      </c>
      <c r="D3" s="10">
        <f>IFNA(VLOOKUP(pts_sub!$D3,FIX!$A$2:$D1000,4, FALSE),"")</f>
        <v>101</v>
      </c>
      <c r="E3" s="10"/>
      <c r="F3" s="10"/>
      <c r="G3" s="10"/>
      <c r="H3" s="10">
        <v>6000.0</v>
      </c>
      <c r="I3" s="10">
        <v>8.0</v>
      </c>
      <c r="J3" s="10">
        <v>250.0</v>
      </c>
      <c r="K3" s="10"/>
    </row>
    <row r="4">
      <c r="A4" s="10" t="str">
        <f>IFNA(VLOOKUP(pts_sub!$A4,sub!$B$2:$E1000,4,FALSE),"")</f>
        <v>SUB001</v>
      </c>
      <c r="B4" s="10">
        <v>3.0</v>
      </c>
      <c r="C4" s="10" t="s">
        <v>43</v>
      </c>
      <c r="D4" s="10">
        <f>IFNA(VLOOKUP(pts_sub!$D4,FIX!$A$2:$D1000,4, FALSE),"")</f>
        <v>102</v>
      </c>
      <c r="E4" s="10"/>
      <c r="F4" s="10"/>
      <c r="G4" s="10"/>
      <c r="H4" s="10">
        <v>8000.0</v>
      </c>
      <c r="I4" s="10">
        <v>8.0</v>
      </c>
      <c r="J4" s="10">
        <v>300.0</v>
      </c>
      <c r="K4" s="10"/>
    </row>
    <row r="5">
      <c r="A5" s="10" t="str">
        <f>IFNA(VLOOKUP(pts_sub!$A5,sub!$B$2:$E1000,4,FALSE),"")</f>
        <v>SUB001</v>
      </c>
      <c r="B5" s="10">
        <v>4.0</v>
      </c>
      <c r="C5" s="10" t="s">
        <v>43</v>
      </c>
      <c r="D5" s="10">
        <f>IFNA(VLOOKUP(pts_sub!$D5,FIX!$A$2:$D1000,4, FALSE),"")</f>
        <v>2</v>
      </c>
      <c r="E5" s="10"/>
      <c r="F5" s="10"/>
      <c r="G5" s="10"/>
      <c r="H5" s="10">
        <v>9000.0</v>
      </c>
      <c r="I5" s="10">
        <v>8.0</v>
      </c>
      <c r="J5" s="10">
        <v>300.0</v>
      </c>
      <c r="K5" s="10"/>
    </row>
    <row r="6">
      <c r="A6" s="10" t="str">
        <f>IFNA(VLOOKUP(pts_sub!$A6,sub!$B$2:$E1000,4,FALSE),"")</f>
        <v>SUB001</v>
      </c>
      <c r="B6" s="10">
        <v>5.0</v>
      </c>
      <c r="C6" s="10" t="s">
        <v>43</v>
      </c>
      <c r="D6" s="10">
        <f>IFNA(VLOOKUP(pts_sub!$D6,FIX!$A$2:$D1000,4, FALSE),"")</f>
        <v>3</v>
      </c>
      <c r="E6" s="10"/>
      <c r="F6" s="10"/>
      <c r="G6" s="10"/>
      <c r="H6" s="10">
        <v>12000.0</v>
      </c>
      <c r="I6" s="10">
        <v>8.0</v>
      </c>
      <c r="J6" s="10">
        <v>300.0</v>
      </c>
      <c r="K6" s="10"/>
    </row>
    <row r="7">
      <c r="A7" s="10" t="str">
        <f>IFNA(VLOOKUP(pts_sub!$A7,sub!$B$2:$E1000,4,FALSE),"")</f>
        <v>SUB001</v>
      </c>
      <c r="B7" s="10">
        <v>6.0</v>
      </c>
      <c r="C7" s="10" t="s">
        <v>43</v>
      </c>
      <c r="D7" s="10">
        <f>IFNA(VLOOKUP(pts_sub!$D7,FIX!$A$2:$D1000,4, FALSE),"")</f>
        <v>108</v>
      </c>
      <c r="E7" s="10"/>
      <c r="F7" s="10"/>
      <c r="G7" s="10"/>
      <c r="H7" s="10">
        <v>14000.0</v>
      </c>
      <c r="I7" s="10">
        <v>8.0</v>
      </c>
      <c r="J7" s="10">
        <v>300.0</v>
      </c>
      <c r="K7" s="10"/>
    </row>
    <row r="8">
      <c r="A8" s="10" t="str">
        <f>IFNA(VLOOKUP(pts_sub!$A8,sub!$B$2:$E1000,4,FALSE),"")</f>
        <v>SUB001</v>
      </c>
      <c r="B8" s="10">
        <v>7.0</v>
      </c>
      <c r="C8" s="10" t="s">
        <v>43</v>
      </c>
      <c r="D8" s="10">
        <f>IFNA(VLOOKUP(pts_sub!$D8,FIX!$A$2:$D1000,4, FALSE),"")</f>
        <v>109</v>
      </c>
      <c r="E8" s="10"/>
      <c r="F8" s="10"/>
      <c r="G8" s="10"/>
      <c r="H8" s="10">
        <v>40000.0</v>
      </c>
      <c r="I8" s="10">
        <v>8.0</v>
      </c>
      <c r="J8" s="10">
        <v>300.0</v>
      </c>
      <c r="K8" s="10"/>
    </row>
    <row r="9">
      <c r="A9" s="10" t="str">
        <f>IFNA(VLOOKUP(pts_sub!$A9,sub!$B$2:$E1000,4,FALSE),"")</f>
        <v>SUB001</v>
      </c>
      <c r="B9" s="10">
        <v>8.0</v>
      </c>
      <c r="C9" s="10" t="s">
        <v>43</v>
      </c>
      <c r="D9" s="10">
        <f>IFNA(VLOOKUP(pts_sub!$D9,FIX!$A$2:$D1000,4, FALSE),"")</f>
        <v>182</v>
      </c>
      <c r="E9" s="10"/>
      <c r="F9" s="10"/>
      <c r="G9" s="10"/>
      <c r="H9" s="10">
        <v>40000.0</v>
      </c>
      <c r="I9" s="10">
        <v>8.0</v>
      </c>
      <c r="J9" s="10">
        <v>300.0</v>
      </c>
      <c r="K9" s="10"/>
    </row>
    <row r="10">
      <c r="A10" s="10" t="str">
        <f>IFNA(VLOOKUP(pts_sub!$A10,sub!$B$2:$E1000,4,FALSE),"")</f>
        <v/>
      </c>
      <c r="B10" s="10"/>
      <c r="C10" s="10"/>
      <c r="D10" s="10" t="str">
        <f>IFNA(VLOOKUP(pts_sub!$D10,FIX!$A$2:$D1000,4, FALSE),"")</f>
        <v/>
      </c>
      <c r="E10" s="10"/>
      <c r="F10" s="10"/>
      <c r="G10" s="10"/>
      <c r="H10" s="10"/>
      <c r="I10" s="10"/>
      <c r="J10" s="10"/>
      <c r="K10" s="10"/>
    </row>
    <row r="11">
      <c r="A11" s="10" t="str">
        <f>IFNA(VLOOKUP(pts_sub!$A11,sub!$B$2:$E1000,4,FALSE),"")</f>
        <v/>
      </c>
      <c r="B11" s="10"/>
      <c r="C11" s="10"/>
      <c r="D11" s="10" t="str">
        <f>IFNA(VLOOKUP(pts_sub!$D11,FIX!$A$2:$D1000,4, FALSE),"")</f>
        <v/>
      </c>
      <c r="E11" s="10"/>
      <c r="F11" s="10"/>
      <c r="G11" s="10"/>
      <c r="H11" s="10"/>
      <c r="I11" s="10"/>
      <c r="J11" s="10"/>
      <c r="K11" s="10"/>
    </row>
    <row r="12">
      <c r="A12" s="10" t="str">
        <f>IFNA(VLOOKUP(pts_sub!$A12,sub!$B$2:$E1000,4,FALSE),"")</f>
        <v/>
      </c>
      <c r="B12" s="10"/>
      <c r="C12" s="10"/>
      <c r="D12" s="10" t="str">
        <f>IFNA(VLOOKUP(pts_sub!$D12,FIX!$A$2:$D1000,4, FALSE),"")</f>
        <v/>
      </c>
      <c r="E12" s="10"/>
      <c r="F12" s="10"/>
      <c r="G12" s="10"/>
      <c r="H12" s="10"/>
      <c r="I12" s="10"/>
      <c r="J12" s="10"/>
      <c r="K12" s="10"/>
    </row>
    <row r="13">
      <c r="A13" s="10" t="str">
        <f>IFNA(VLOOKUP(pts_sub!$A13,sub!$B$2:$E1000,4,FALSE),"")</f>
        <v/>
      </c>
      <c r="B13" s="10"/>
      <c r="C13" s="10"/>
      <c r="D13" s="10" t="str">
        <f>IFNA(VLOOKUP(pts_sub!$D13,FIX!$A$2:$D1000,4, FALSE),"")</f>
        <v/>
      </c>
      <c r="E13" s="10"/>
      <c r="F13" s="10"/>
      <c r="G13" s="10"/>
      <c r="H13" s="10"/>
      <c r="I13" s="10"/>
      <c r="J13" s="10"/>
      <c r="K13" s="10"/>
    </row>
    <row r="14">
      <c r="A14" s="10" t="str">
        <f>IFNA(VLOOKUP(pts_sub!$A14,sub!$B$2:$E1000,4,FALSE),"")</f>
        <v/>
      </c>
      <c r="B14" s="10"/>
      <c r="C14" s="10"/>
      <c r="D14" s="10" t="str">
        <f>IFNA(VLOOKUP(pts_sub!$D14,FIX!$A$2:$D1000,4, FALSE),"")</f>
        <v/>
      </c>
      <c r="E14" s="10"/>
      <c r="F14" s="10"/>
      <c r="G14" s="10"/>
      <c r="H14" s="10"/>
      <c r="I14" s="10"/>
      <c r="J14" s="10"/>
      <c r="K14" s="10"/>
    </row>
    <row r="15">
      <c r="A15" s="10" t="str">
        <f>IFNA(VLOOKUP(pts_sub!$A15,sub!$B$2:$E1000,4,FALSE),"")</f>
        <v/>
      </c>
      <c r="B15" s="10"/>
      <c r="C15" s="10"/>
      <c r="D15" s="10" t="str">
        <f>IFNA(VLOOKUP(pts_sub!$D15,FIX!$A$2:$D1000,4, FALSE),"")</f>
        <v/>
      </c>
      <c r="E15" s="10"/>
      <c r="F15" s="10"/>
      <c r="G15" s="10"/>
      <c r="H15" s="10"/>
      <c r="I15" s="10"/>
      <c r="J15" s="10"/>
      <c r="K15" s="10"/>
    </row>
    <row r="16">
      <c r="A16" s="10" t="str">
        <f>IFNA(VLOOKUP(pts_sub!$A16,sub!$B$2:$E1000,4,FALSE),"")</f>
        <v/>
      </c>
      <c r="B16" s="10"/>
      <c r="C16" s="10"/>
      <c r="D16" s="10" t="str">
        <f>IFNA(VLOOKUP(pts_sub!$D16,FIX!$A$2:$D1000,4, FALSE),"")</f>
        <v/>
      </c>
      <c r="E16" s="10"/>
      <c r="F16" s="10"/>
      <c r="G16" s="10"/>
      <c r="H16" s="10"/>
      <c r="I16" s="10"/>
      <c r="J16" s="10"/>
      <c r="K16" s="10"/>
    </row>
    <row r="17">
      <c r="A17" s="10" t="str">
        <f>IFNA(VLOOKUP(pts_sub!$A17,sub!$B$2:$E1000,4,FALSE),"")</f>
        <v/>
      </c>
      <c r="B17" s="10"/>
      <c r="C17" s="10"/>
      <c r="D17" s="10" t="str">
        <f>IFNA(VLOOKUP(pts_sub!$D17,FIX!$A$2:$D1000,4, FALSE),"")</f>
        <v/>
      </c>
      <c r="E17" s="10"/>
      <c r="F17" s="10"/>
      <c r="G17" s="10"/>
      <c r="H17" s="10"/>
      <c r="I17" s="10"/>
      <c r="J17" s="10"/>
      <c r="K17" s="10"/>
    </row>
    <row r="18">
      <c r="A18" s="10" t="str">
        <f>IFNA(VLOOKUP(pts_sub!$A18,sub!$B$2:$E1000,4,FALSE),"")</f>
        <v/>
      </c>
      <c r="B18" s="10"/>
      <c r="C18" s="10"/>
      <c r="D18" s="10" t="str">
        <f>IFNA(VLOOKUP(pts_sub!$D18,FIX!$A$2:$D1000,4, FALSE),"")</f>
        <v/>
      </c>
      <c r="E18" s="10"/>
      <c r="F18" s="10"/>
      <c r="G18" s="10"/>
      <c r="H18" s="10"/>
      <c r="I18" s="10"/>
      <c r="J18" s="10"/>
      <c r="K18" s="10"/>
    </row>
    <row r="19">
      <c r="A19" s="10" t="str">
        <f>IFNA(VLOOKUP(pts_sub!$A19,sub!$B$2:$E1000,4,FALSE),"")</f>
        <v/>
      </c>
      <c r="B19" s="10"/>
      <c r="C19" s="10"/>
      <c r="D19" s="10" t="str">
        <f>IFNA(VLOOKUP(pts_sub!$D19,FIX!$A$2:$D1000,4, FALSE),"")</f>
        <v/>
      </c>
      <c r="E19" s="10"/>
      <c r="F19" s="10"/>
      <c r="G19" s="10"/>
      <c r="H19" s="10"/>
      <c r="I19" s="10"/>
      <c r="J19" s="10"/>
      <c r="K19" s="10"/>
    </row>
    <row r="20">
      <c r="A20" s="10" t="str">
        <f>IFNA(VLOOKUP(pts_sub!$A20,sub!$B$2:$E1000,4,FALSE),"")</f>
        <v/>
      </c>
      <c r="B20" s="10"/>
      <c r="C20" s="10"/>
      <c r="D20" s="10" t="str">
        <f>IFNA(VLOOKUP(pts_sub!$D20,FIX!$A$2:$D1000,4, FALSE),"")</f>
        <v/>
      </c>
      <c r="E20" s="10"/>
      <c r="F20" s="10"/>
      <c r="G20" s="10"/>
      <c r="H20" s="10"/>
      <c r="I20" s="10"/>
      <c r="J20" s="10"/>
      <c r="K20" s="10"/>
    </row>
    <row r="21">
      <c r="A21" s="10" t="str">
        <f>IFNA(VLOOKUP(pts_sub!$A21,sub!$B$2:$E1000,4,FALSE),"")</f>
        <v/>
      </c>
      <c r="B21" s="10"/>
      <c r="C21" s="10"/>
      <c r="D21" s="10" t="str">
        <f>IFNA(VLOOKUP(pts_sub!$D21,FIX!$A$2:$D1000,4, FALSE),"")</f>
        <v/>
      </c>
      <c r="E21" s="10"/>
      <c r="F21" s="10"/>
      <c r="G21" s="10"/>
      <c r="H21" s="10"/>
      <c r="I21" s="10"/>
      <c r="J21" s="10"/>
      <c r="K21" s="10"/>
    </row>
    <row r="22">
      <c r="A22" s="10" t="str">
        <f>IFNA(VLOOKUP(pts_sub!$A22,sub!$B$2:$E1000,4,FALSE),"")</f>
        <v/>
      </c>
      <c r="B22" s="10"/>
      <c r="C22" s="10"/>
      <c r="D22" s="10" t="str">
        <f>IFNA(VLOOKUP(pts_sub!$D22,FIX!$A$2:$D1000,4, FALSE),"")</f>
        <v/>
      </c>
      <c r="E22" s="10"/>
      <c r="F22" s="10"/>
      <c r="G22" s="10"/>
      <c r="H22" s="10"/>
      <c r="I22" s="10"/>
      <c r="J22" s="10"/>
      <c r="K22" s="10"/>
    </row>
    <row r="23">
      <c r="A23" s="10" t="str">
        <f>IFNA(VLOOKUP(pts_sub!$A23,sub!$B$2:$E1000,4,FALSE),"")</f>
        <v/>
      </c>
      <c r="B23" s="10"/>
      <c r="C23" s="10"/>
      <c r="D23" s="10" t="str">
        <f>IFNA(VLOOKUP(pts_sub!$D23,FIX!$A$2:$D1000,4, FALSE),"")</f>
        <v/>
      </c>
      <c r="E23" s="10"/>
      <c r="F23" s="10"/>
      <c r="G23" s="10"/>
      <c r="H23" s="10"/>
      <c r="I23" s="10"/>
      <c r="J23" s="10"/>
      <c r="K23" s="10"/>
    </row>
    <row r="24">
      <c r="A24" s="10" t="str">
        <f>IFNA(VLOOKUP(pts_sub!$A24,sub!$B$2:$E1000,4,FALSE),"")</f>
        <v/>
      </c>
      <c r="B24" s="10"/>
      <c r="C24" s="10"/>
      <c r="D24" s="10" t="str">
        <f>IFNA(VLOOKUP(pts_sub!$D24,FIX!$A$2:$D1000,4, FALSE),"")</f>
        <v/>
      </c>
      <c r="E24" s="10"/>
      <c r="F24" s="10"/>
      <c r="G24" s="10"/>
      <c r="H24" s="10"/>
      <c r="I24" s="10"/>
      <c r="J24" s="10"/>
      <c r="K24" s="10"/>
    </row>
    <row r="25">
      <c r="A25" s="10" t="str">
        <f>IFNA(VLOOKUP(pts_sub!$A25,sub!$B$2:$E1000,4,FALSE),"")</f>
        <v/>
      </c>
      <c r="B25" s="10"/>
      <c r="C25" s="10"/>
      <c r="D25" s="10" t="str">
        <f>IFNA(VLOOKUP(pts_sub!$D25,FIX!$A$2:$D1000,4, FALSE),"")</f>
        <v/>
      </c>
      <c r="E25" s="10"/>
      <c r="F25" s="10"/>
      <c r="G25" s="10"/>
      <c r="H25" s="10"/>
      <c r="I25" s="10"/>
      <c r="J25" s="10"/>
      <c r="K25" s="10"/>
    </row>
    <row r="26">
      <c r="A26" s="10" t="str">
        <f>IFNA(VLOOKUP(pts_sub!$A26,sub!$B$2:$E1000,4,FALSE),"")</f>
        <v/>
      </c>
      <c r="B26" s="10"/>
      <c r="C26" s="10"/>
      <c r="D26" s="10" t="str">
        <f>IFNA(VLOOKUP(pts_sub!$D26,FIX!$A$2:$D1000,4, FALSE),"")</f>
        <v/>
      </c>
      <c r="E26" s="10"/>
      <c r="F26" s="10"/>
      <c r="G26" s="10"/>
      <c r="H26" s="10"/>
      <c r="I26" s="10"/>
      <c r="J26" s="10"/>
      <c r="K26" s="10"/>
    </row>
    <row r="27">
      <c r="A27" s="10" t="str">
        <f>IFNA(VLOOKUP(pts_sub!$A27,sub!$B$2:$E1000,4,FALSE),"")</f>
        <v/>
      </c>
      <c r="B27" s="10"/>
      <c r="C27" s="10"/>
      <c r="D27" s="10" t="str">
        <f>IFNA(VLOOKUP(pts_sub!$D27,FIX!$A$2:$D1000,4, FALSE),"")</f>
        <v/>
      </c>
      <c r="E27" s="10"/>
      <c r="F27" s="10"/>
      <c r="G27" s="10"/>
      <c r="H27" s="10"/>
      <c r="I27" s="10"/>
      <c r="J27" s="10"/>
      <c r="K27" s="10"/>
    </row>
    <row r="28">
      <c r="A28" s="10" t="str">
        <f>IFNA(VLOOKUP(pts_sub!$A28,sub!$B$2:$E1000,4,FALSE),"")</f>
        <v/>
      </c>
      <c r="B28" s="10"/>
      <c r="C28" s="10"/>
      <c r="D28" s="10" t="str">
        <f>IFNA(VLOOKUP(pts_sub!$D28,FIX!$A$2:$D1000,4, FALSE),"")</f>
        <v/>
      </c>
      <c r="E28" s="10"/>
      <c r="F28" s="10"/>
      <c r="G28" s="10"/>
      <c r="H28" s="10"/>
      <c r="I28" s="10"/>
      <c r="J28" s="10"/>
      <c r="K28" s="10"/>
    </row>
    <row r="29">
      <c r="A29" s="10" t="str">
        <f>IFNA(VLOOKUP(pts_sub!$A29,sub!$B$2:$E1000,4,FALSE),"")</f>
        <v/>
      </c>
      <c r="B29" s="10"/>
      <c r="C29" s="10"/>
      <c r="D29" s="10" t="str">
        <f>IFNA(VLOOKUP(pts_sub!$D29,FIX!$A$2:$D1000,4, FALSE),"")</f>
        <v/>
      </c>
      <c r="E29" s="10"/>
      <c r="F29" s="10"/>
      <c r="G29" s="10"/>
      <c r="H29" s="10"/>
      <c r="I29" s="10"/>
      <c r="J29" s="10"/>
      <c r="K29" s="10"/>
    </row>
    <row r="30">
      <c r="A30" s="10" t="str">
        <f>IFNA(VLOOKUP(pts_sub!$A30,sub!$B$2:$E1000,4,FALSE),"")</f>
        <v/>
      </c>
      <c r="B30" s="10"/>
      <c r="C30" s="10"/>
      <c r="D30" s="10" t="str">
        <f>IFNA(VLOOKUP(pts_sub!$D30,FIX!$A$2:$D1000,4, FALSE),"")</f>
        <v/>
      </c>
      <c r="E30" s="10"/>
      <c r="F30" s="10"/>
      <c r="G30" s="10"/>
      <c r="H30" s="10"/>
      <c r="I30" s="10"/>
      <c r="J30" s="10"/>
      <c r="K30" s="10"/>
    </row>
    <row r="31">
      <c r="A31" s="10" t="str">
        <f>IFNA(VLOOKUP(pts_sub!$A31,sub!$B$2:$E1000,4,FALSE),"")</f>
        <v/>
      </c>
      <c r="B31" s="10"/>
      <c r="C31" s="10"/>
      <c r="D31" s="10" t="str">
        <f>IFNA(VLOOKUP(pts_sub!$D31,FIX!$A$2:$D1000,4, FALSE),"")</f>
        <v/>
      </c>
      <c r="E31" s="10"/>
      <c r="F31" s="10"/>
      <c r="G31" s="10"/>
      <c r="H31" s="10"/>
      <c r="I31" s="10"/>
      <c r="J31" s="10"/>
      <c r="K31" s="10"/>
    </row>
    <row r="32">
      <c r="A32" s="10" t="str">
        <f>IFNA(VLOOKUP(pts_sub!$A32,sub!$B$2:$E1000,4,FALSE),"")</f>
        <v/>
      </c>
      <c r="B32" s="10"/>
      <c r="C32" s="10"/>
      <c r="D32" s="10" t="str">
        <f>IFNA(VLOOKUP(pts_sub!$D32,FIX!$A$2:$D1000,4, FALSE),"")</f>
        <v/>
      </c>
      <c r="E32" s="10"/>
      <c r="F32" s="10"/>
      <c r="G32" s="10"/>
      <c r="H32" s="10"/>
      <c r="I32" s="10"/>
      <c r="J32" s="10"/>
      <c r="K32" s="10"/>
    </row>
    <row r="33">
      <c r="A33" s="10" t="str">
        <f>IFNA(VLOOKUP(pts_sub!$A33,sub!$B$2:$E1000,4,FALSE),"")</f>
        <v/>
      </c>
      <c r="B33" s="10"/>
      <c r="C33" s="10"/>
      <c r="D33" s="10" t="str">
        <f>IFNA(VLOOKUP(pts_sub!$D33,FIX!$A$2:$D1000,4, FALSE),"")</f>
        <v/>
      </c>
      <c r="E33" s="10"/>
      <c r="F33" s="10"/>
      <c r="G33" s="10"/>
      <c r="H33" s="10"/>
      <c r="I33" s="10"/>
      <c r="J33" s="10"/>
      <c r="K33" s="10"/>
    </row>
    <row r="34">
      <c r="A34" s="10" t="str">
        <f>IFNA(VLOOKUP(pts_sub!$A34,sub!$B$2:$E1000,4,FALSE),"")</f>
        <v/>
      </c>
      <c r="B34" s="10"/>
      <c r="C34" s="10"/>
      <c r="D34" s="10" t="str">
        <f>IFNA(VLOOKUP(pts_sub!$D34,FIX!$A$2:$D1000,4, FALSE),"")</f>
        <v/>
      </c>
      <c r="E34" s="10"/>
      <c r="F34" s="10"/>
      <c r="G34" s="10"/>
      <c r="H34" s="10"/>
      <c r="I34" s="10"/>
      <c r="J34" s="10"/>
      <c r="K34" s="10"/>
    </row>
    <row r="35">
      <c r="A35" s="10" t="str">
        <f>IFNA(VLOOKUP(pts_sub!$A35,sub!$B$2:$E1000,4,FALSE),"")</f>
        <v/>
      </c>
      <c r="B35" s="10"/>
      <c r="C35" s="10"/>
      <c r="D35" s="10" t="str">
        <f>IFNA(VLOOKUP(pts_sub!$D35,FIX!$A$2:$D1000,4, FALSE),"")</f>
        <v/>
      </c>
      <c r="E35" s="10"/>
      <c r="F35" s="10"/>
      <c r="G35" s="10"/>
      <c r="H35" s="10"/>
      <c r="I35" s="10"/>
      <c r="J35" s="10"/>
      <c r="K35" s="10"/>
    </row>
    <row r="36">
      <c r="A36" s="10" t="str">
        <f>IFNA(VLOOKUP(pts_sub!$A36,sub!$B$2:$E1000,4,FALSE),"")</f>
        <v/>
      </c>
      <c r="B36" s="10"/>
      <c r="C36" s="10"/>
      <c r="D36" s="10" t="str">
        <f>IFNA(VLOOKUP(pts_sub!$D36,FIX!$A$2:$D1000,4, FALSE),"")</f>
        <v/>
      </c>
      <c r="E36" s="10"/>
      <c r="F36" s="10"/>
      <c r="G36" s="10"/>
      <c r="H36" s="10"/>
      <c r="I36" s="10"/>
      <c r="J36" s="10"/>
      <c r="K36" s="10"/>
    </row>
    <row r="37">
      <c r="A37" s="10" t="str">
        <f>IFNA(VLOOKUP(pts_sub!$A37,sub!$B$2:$E1000,4,FALSE),"")</f>
        <v/>
      </c>
      <c r="B37" s="10"/>
      <c r="C37" s="10"/>
      <c r="D37" s="10" t="str">
        <f>IFNA(VLOOKUP(pts_sub!$D37,FIX!$A$2:$D1000,4, FALSE),"")</f>
        <v/>
      </c>
      <c r="E37" s="10"/>
      <c r="F37" s="10"/>
      <c r="G37" s="10"/>
      <c r="H37" s="10"/>
      <c r="I37" s="10"/>
      <c r="J37" s="10"/>
      <c r="K37" s="10"/>
    </row>
    <row r="38">
      <c r="A38" s="10" t="str">
        <f>IFNA(VLOOKUP(pts_sub!$A38,sub!$B$2:$E1000,4,FALSE),"")</f>
        <v/>
      </c>
      <c r="B38" s="10"/>
      <c r="C38" s="10"/>
      <c r="D38" s="10" t="str">
        <f>IFNA(VLOOKUP(pts_sub!$D38,FIX!$A$2:$D1000,4, FALSE),"")</f>
        <v/>
      </c>
      <c r="E38" s="10"/>
      <c r="F38" s="10"/>
      <c r="G38" s="10"/>
      <c r="H38" s="10"/>
      <c r="I38" s="10"/>
      <c r="J38" s="10"/>
      <c r="K38" s="10"/>
    </row>
    <row r="39">
      <c r="A39" s="10" t="str">
        <f>IFNA(VLOOKUP(pts_sub!$A39,sub!$B$2:$E1000,4,FALSE),"")</f>
        <v/>
      </c>
      <c r="B39" s="10"/>
      <c r="C39" s="10"/>
      <c r="D39" s="10" t="str">
        <f>IFNA(VLOOKUP(pts_sub!$D39,FIX!$A$2:$D1000,4, FALSE),"")</f>
        <v/>
      </c>
      <c r="E39" s="10"/>
      <c r="F39" s="10"/>
      <c r="G39" s="10"/>
      <c r="H39" s="10"/>
      <c r="I39" s="10"/>
      <c r="J39" s="10"/>
      <c r="K39" s="10"/>
    </row>
    <row r="40">
      <c r="A40" s="10" t="str">
        <f>IFNA(VLOOKUP(pts_sub!$A40,sub!$B$2:$E1000,4,FALSE),"")</f>
        <v/>
      </c>
      <c r="B40" s="10"/>
      <c r="C40" s="10"/>
      <c r="D40" s="10" t="str">
        <f>IFNA(VLOOKUP(pts_sub!$D40,FIX!$A$2:$D1000,4, FALSE),"")</f>
        <v/>
      </c>
      <c r="E40" s="10"/>
      <c r="F40" s="10"/>
      <c r="G40" s="10"/>
      <c r="H40" s="10"/>
      <c r="I40" s="10"/>
      <c r="J40" s="10"/>
      <c r="K40" s="10"/>
    </row>
    <row r="41">
      <c r="A41" s="10" t="str">
        <f>IFNA(VLOOKUP(pts_sub!$A41,sub!$B$2:$E1000,4,FALSE),"")</f>
        <v/>
      </c>
      <c r="B41" s="10"/>
      <c r="C41" s="10"/>
      <c r="D41" s="10" t="str">
        <f>IFNA(VLOOKUP(pts_sub!$D41,FIX!$A$2:$D1000,4, FALSE),"")</f>
        <v/>
      </c>
      <c r="E41" s="10"/>
      <c r="F41" s="10"/>
      <c r="G41" s="10"/>
      <c r="H41" s="10"/>
      <c r="I41" s="10"/>
      <c r="J41" s="10"/>
      <c r="K41" s="10"/>
    </row>
    <row r="42">
      <c r="A42" s="10" t="str">
        <f>IFNA(VLOOKUP(pts_sub!$A42,sub!$B$2:$E1000,4,FALSE),"")</f>
        <v/>
      </c>
      <c r="B42" s="10"/>
      <c r="C42" s="10"/>
      <c r="D42" s="10" t="str">
        <f>IFNA(VLOOKUP(pts_sub!$D42,FIX!$A$2:$D1000,4, FALSE),"")</f>
        <v/>
      </c>
      <c r="E42" s="10"/>
      <c r="F42" s="10"/>
      <c r="G42" s="10"/>
      <c r="H42" s="10"/>
      <c r="I42" s="10"/>
      <c r="J42" s="10"/>
      <c r="K42" s="10"/>
    </row>
    <row r="43">
      <c r="A43" s="10" t="str">
        <f>IFNA(VLOOKUP(pts_sub!$A43,sub!$B$2:$E1000,4,FALSE),"")</f>
        <v/>
      </c>
      <c r="B43" s="10"/>
      <c r="C43" s="10"/>
      <c r="D43" s="10" t="str">
        <f>IFNA(VLOOKUP(pts_sub!$D43,FIX!$A$2:$D1000,4, FALSE),"")</f>
        <v/>
      </c>
      <c r="E43" s="10"/>
      <c r="F43" s="10"/>
      <c r="G43" s="10"/>
      <c r="H43" s="10"/>
      <c r="I43" s="10"/>
      <c r="J43" s="10"/>
      <c r="K43" s="10"/>
    </row>
    <row r="44">
      <c r="A44" s="10" t="str">
        <f>IFNA(VLOOKUP(pts_sub!$A44,sub!$B$2:$E1000,4,FALSE),"")</f>
        <v/>
      </c>
      <c r="B44" s="10"/>
      <c r="C44" s="10"/>
      <c r="D44" s="10" t="str">
        <f>IFNA(VLOOKUP(pts_sub!$D44,FIX!$A$2:$D1000,4, FALSE),"")</f>
        <v/>
      </c>
      <c r="E44" s="10"/>
      <c r="F44" s="10"/>
      <c r="G44" s="10"/>
      <c r="H44" s="10"/>
      <c r="I44" s="10"/>
      <c r="J44" s="10"/>
      <c r="K44" s="10"/>
    </row>
    <row r="45">
      <c r="A45" s="10" t="str">
        <f>IFNA(VLOOKUP(pts_sub!$A45,sub!$B$2:$E1000,4,FALSE),"")</f>
        <v/>
      </c>
      <c r="B45" s="10"/>
      <c r="C45" s="10"/>
      <c r="D45" s="10" t="str">
        <f>IFNA(VLOOKUP(pts_sub!$D45,FIX!$A$2:$D1000,4, FALSE),"")</f>
        <v/>
      </c>
      <c r="E45" s="10"/>
      <c r="F45" s="10"/>
      <c r="G45" s="10"/>
      <c r="H45" s="10"/>
      <c r="I45" s="10"/>
      <c r="J45" s="10"/>
      <c r="K45" s="10"/>
    </row>
    <row r="46">
      <c r="A46" s="10" t="str">
        <f>IFNA(VLOOKUP(pts_sub!$A46,sub!$B$2:$E1000,4,FALSE),"")</f>
        <v/>
      </c>
      <c r="B46" s="10"/>
      <c r="C46" s="10"/>
      <c r="D46" s="10" t="str">
        <f>IFNA(VLOOKUP(pts_sub!$D46,FIX!$A$2:$D1000,4, FALSE),"")</f>
        <v/>
      </c>
      <c r="E46" s="10"/>
      <c r="F46" s="10"/>
      <c r="G46" s="10"/>
      <c r="H46" s="10"/>
      <c r="I46" s="10"/>
      <c r="J46" s="10"/>
      <c r="K46" s="10"/>
    </row>
    <row r="47">
      <c r="A47" s="10" t="str">
        <f>IFNA(VLOOKUP(pts_sub!$A47,sub!$B$2:$E1000,4,FALSE),"")</f>
        <v/>
      </c>
      <c r="B47" s="10"/>
      <c r="C47" s="10"/>
      <c r="D47" s="10" t="str">
        <f>IFNA(VLOOKUP(pts_sub!$D47,FIX!$A$2:$D1000,4, FALSE),"")</f>
        <v/>
      </c>
      <c r="E47" s="10"/>
      <c r="F47" s="10"/>
      <c r="G47" s="10"/>
      <c r="H47" s="10"/>
      <c r="I47" s="10"/>
      <c r="J47" s="10"/>
      <c r="K47" s="10"/>
    </row>
    <row r="48">
      <c r="A48" s="10" t="str">
        <f>IFNA(VLOOKUP(pts_sub!$A48,sub!$B$2:$E1000,4,FALSE),"")</f>
        <v/>
      </c>
      <c r="B48" s="10"/>
      <c r="C48" s="10"/>
      <c r="D48" s="10" t="str">
        <f>IFNA(VLOOKUP(pts_sub!$D48,FIX!$A$2:$D1000,4, FALSE),"")</f>
        <v/>
      </c>
      <c r="E48" s="10"/>
      <c r="F48" s="10"/>
      <c r="G48" s="10"/>
      <c r="H48" s="10"/>
      <c r="I48" s="10"/>
      <c r="J48" s="10"/>
      <c r="K48" s="10"/>
    </row>
    <row r="49">
      <c r="A49" s="10" t="str">
        <f>IFNA(VLOOKUP(pts_sub!$A49,sub!$B$2:$E1000,4,FALSE),"")</f>
        <v/>
      </c>
      <c r="B49" s="10"/>
      <c r="C49" s="10"/>
      <c r="D49" s="10" t="str">
        <f>IFNA(VLOOKUP(pts_sub!$D49,FIX!$A$2:$D1000,4, FALSE),"")</f>
        <v/>
      </c>
      <c r="E49" s="10"/>
      <c r="F49" s="10"/>
      <c r="G49" s="10"/>
      <c r="H49" s="10"/>
      <c r="I49" s="10"/>
      <c r="J49" s="10"/>
      <c r="K49" s="10"/>
    </row>
    <row r="50">
      <c r="A50" s="10" t="str">
        <f>IFNA(VLOOKUP(pts_sub!$A50,sub!$B$2:$E1000,4,FALSE),"")</f>
        <v/>
      </c>
      <c r="B50" s="10"/>
      <c r="C50" s="10"/>
      <c r="D50" s="10" t="str">
        <f>IFNA(VLOOKUP(pts_sub!$D50,FIX!$A$2:$D1000,4, FALSE),"")</f>
        <v/>
      </c>
      <c r="E50" s="10"/>
      <c r="F50" s="10"/>
      <c r="G50" s="10"/>
      <c r="H50" s="10"/>
      <c r="I50" s="10"/>
      <c r="J50" s="10"/>
      <c r="K50" s="10"/>
    </row>
    <row r="51">
      <c r="A51" s="10" t="str">
        <f>IFNA(VLOOKUP(pts_sub!$A51,sub!$B$2:$E1000,4,FALSE),"")</f>
        <v/>
      </c>
      <c r="B51" s="10"/>
      <c r="C51" s="10"/>
      <c r="D51" s="10" t="str">
        <f>IFNA(VLOOKUP(pts_sub!$D51,FIX!$A$2:$D1000,4, FALSE),"")</f>
        <v/>
      </c>
      <c r="E51" s="10"/>
      <c r="F51" s="10"/>
      <c r="G51" s="10"/>
      <c r="H51" s="10"/>
      <c r="I51" s="10"/>
      <c r="J51" s="10"/>
      <c r="K51" s="10"/>
    </row>
    <row r="52">
      <c r="A52" s="10" t="str">
        <f>IFNA(VLOOKUP(pts_sub!$A52,sub!$B$2:$E1000,4,FALSE),"")</f>
        <v/>
      </c>
      <c r="B52" s="10"/>
      <c r="C52" s="10"/>
      <c r="D52" s="10" t="str">
        <f>IFNA(VLOOKUP(pts_sub!$D52,FIX!$A$2:$D1000,4, FALSE),"")</f>
        <v/>
      </c>
      <c r="E52" s="10"/>
      <c r="F52" s="10"/>
      <c r="G52" s="10"/>
      <c r="H52" s="10"/>
      <c r="I52" s="10"/>
      <c r="J52" s="10"/>
      <c r="K52" s="10"/>
    </row>
    <row r="53">
      <c r="A53" s="10" t="str">
        <f>IFNA(VLOOKUP(pts_sub!$A53,sub!$B$2:$E1000,4,FALSE),"")</f>
        <v/>
      </c>
      <c r="B53" s="10"/>
      <c r="C53" s="10"/>
      <c r="D53" s="10" t="str">
        <f>IFNA(VLOOKUP(pts_sub!$D53,FIX!$A$2:$D1000,4, FALSE),"")</f>
        <v/>
      </c>
      <c r="E53" s="10"/>
      <c r="F53" s="10"/>
      <c r="G53" s="10"/>
      <c r="H53" s="10"/>
      <c r="I53" s="10"/>
      <c r="J53" s="10"/>
      <c r="K53" s="10"/>
    </row>
    <row r="54">
      <c r="A54" s="10" t="str">
        <f>IFNA(VLOOKUP(pts_sub!$A54,sub!$B$2:$E1000,4,FALSE),"")</f>
        <v/>
      </c>
      <c r="B54" s="10"/>
      <c r="C54" s="10"/>
      <c r="D54" s="10" t="str">
        <f>IFNA(VLOOKUP(pts_sub!$D54,FIX!$A$2:$D1000,4, FALSE),"")</f>
        <v/>
      </c>
      <c r="E54" s="10"/>
      <c r="F54" s="10"/>
      <c r="G54" s="10"/>
      <c r="H54" s="10"/>
      <c r="I54" s="10"/>
      <c r="J54" s="10"/>
      <c r="K54" s="10"/>
    </row>
    <row r="55">
      <c r="A55" s="10" t="str">
        <f>IFNA(VLOOKUP(pts_sub!$A55,sub!$B$2:$E1000,4,FALSE),"")</f>
        <v/>
      </c>
      <c r="B55" s="10"/>
      <c r="C55" s="10"/>
      <c r="D55" s="10" t="str">
        <f>IFNA(VLOOKUP(pts_sub!$D55,FIX!$A$2:$D1000,4, FALSE),"")</f>
        <v/>
      </c>
      <c r="E55" s="10"/>
      <c r="F55" s="10"/>
      <c r="G55" s="10"/>
      <c r="H55" s="10"/>
      <c r="I55" s="10"/>
      <c r="J55" s="10"/>
      <c r="K55" s="10"/>
    </row>
    <row r="56">
      <c r="A56" s="10" t="str">
        <f>IFNA(VLOOKUP(pts_sub!$A56,sub!$B$2:$E1000,4,FALSE),"")</f>
        <v/>
      </c>
      <c r="B56" s="10"/>
      <c r="C56" s="10"/>
      <c r="D56" s="10" t="str">
        <f>IFNA(VLOOKUP(pts_sub!$D56,FIX!$A$2:$D1000,4, FALSE),"")</f>
        <v/>
      </c>
      <c r="E56" s="10"/>
      <c r="F56" s="10"/>
      <c r="G56" s="10"/>
      <c r="H56" s="10"/>
      <c r="I56" s="10"/>
      <c r="J56" s="10"/>
      <c r="K56" s="10"/>
    </row>
    <row r="57">
      <c r="A57" s="10" t="str">
        <f>IFNA(VLOOKUP(pts_sub!$A57,sub!$B$2:$E1000,4,FALSE),"")</f>
        <v/>
      </c>
      <c r="B57" s="10"/>
      <c r="C57" s="10"/>
      <c r="D57" s="10" t="str">
        <f>IFNA(VLOOKUP(pts_sub!$D57,FIX!$A$2:$D1000,4, FALSE),"")</f>
        <v/>
      </c>
      <c r="E57" s="10"/>
      <c r="F57" s="10"/>
      <c r="G57" s="10"/>
      <c r="H57" s="10"/>
      <c r="I57" s="10"/>
      <c r="J57" s="10"/>
      <c r="K57" s="10"/>
    </row>
    <row r="58">
      <c r="A58" s="10" t="str">
        <f>IFNA(VLOOKUP(pts_sub!$A58,sub!$B$2:$E1000,4,FALSE),"")</f>
        <v/>
      </c>
      <c r="B58" s="10"/>
      <c r="C58" s="10"/>
      <c r="D58" s="10" t="str">
        <f>IFNA(VLOOKUP(pts_sub!$D58,FIX!$A$2:$D1000,4, FALSE),"")</f>
        <v/>
      </c>
      <c r="E58" s="10"/>
      <c r="F58" s="10"/>
      <c r="G58" s="10"/>
      <c r="H58" s="10"/>
      <c r="I58" s="10"/>
      <c r="J58" s="10"/>
      <c r="K58" s="10"/>
    </row>
    <row r="59">
      <c r="A59" s="10" t="str">
        <f>IFNA(VLOOKUP(pts_sub!$A59,sub!$B$2:$E1000,4,FALSE),"")</f>
        <v/>
      </c>
      <c r="B59" s="10"/>
      <c r="C59" s="10"/>
      <c r="D59" s="10" t="str">
        <f>IFNA(VLOOKUP(pts_sub!$D59,FIX!$A$2:$D1000,4, FALSE),"")</f>
        <v/>
      </c>
      <c r="E59" s="10"/>
      <c r="F59" s="10"/>
      <c r="G59" s="10"/>
      <c r="H59" s="10"/>
      <c r="I59" s="10"/>
      <c r="J59" s="10"/>
      <c r="K59" s="10"/>
    </row>
    <row r="60">
      <c r="A60" s="10" t="str">
        <f>IFNA(VLOOKUP(pts_sub!$A60,sub!$B$2:$E1000,4,FALSE),"")</f>
        <v/>
      </c>
      <c r="B60" s="10"/>
      <c r="C60" s="10"/>
      <c r="D60" s="10" t="str">
        <f>IFNA(VLOOKUP(pts_sub!$D60,FIX!$A$2:$D1000,4, FALSE),"")</f>
        <v/>
      </c>
      <c r="E60" s="10"/>
      <c r="F60" s="10"/>
      <c r="G60" s="10"/>
      <c r="H60" s="10"/>
      <c r="I60" s="10"/>
      <c r="J60" s="10"/>
      <c r="K60" s="10"/>
    </row>
    <row r="61">
      <c r="A61" s="10" t="str">
        <f>IFNA(VLOOKUP(pts_sub!$A61,sub!$B$2:$E1000,4,FALSE),"")</f>
        <v/>
      </c>
      <c r="B61" s="10"/>
      <c r="C61" s="10"/>
      <c r="D61" s="10" t="str">
        <f>IFNA(VLOOKUP(pts_sub!$D61,FIX!$A$2:$D1000,4, FALSE),"")</f>
        <v/>
      </c>
      <c r="E61" s="10"/>
      <c r="F61" s="10"/>
      <c r="G61" s="10"/>
      <c r="H61" s="10"/>
      <c r="I61" s="10"/>
      <c r="J61" s="10"/>
      <c r="K61" s="10"/>
    </row>
    <row r="62">
      <c r="A62" s="10" t="str">
        <f>IFNA(VLOOKUP(pts_sub!$A62,sub!$B$2:$E1000,4,FALSE),"")</f>
        <v/>
      </c>
      <c r="B62" s="10"/>
      <c r="C62" s="10"/>
      <c r="D62" s="10" t="str">
        <f>IFNA(VLOOKUP(pts_sub!$D62,FIX!$A$2:$D1000,4, FALSE),"")</f>
        <v/>
      </c>
      <c r="E62" s="10"/>
      <c r="F62" s="10"/>
      <c r="G62" s="10"/>
      <c r="H62" s="10"/>
      <c r="I62" s="10"/>
      <c r="J62" s="10"/>
      <c r="K62" s="10"/>
    </row>
    <row r="63">
      <c r="A63" s="10" t="str">
        <f>IFNA(VLOOKUP(pts_sub!$A63,sub!$B$2:$E1000,4,FALSE),"")</f>
        <v/>
      </c>
      <c r="B63" s="10"/>
      <c r="C63" s="10"/>
      <c r="D63" s="10" t="str">
        <f>IFNA(VLOOKUP(pts_sub!$D63,FIX!$A$2:$D1000,4, FALSE),"")</f>
        <v/>
      </c>
      <c r="E63" s="10"/>
      <c r="F63" s="10"/>
      <c r="G63" s="10"/>
      <c r="H63" s="10"/>
      <c r="I63" s="10"/>
      <c r="J63" s="10"/>
      <c r="K63" s="10"/>
    </row>
    <row r="64">
      <c r="A64" s="10" t="str">
        <f>IFNA(VLOOKUP(pts_sub!$A64,sub!$B$2:$E1000,4,FALSE),"")</f>
        <v/>
      </c>
      <c r="B64" s="10"/>
      <c r="C64" s="10"/>
      <c r="D64" s="10" t="str">
        <f>IFNA(VLOOKUP(pts_sub!$D64,FIX!$A$2:$D1000,4, FALSE),"")</f>
        <v/>
      </c>
      <c r="E64" s="10"/>
      <c r="F64" s="10"/>
      <c r="G64" s="10"/>
      <c r="H64" s="10"/>
      <c r="I64" s="10"/>
      <c r="J64" s="10"/>
      <c r="K64" s="10"/>
    </row>
    <row r="65">
      <c r="A65" s="10" t="str">
        <f>IFNA(VLOOKUP(pts_sub!$A65,sub!$B$2:$E1000,4,FALSE),"")</f>
        <v/>
      </c>
      <c r="B65" s="10"/>
      <c r="C65" s="10"/>
      <c r="D65" s="10" t="str">
        <f>IFNA(VLOOKUP(pts_sub!$D65,FIX!$A$2:$D1000,4, FALSE),"")</f>
        <v/>
      </c>
      <c r="E65" s="10"/>
      <c r="F65" s="10"/>
      <c r="G65" s="10"/>
      <c r="H65" s="10"/>
      <c r="I65" s="10"/>
      <c r="J65" s="10"/>
      <c r="K65" s="10"/>
    </row>
    <row r="66">
      <c r="A66" s="10" t="str">
        <f>IFNA(VLOOKUP(pts_sub!$A66,sub!$B$2:$E1000,4,FALSE),"")</f>
        <v/>
      </c>
      <c r="B66" s="10"/>
      <c r="C66" s="10"/>
      <c r="D66" s="10" t="str">
        <f>IFNA(VLOOKUP(pts_sub!$D66,FIX!$A$2:$D1000,4, FALSE),"")</f>
        <v/>
      </c>
      <c r="E66" s="10"/>
      <c r="F66" s="10"/>
      <c r="G66" s="10"/>
      <c r="H66" s="10"/>
      <c r="I66" s="10"/>
      <c r="J66" s="10"/>
      <c r="K66" s="10"/>
    </row>
    <row r="67">
      <c r="A67" s="10" t="str">
        <f>IFNA(VLOOKUP(pts_sub!$A67,sub!$B$2:$E1000,4,FALSE),"")</f>
        <v/>
      </c>
      <c r="B67" s="10"/>
      <c r="C67" s="10"/>
      <c r="D67" s="10" t="str">
        <f>IFNA(VLOOKUP(pts_sub!$D67,FIX!$A$2:$D1000,4, FALSE),"")</f>
        <v/>
      </c>
      <c r="E67" s="10"/>
      <c r="F67" s="10"/>
      <c r="G67" s="10"/>
      <c r="H67" s="10"/>
      <c r="I67" s="10"/>
      <c r="J67" s="10"/>
      <c r="K67" s="10"/>
    </row>
    <row r="68">
      <c r="A68" s="10" t="str">
        <f>IFNA(VLOOKUP(pts_sub!$A68,sub!$B$2:$E1000,4,FALSE),"")</f>
        <v/>
      </c>
      <c r="B68" s="10"/>
      <c r="C68" s="10"/>
      <c r="D68" s="10" t="str">
        <f>IFNA(VLOOKUP(pts_sub!$D68,FIX!$A$2:$D1000,4, FALSE),"")</f>
        <v/>
      </c>
      <c r="E68" s="10"/>
      <c r="F68" s="10"/>
      <c r="G68" s="10"/>
      <c r="H68" s="10"/>
      <c r="I68" s="10"/>
      <c r="J68" s="10"/>
      <c r="K68" s="10"/>
    </row>
    <row r="69">
      <c r="A69" s="10" t="str">
        <f>IFNA(VLOOKUP(pts_sub!$A69,sub!$B$2:$E1000,4,FALSE),"")</f>
        <v/>
      </c>
      <c r="B69" s="10"/>
      <c r="C69" s="10"/>
      <c r="D69" s="10" t="str">
        <f>IFNA(VLOOKUP(pts_sub!$D69,FIX!$A$2:$D1000,4, FALSE),"")</f>
        <v/>
      </c>
      <c r="E69" s="10"/>
      <c r="F69" s="10"/>
      <c r="G69" s="10"/>
      <c r="H69" s="10"/>
      <c r="I69" s="10"/>
      <c r="J69" s="10"/>
      <c r="K69" s="10"/>
    </row>
    <row r="70">
      <c r="A70" s="10" t="str">
        <f>IFNA(VLOOKUP(pts_sub!$A70,sub!$B$2:$E1000,4,FALSE),"")</f>
        <v/>
      </c>
      <c r="B70" s="10"/>
      <c r="C70" s="10"/>
      <c r="D70" s="10" t="str">
        <f>IFNA(VLOOKUP(pts_sub!$D70,FIX!$A$2:$D1000,4, FALSE),"")</f>
        <v/>
      </c>
      <c r="E70" s="10"/>
      <c r="F70" s="10"/>
      <c r="G70" s="10"/>
      <c r="H70" s="10"/>
      <c r="I70" s="10"/>
      <c r="J70" s="10"/>
      <c r="K70" s="10"/>
    </row>
    <row r="71">
      <c r="A71" s="10" t="str">
        <f>IFNA(VLOOKUP(pts_sub!$A71,sub!$B$2:$E1000,4,FALSE),"")</f>
        <v/>
      </c>
      <c r="B71" s="10"/>
      <c r="C71" s="10"/>
      <c r="D71" s="10" t="str">
        <f>IFNA(VLOOKUP(pts_sub!$D71,FIX!$A$2:$D1000,4, FALSE),"")</f>
        <v/>
      </c>
      <c r="E71" s="10"/>
      <c r="F71" s="10"/>
      <c r="G71" s="10"/>
      <c r="H71" s="10"/>
      <c r="I71" s="10"/>
      <c r="J71" s="10"/>
      <c r="K71" s="10"/>
    </row>
    <row r="72">
      <c r="A72" s="10" t="str">
        <f>IFNA(VLOOKUP(pts_sub!$A72,sub!$B$2:$E1000,4,FALSE),"")</f>
        <v/>
      </c>
      <c r="B72" s="10"/>
      <c r="C72" s="10"/>
      <c r="D72" s="10" t="str">
        <f>IFNA(VLOOKUP(pts_sub!$D72,FIX!$A$2:$D1000,4, FALSE),"")</f>
        <v/>
      </c>
      <c r="E72" s="10"/>
      <c r="F72" s="10"/>
      <c r="G72" s="10"/>
      <c r="H72" s="10"/>
      <c r="I72" s="10"/>
      <c r="J72" s="10"/>
      <c r="K72" s="10"/>
    </row>
    <row r="73">
      <c r="A73" s="10" t="str">
        <f>IFNA(VLOOKUP(pts_sub!$A73,sub!$B$2:$E1000,4,FALSE),"")</f>
        <v/>
      </c>
      <c r="B73" s="10"/>
      <c r="C73" s="10"/>
      <c r="D73" s="10" t="str">
        <f>IFNA(VLOOKUP(pts_sub!$D73,FIX!$A$2:$D1000,4, FALSE),"")</f>
        <v/>
      </c>
      <c r="E73" s="10"/>
      <c r="F73" s="10"/>
      <c r="G73" s="10"/>
      <c r="H73" s="10"/>
      <c r="I73" s="10"/>
      <c r="J73" s="10"/>
      <c r="K73" s="10"/>
    </row>
    <row r="74">
      <c r="A74" s="10" t="str">
        <f>IFNA(VLOOKUP(pts_sub!$A74,sub!$B$2:$E1000,4,FALSE),"")</f>
        <v/>
      </c>
      <c r="B74" s="10"/>
      <c r="C74" s="10"/>
      <c r="D74" s="10" t="str">
        <f>IFNA(VLOOKUP(pts_sub!$D74,FIX!$A$2:$D1000,4, FALSE),"")</f>
        <v/>
      </c>
      <c r="E74" s="10"/>
      <c r="F74" s="10"/>
      <c r="G74" s="10"/>
      <c r="H74" s="10"/>
      <c r="I74" s="10"/>
      <c r="J74" s="10"/>
      <c r="K74" s="10"/>
    </row>
    <row r="75">
      <c r="A75" s="10" t="str">
        <f>IFNA(VLOOKUP(pts_sub!$A75,sub!$B$2:$E1000,4,FALSE),"")</f>
        <v/>
      </c>
      <c r="B75" s="10"/>
      <c r="C75" s="10"/>
      <c r="D75" s="10" t="str">
        <f>IFNA(VLOOKUP(pts_sub!$D75,FIX!$A$2:$D1000,4, FALSE),"")</f>
        <v/>
      </c>
      <c r="E75" s="10"/>
      <c r="F75" s="10"/>
      <c r="G75" s="10"/>
      <c r="H75" s="10"/>
      <c r="I75" s="10"/>
      <c r="J75" s="10"/>
      <c r="K75" s="10"/>
    </row>
    <row r="76">
      <c r="A76" s="10" t="str">
        <f>IFNA(VLOOKUP(pts_sub!$A76,sub!$B$2:$E1000,4,FALSE),"")</f>
        <v/>
      </c>
      <c r="B76" s="10"/>
      <c r="C76" s="10"/>
      <c r="D76" s="10" t="str">
        <f>IFNA(VLOOKUP(pts_sub!$D76,FIX!$A$2:$D1000,4, FALSE),"")</f>
        <v/>
      </c>
      <c r="E76" s="10"/>
      <c r="F76" s="10"/>
      <c r="G76" s="10"/>
      <c r="H76" s="10"/>
      <c r="I76" s="10"/>
      <c r="J76" s="10"/>
      <c r="K76" s="10"/>
    </row>
    <row r="77">
      <c r="A77" s="10" t="str">
        <f>IFNA(VLOOKUP(pts_sub!$A77,sub!$B$2:$E1000,4,FALSE),"")</f>
        <v/>
      </c>
      <c r="B77" s="10"/>
      <c r="C77" s="10"/>
      <c r="D77" s="10" t="str">
        <f>IFNA(VLOOKUP(pts_sub!$D77,FIX!$A$2:$D1000,4, FALSE),"")</f>
        <v/>
      </c>
      <c r="E77" s="10"/>
      <c r="F77" s="10"/>
      <c r="G77" s="10"/>
      <c r="H77" s="10"/>
      <c r="I77" s="10"/>
      <c r="J77" s="10"/>
      <c r="K77" s="10"/>
    </row>
    <row r="78">
      <c r="A78" s="10" t="str">
        <f>IFNA(VLOOKUP(pts_sub!$A78,sub!$B$2:$E1000,4,FALSE),"")</f>
        <v/>
      </c>
      <c r="B78" s="10"/>
      <c r="C78" s="10"/>
      <c r="D78" s="10" t="str">
        <f>IFNA(VLOOKUP(pts_sub!$D78,FIX!$A$2:$D1000,4, FALSE),"")</f>
        <v/>
      </c>
      <c r="E78" s="10"/>
      <c r="F78" s="10"/>
      <c r="G78" s="10"/>
      <c r="H78" s="10"/>
      <c r="I78" s="10"/>
      <c r="J78" s="10"/>
      <c r="K78" s="10"/>
    </row>
    <row r="79">
      <c r="A79" s="10" t="str">
        <f>IFNA(VLOOKUP(pts_sub!$A79,sub!$B$2:$E1000,4,FALSE),"")</f>
        <v/>
      </c>
      <c r="B79" s="10"/>
      <c r="C79" s="10"/>
      <c r="D79" s="10" t="str">
        <f>IFNA(VLOOKUP(pts_sub!$D79,FIX!$A$2:$D1000,4, FALSE),"")</f>
        <v/>
      </c>
      <c r="E79" s="10"/>
      <c r="F79" s="10"/>
      <c r="G79" s="10"/>
      <c r="H79" s="10"/>
      <c r="I79" s="10"/>
      <c r="J79" s="10"/>
      <c r="K79" s="10"/>
    </row>
    <row r="80">
      <c r="A80" s="10" t="str">
        <f>IFNA(VLOOKUP(pts_sub!$A80,sub!$B$2:$E1000,4,FALSE),"")</f>
        <v/>
      </c>
      <c r="B80" s="10"/>
      <c r="C80" s="10"/>
      <c r="D80" s="10" t="str">
        <f>IFNA(VLOOKUP(pts_sub!$D80,FIX!$A$2:$D1000,4, FALSE),"")</f>
        <v/>
      </c>
      <c r="E80" s="10"/>
      <c r="F80" s="10"/>
      <c r="G80" s="10"/>
      <c r="H80" s="10"/>
      <c r="I80" s="10"/>
      <c r="J80" s="10"/>
      <c r="K80" s="10"/>
    </row>
    <row r="81">
      <c r="A81" s="10" t="str">
        <f>IFNA(VLOOKUP(pts_sub!$A81,sub!$B$2:$E1000,4,FALSE),"")</f>
        <v/>
      </c>
      <c r="B81" s="10"/>
      <c r="C81" s="10"/>
      <c r="D81" s="10" t="str">
        <f>IFNA(VLOOKUP(pts_sub!$D81,FIX!$A$2:$D1000,4, FALSE),"")</f>
        <v/>
      </c>
      <c r="E81" s="10"/>
      <c r="F81" s="10"/>
      <c r="G81" s="10"/>
      <c r="H81" s="10"/>
      <c r="I81" s="10"/>
      <c r="J81" s="10"/>
      <c r="K81" s="10"/>
    </row>
    <row r="82">
      <c r="A82" s="10" t="str">
        <f>IFNA(VLOOKUP(pts_sub!$A82,sub!$B$2:$E1000,4,FALSE),"")</f>
        <v/>
      </c>
      <c r="B82" s="10"/>
      <c r="C82" s="10"/>
      <c r="D82" s="10" t="str">
        <f>IFNA(VLOOKUP(pts_sub!$D82,FIX!$A$2:$D1000,4, FALSE),"")</f>
        <v/>
      </c>
      <c r="E82" s="10"/>
      <c r="F82" s="10"/>
      <c r="G82" s="10"/>
      <c r="H82" s="10"/>
      <c r="I82" s="10"/>
      <c r="J82" s="10"/>
      <c r="K82" s="10"/>
    </row>
    <row r="83">
      <c r="A83" s="10" t="str">
        <f>IFNA(VLOOKUP(pts_sub!$A83,sub!$B$2:$E1000,4,FALSE),"")</f>
        <v/>
      </c>
      <c r="B83" s="10"/>
      <c r="C83" s="10"/>
      <c r="D83" s="10" t="str">
        <f>IFNA(VLOOKUP(pts_sub!$D83,FIX!$A$2:$D1000,4, FALSE),"")</f>
        <v/>
      </c>
      <c r="E83" s="10"/>
      <c r="F83" s="10"/>
      <c r="G83" s="10"/>
      <c r="H83" s="10"/>
      <c r="I83" s="10"/>
      <c r="J83" s="10"/>
      <c r="K83" s="10"/>
    </row>
    <row r="84">
      <c r="A84" s="10" t="str">
        <f>IFNA(VLOOKUP(pts_sub!$A84,sub!$B$2:$E1000,4,FALSE),"")</f>
        <v/>
      </c>
      <c r="B84" s="10"/>
      <c r="C84" s="10"/>
      <c r="D84" s="10" t="str">
        <f>IFNA(VLOOKUP(pts_sub!$D84,FIX!$A$2:$D1000,4, FALSE),"")</f>
        <v/>
      </c>
      <c r="E84" s="10"/>
      <c r="F84" s="10"/>
      <c r="G84" s="10"/>
      <c r="H84" s="10"/>
      <c r="I84" s="10"/>
      <c r="J84" s="10"/>
      <c r="K84" s="10"/>
    </row>
    <row r="85">
      <c r="A85" s="10" t="str">
        <f>IFNA(VLOOKUP(pts_sub!$A85,sub!$B$2:$E1000,4,FALSE),"")</f>
        <v/>
      </c>
      <c r="B85" s="10"/>
      <c r="C85" s="10"/>
      <c r="D85" s="10" t="str">
        <f>IFNA(VLOOKUP(pts_sub!$D85,FIX!$A$2:$D1000,4, FALSE),"")</f>
        <v/>
      </c>
      <c r="E85" s="10"/>
      <c r="F85" s="10"/>
      <c r="G85" s="10"/>
      <c r="H85" s="10"/>
      <c r="I85" s="10"/>
      <c r="J85" s="10"/>
      <c r="K85" s="10"/>
    </row>
    <row r="86">
      <c r="A86" s="10" t="str">
        <f>IFNA(VLOOKUP(pts_sub!$A86,sub!$B$2:$E1000,4,FALSE),"")</f>
        <v/>
      </c>
      <c r="B86" s="10"/>
      <c r="C86" s="10"/>
      <c r="D86" s="10" t="str">
        <f>IFNA(VLOOKUP(pts_sub!$D86,FIX!$A$2:$D1000,4, FALSE),"")</f>
        <v/>
      </c>
      <c r="E86" s="10"/>
      <c r="F86" s="10"/>
      <c r="G86" s="10"/>
      <c r="H86" s="10"/>
      <c r="I86" s="10"/>
      <c r="J86" s="10"/>
      <c r="K86" s="10"/>
    </row>
    <row r="87">
      <c r="A87" s="10" t="str">
        <f>IFNA(VLOOKUP(pts_sub!$A87,sub!$B$2:$E1000,4,FALSE),"")</f>
        <v/>
      </c>
      <c r="B87" s="10"/>
      <c r="C87" s="10"/>
      <c r="D87" s="10" t="str">
        <f>IFNA(VLOOKUP(pts_sub!$D87,FIX!$A$2:$D1000,4, FALSE),"")</f>
        <v/>
      </c>
      <c r="E87" s="10"/>
      <c r="F87" s="10"/>
      <c r="G87" s="10"/>
      <c r="H87" s="10"/>
      <c r="I87" s="10"/>
      <c r="J87" s="10"/>
      <c r="K87" s="10"/>
    </row>
    <row r="88">
      <c r="A88" s="10" t="str">
        <f>IFNA(VLOOKUP(pts_sub!$A88,sub!$B$2:$E1000,4,FALSE),"")</f>
        <v/>
      </c>
      <c r="B88" s="10"/>
      <c r="C88" s="10"/>
      <c r="D88" s="10" t="str">
        <f>IFNA(VLOOKUP(pts_sub!$D88,FIX!$A$2:$D1000,4, FALSE),"")</f>
        <v/>
      </c>
      <c r="E88" s="10"/>
      <c r="F88" s="10"/>
      <c r="G88" s="10"/>
      <c r="H88" s="10"/>
      <c r="I88" s="10"/>
      <c r="J88" s="10"/>
      <c r="K88" s="10"/>
    </row>
    <row r="89">
      <c r="A89" s="10" t="str">
        <f>IFNA(VLOOKUP(pts_sub!$A89,sub!$B$2:$E1000,4,FALSE),"")</f>
        <v/>
      </c>
      <c r="B89" s="10"/>
      <c r="C89" s="10"/>
      <c r="D89" s="10" t="str">
        <f>IFNA(VLOOKUP(pts_sub!$D89,FIX!$A$2:$D1000,4, FALSE),"")</f>
        <v/>
      </c>
      <c r="E89" s="10"/>
      <c r="F89" s="10"/>
      <c r="G89" s="10"/>
      <c r="H89" s="10"/>
      <c r="I89" s="10"/>
      <c r="J89" s="10"/>
      <c r="K89" s="10"/>
    </row>
    <row r="90">
      <c r="A90" s="10" t="str">
        <f>IFNA(VLOOKUP(pts_sub!$A90,sub!$B$2:$E1000,4,FALSE),"")</f>
        <v/>
      </c>
      <c r="B90" s="10"/>
      <c r="C90" s="10"/>
      <c r="D90" s="10" t="str">
        <f>IFNA(VLOOKUP(pts_sub!$D90,FIX!$A$2:$D1000,4, FALSE),"")</f>
        <v/>
      </c>
      <c r="E90" s="10"/>
      <c r="F90" s="10"/>
      <c r="G90" s="10"/>
      <c r="H90" s="10"/>
      <c r="I90" s="10"/>
      <c r="J90" s="10"/>
      <c r="K90" s="10"/>
    </row>
    <row r="91">
      <c r="A91" s="10" t="str">
        <f>IFNA(VLOOKUP(pts_sub!$A91,sub!$B$2:$E1000,4,FALSE),"")</f>
        <v/>
      </c>
      <c r="B91" s="10"/>
      <c r="C91" s="10"/>
      <c r="D91" s="10" t="str">
        <f>IFNA(VLOOKUP(pts_sub!$D91,FIX!$A$2:$D1000,4, FALSE),"")</f>
        <v/>
      </c>
      <c r="E91" s="10"/>
      <c r="F91" s="10"/>
      <c r="G91" s="10"/>
      <c r="H91" s="10"/>
      <c r="I91" s="10"/>
      <c r="J91" s="10"/>
      <c r="K91" s="10"/>
    </row>
    <row r="92">
      <c r="A92" s="10" t="str">
        <f>IFNA(VLOOKUP(pts_sub!$A92,sub!$B$2:$E1000,4,FALSE),"")</f>
        <v/>
      </c>
      <c r="B92" s="10"/>
      <c r="C92" s="10"/>
      <c r="D92" s="10" t="str">
        <f>IFNA(VLOOKUP(pts_sub!$D92,FIX!$A$2:$D1000,4, FALSE),"")</f>
        <v/>
      </c>
      <c r="E92" s="10"/>
      <c r="F92" s="10"/>
      <c r="G92" s="10"/>
      <c r="H92" s="10"/>
      <c r="I92" s="10"/>
      <c r="J92" s="10"/>
      <c r="K92" s="10"/>
    </row>
    <row r="93">
      <c r="A93" s="10" t="str">
        <f>IFNA(VLOOKUP(pts_sub!$A93,sub!$B$2:$E1000,4,FALSE),"")</f>
        <v/>
      </c>
      <c r="B93" s="10"/>
      <c r="C93" s="10"/>
      <c r="D93" s="10" t="str">
        <f>IFNA(VLOOKUP(pts_sub!$D93,FIX!$A$2:$D1000,4, FALSE),"")</f>
        <v/>
      </c>
      <c r="E93" s="10"/>
      <c r="F93" s="10"/>
      <c r="G93" s="10"/>
      <c r="H93" s="10"/>
      <c r="I93" s="10"/>
      <c r="J93" s="10"/>
      <c r="K93" s="10"/>
    </row>
    <row r="94">
      <c r="A94" s="10" t="str">
        <f>IFNA(VLOOKUP(pts_sub!$A94,sub!$B$2:$E1000,4,FALSE),"")</f>
        <v/>
      </c>
      <c r="B94" s="10"/>
      <c r="C94" s="10"/>
      <c r="D94" s="10" t="str">
        <f>IFNA(VLOOKUP(pts_sub!$D94,FIX!$A$2:$D1000,4, FALSE),"")</f>
        <v/>
      </c>
      <c r="E94" s="10"/>
      <c r="F94" s="10"/>
      <c r="G94" s="10"/>
      <c r="H94" s="10"/>
      <c r="I94" s="10"/>
      <c r="J94" s="10"/>
      <c r="K94" s="10"/>
    </row>
    <row r="95">
      <c r="A95" s="10" t="str">
        <f>IFNA(VLOOKUP(pts_sub!$A95,sub!$B$2:$E1000,4,FALSE),"")</f>
        <v/>
      </c>
      <c r="B95" s="10"/>
      <c r="C95" s="10"/>
      <c r="D95" s="10" t="str">
        <f>IFNA(VLOOKUP(pts_sub!$D95,FIX!$A$2:$D1000,4, FALSE),"")</f>
        <v/>
      </c>
      <c r="E95" s="10"/>
      <c r="F95" s="10"/>
      <c r="G95" s="10"/>
      <c r="H95" s="10"/>
      <c r="I95" s="10"/>
      <c r="J95" s="10"/>
      <c r="K95" s="10"/>
    </row>
    <row r="96">
      <c r="A96" s="10" t="str">
        <f>IFNA(VLOOKUP(pts_sub!$A96,sub!$B$2:$E1000,4,FALSE),"")</f>
        <v/>
      </c>
      <c r="B96" s="10"/>
      <c r="C96" s="10"/>
      <c r="D96" s="10" t="str">
        <f>IFNA(VLOOKUP(pts_sub!$D96,FIX!$A$2:$D1000,4, FALSE),"")</f>
        <v/>
      </c>
      <c r="E96" s="10"/>
      <c r="F96" s="10"/>
      <c r="G96" s="10"/>
      <c r="H96" s="10"/>
      <c r="I96" s="10"/>
      <c r="J96" s="10"/>
      <c r="K96" s="10"/>
    </row>
    <row r="97">
      <c r="A97" s="10" t="str">
        <f>IFNA(VLOOKUP(pts_sub!$A97,sub!$B$2:$E1000,4,FALSE),"")</f>
        <v/>
      </c>
      <c r="B97" s="10"/>
      <c r="C97" s="10"/>
      <c r="D97" s="10" t="str">
        <f>IFNA(VLOOKUP(pts_sub!$D97,FIX!$A$2:$D1000,4, FALSE),"")</f>
        <v/>
      </c>
      <c r="E97" s="10"/>
      <c r="F97" s="10"/>
      <c r="G97" s="10"/>
      <c r="H97" s="10"/>
      <c r="I97" s="10"/>
      <c r="J97" s="10"/>
      <c r="K97" s="10"/>
    </row>
    <row r="98">
      <c r="A98" s="10" t="str">
        <f>IFNA(VLOOKUP(pts_sub!$A98,sub!$B$2:$E1000,4,FALSE),"")</f>
        <v/>
      </c>
      <c r="B98" s="10"/>
      <c r="C98" s="10"/>
      <c r="D98" s="10" t="str">
        <f>IFNA(VLOOKUP(pts_sub!$D98,FIX!$A$2:$D1000,4, FALSE),"")</f>
        <v/>
      </c>
      <c r="E98" s="10"/>
      <c r="F98" s="10"/>
      <c r="G98" s="10"/>
      <c r="H98" s="10"/>
      <c r="I98" s="10"/>
      <c r="J98" s="10"/>
      <c r="K98" s="10"/>
    </row>
    <row r="99">
      <c r="A99" s="10" t="str">
        <f>IFNA(VLOOKUP(pts_sub!$A99,sub!$B$2:$E1000,4,FALSE),"")</f>
        <v/>
      </c>
      <c r="B99" s="10"/>
      <c r="C99" s="10"/>
      <c r="D99" s="10" t="str">
        <f>IFNA(VLOOKUP(pts_sub!$D99,FIX!$A$2:$D1000,4, FALSE),"")</f>
        <v/>
      </c>
      <c r="E99" s="10"/>
      <c r="F99" s="10"/>
      <c r="G99" s="10"/>
      <c r="H99" s="10"/>
      <c r="I99" s="10"/>
      <c r="J99" s="10"/>
      <c r="K99" s="10"/>
    </row>
    <row r="100">
      <c r="A100" s="10" t="str">
        <f>IFNA(VLOOKUP(pts_sub!$A100,sub!$B$2:$E1000,4,FALSE),"")</f>
        <v/>
      </c>
      <c r="B100" s="10"/>
      <c r="C100" s="10"/>
      <c r="D100" s="10" t="str">
        <f>IFNA(VLOOKUP(pts_sub!$D100,FIX!$A$2:$D1000,4, FALSE),"")</f>
        <v/>
      </c>
      <c r="E100" s="10"/>
      <c r="F100" s="10"/>
      <c r="G100" s="10"/>
      <c r="H100" s="10"/>
      <c r="I100" s="10"/>
      <c r="J100" s="10"/>
      <c r="K100" s="10"/>
    </row>
    <row r="101">
      <c r="A101" s="10" t="str">
        <f>IFNA(VLOOKUP(pts_sub!$A101,sub!$B$2:$E1000,4,FALSE),"")</f>
        <v/>
      </c>
      <c r="B101" s="10"/>
      <c r="C101" s="10"/>
      <c r="D101" s="10" t="str">
        <f>IFNA(VLOOKUP(pts_sub!$D101,FIX!$A$2:$D1000,4, FALSE),"")</f>
        <v/>
      </c>
      <c r="E101" s="10"/>
      <c r="F101" s="10"/>
      <c r="G101" s="10"/>
      <c r="H101" s="10"/>
      <c r="I101" s="10"/>
      <c r="J101" s="10"/>
      <c r="K101" s="10"/>
    </row>
    <row r="102">
      <c r="A102" s="10" t="str">
        <f>IFNA(VLOOKUP(pts_sub!$A102,sub!$B$2:$E1000,4,FALSE),"")</f>
        <v/>
      </c>
      <c r="B102" s="10"/>
      <c r="C102" s="10"/>
      <c r="D102" s="10" t="str">
        <f>IFNA(VLOOKUP(pts_sub!$D102,FIX!$A$2:$D1000,4, FALSE),"")</f>
        <v/>
      </c>
      <c r="E102" s="10"/>
      <c r="F102" s="10"/>
      <c r="G102" s="10"/>
      <c r="H102" s="10"/>
      <c r="I102" s="10"/>
      <c r="J102" s="10"/>
      <c r="K102" s="10"/>
    </row>
    <row r="103">
      <c r="A103" s="10" t="str">
        <f>IFNA(VLOOKUP(pts_sub!$A103,sub!$B$2:$E1000,4,FALSE),"")</f>
        <v/>
      </c>
      <c r="B103" s="10"/>
      <c r="C103" s="10"/>
      <c r="D103" s="10" t="str">
        <f>IFNA(VLOOKUP(pts_sub!$D103,FIX!$A$2:$D1000,4, FALSE),"")</f>
        <v/>
      </c>
      <c r="E103" s="10"/>
      <c r="F103" s="10"/>
      <c r="G103" s="10"/>
      <c r="H103" s="10"/>
      <c r="I103" s="10"/>
      <c r="J103" s="10"/>
      <c r="K103" s="10"/>
    </row>
    <row r="104">
      <c r="A104" s="10" t="str">
        <f>IFNA(VLOOKUP(pts_sub!$A104,sub!$B$2:$E1000,4,FALSE),"")</f>
        <v/>
      </c>
      <c r="B104" s="10"/>
      <c r="C104" s="10"/>
      <c r="D104" s="10" t="str">
        <f>IFNA(VLOOKUP(pts_sub!$D104,FIX!$A$2:$D1000,4, FALSE),"")</f>
        <v/>
      </c>
      <c r="E104" s="10"/>
      <c r="F104" s="10"/>
      <c r="G104" s="10"/>
      <c r="H104" s="10"/>
      <c r="I104" s="10"/>
      <c r="J104" s="10"/>
      <c r="K104" s="10"/>
    </row>
    <row r="105">
      <c r="A105" s="10" t="str">
        <f>IFNA(VLOOKUP(pts_sub!$A105,sub!$B$2:$E1000,4,FALSE),"")</f>
        <v/>
      </c>
      <c r="B105" s="10"/>
      <c r="C105" s="10"/>
      <c r="D105" s="10" t="str">
        <f>IFNA(VLOOKUP(pts_sub!$D105,FIX!$A$2:$D1000,4, FALSE),"")</f>
        <v/>
      </c>
      <c r="E105" s="10"/>
      <c r="F105" s="10"/>
      <c r="G105" s="10"/>
      <c r="H105" s="10"/>
      <c r="I105" s="10"/>
      <c r="J105" s="10"/>
      <c r="K105" s="10"/>
    </row>
    <row r="106">
      <c r="A106" s="10" t="str">
        <f>IFNA(VLOOKUP(pts_sub!$A106,sub!$B$2:$E1000,4,FALSE),"")</f>
        <v/>
      </c>
      <c r="B106" s="10"/>
      <c r="C106" s="10"/>
      <c r="D106" s="10" t="str">
        <f>IFNA(VLOOKUP(pts_sub!$D106,FIX!$A$2:$D1000,4, FALSE),"")</f>
        <v/>
      </c>
      <c r="E106" s="10"/>
      <c r="F106" s="10"/>
      <c r="G106" s="10"/>
      <c r="H106" s="10"/>
      <c r="I106" s="10"/>
      <c r="J106" s="10"/>
      <c r="K106" s="10"/>
    </row>
    <row r="107">
      <c r="A107" s="10" t="str">
        <f>IFNA(VLOOKUP(pts_sub!$A107,sub!$B$2:$E1000,4,FALSE),"")</f>
        <v/>
      </c>
      <c r="B107" s="10"/>
      <c r="C107" s="10"/>
      <c r="D107" s="10" t="str">
        <f>IFNA(VLOOKUP(pts_sub!$D107,FIX!$A$2:$D1000,4, FALSE),"")</f>
        <v/>
      </c>
      <c r="E107" s="10"/>
      <c r="F107" s="10"/>
      <c r="G107" s="10"/>
      <c r="H107" s="10"/>
      <c r="I107" s="10"/>
      <c r="J107" s="10"/>
      <c r="K107" s="10"/>
    </row>
    <row r="108">
      <c r="A108" s="10" t="str">
        <f>IFNA(VLOOKUP(pts_sub!$A108,sub!$B$2:$E1000,4,FALSE),"")</f>
        <v/>
      </c>
      <c r="B108" s="10"/>
      <c r="C108" s="10"/>
      <c r="D108" s="10" t="str">
        <f>IFNA(VLOOKUP(pts_sub!$D108,FIX!$A$2:$D1000,4, FALSE),"")</f>
        <v/>
      </c>
      <c r="E108" s="10"/>
      <c r="F108" s="10"/>
      <c r="G108" s="10"/>
      <c r="H108" s="10"/>
      <c r="I108" s="10"/>
      <c r="J108" s="10"/>
      <c r="K108" s="10"/>
    </row>
    <row r="109">
      <c r="A109" s="10" t="str">
        <f>IFNA(VLOOKUP(pts_sub!$A109,sub!$B$2:$E1000,4,FALSE),"")</f>
        <v/>
      </c>
      <c r="B109" s="10"/>
      <c r="C109" s="10"/>
      <c r="D109" s="10" t="str">
        <f>IFNA(VLOOKUP(pts_sub!$D109,FIX!$A$2:$D1000,4, FALSE),"")</f>
        <v/>
      </c>
      <c r="E109" s="10"/>
      <c r="F109" s="10"/>
      <c r="G109" s="10"/>
      <c r="H109" s="10"/>
      <c r="I109" s="10"/>
      <c r="J109" s="10"/>
      <c r="K109" s="10"/>
    </row>
    <row r="110">
      <c r="A110" s="10" t="str">
        <f>IFNA(VLOOKUP(pts_sub!$A110,sub!$B$2:$E1000,4,FALSE),"")</f>
        <v/>
      </c>
      <c r="B110" s="10"/>
      <c r="C110" s="10"/>
      <c r="D110" s="10" t="str">
        <f>IFNA(VLOOKUP(pts_sub!$D110,FIX!$A$2:$D1000,4, FALSE),"")</f>
        <v/>
      </c>
      <c r="E110" s="10"/>
      <c r="F110" s="10"/>
      <c r="G110" s="10"/>
      <c r="H110" s="10"/>
      <c r="I110" s="10"/>
      <c r="J110" s="10"/>
      <c r="K110" s="10"/>
    </row>
    <row r="111">
      <c r="A111" s="10" t="str">
        <f>IFNA(VLOOKUP(pts_sub!$A111,sub!$B$2:$E1000,4,FALSE),"")</f>
        <v/>
      </c>
      <c r="B111" s="10"/>
      <c r="C111" s="10"/>
      <c r="D111" s="10" t="str">
        <f>IFNA(VLOOKUP(pts_sub!$D111,FIX!$A$2:$D1000,4, FALSE),"")</f>
        <v/>
      </c>
      <c r="E111" s="10"/>
      <c r="F111" s="10"/>
      <c r="G111" s="10"/>
      <c r="H111" s="10"/>
      <c r="I111" s="10"/>
      <c r="J111" s="10"/>
      <c r="K111" s="10"/>
    </row>
    <row r="112">
      <c r="A112" s="10" t="str">
        <f>IFNA(VLOOKUP(pts_sub!$A112,sub!$B$2:$E1000,4,FALSE),"")</f>
        <v/>
      </c>
      <c r="B112" s="10"/>
      <c r="C112" s="10"/>
      <c r="D112" s="10" t="str">
        <f>IFNA(VLOOKUP(pts_sub!$D112,FIX!$A$2:$D1000,4, FALSE),"")</f>
        <v/>
      </c>
      <c r="E112" s="10"/>
      <c r="F112" s="10"/>
      <c r="G112" s="10"/>
      <c r="H112" s="10"/>
      <c r="I112" s="10"/>
      <c r="J112" s="10"/>
      <c r="K112" s="10"/>
    </row>
    <row r="113">
      <c r="A113" s="10" t="str">
        <f>IFNA(VLOOKUP(pts_sub!$A113,sub!$B$2:$E1000,4,FALSE),"")</f>
        <v/>
      </c>
      <c r="B113" s="10"/>
      <c r="C113" s="10"/>
      <c r="D113" s="10" t="str">
        <f>IFNA(VLOOKUP(pts_sub!$D113,FIX!$A$2:$D1000,4, FALSE),"")</f>
        <v/>
      </c>
      <c r="E113" s="10"/>
      <c r="F113" s="10"/>
      <c r="G113" s="10"/>
      <c r="H113" s="10"/>
      <c r="I113" s="10"/>
      <c r="J113" s="10"/>
      <c r="K113" s="10"/>
    </row>
    <row r="114">
      <c r="A114" s="10" t="str">
        <f>IFNA(VLOOKUP(pts_sub!$A114,sub!$B$2:$E1000,4,FALSE),"")</f>
        <v/>
      </c>
      <c r="B114" s="10"/>
      <c r="C114" s="10"/>
      <c r="D114" s="10" t="str">
        <f>IFNA(VLOOKUP(pts_sub!$D114,FIX!$A$2:$D1000,4, FALSE),"")</f>
        <v/>
      </c>
      <c r="E114" s="10"/>
      <c r="F114" s="10"/>
      <c r="G114" s="10"/>
      <c r="H114" s="10"/>
      <c r="I114" s="10"/>
      <c r="J114" s="10"/>
      <c r="K114" s="10"/>
    </row>
    <row r="115">
      <c r="A115" s="10" t="str">
        <f>IFNA(VLOOKUP(pts_sub!$A115,sub!$B$2:$E1000,4,FALSE),"")</f>
        <v/>
      </c>
      <c r="B115" s="10"/>
      <c r="C115" s="10"/>
      <c r="D115" s="10" t="str">
        <f>IFNA(VLOOKUP(pts_sub!$D115,FIX!$A$2:$D1000,4, FALSE),"")</f>
        <v/>
      </c>
      <c r="E115" s="10"/>
      <c r="F115" s="10"/>
      <c r="G115" s="10"/>
      <c r="H115" s="10"/>
      <c r="I115" s="10"/>
      <c r="J115" s="10"/>
      <c r="K115" s="10"/>
    </row>
    <row r="116">
      <c r="A116" s="10" t="str">
        <f>IFNA(VLOOKUP(pts_sub!$A116,sub!$B$2:$E1000,4,FALSE),"")</f>
        <v/>
      </c>
      <c r="B116" s="10"/>
      <c r="C116" s="10"/>
      <c r="D116" s="10" t="str">
        <f>IFNA(VLOOKUP(pts_sub!$D116,FIX!$A$2:$D1000,4, FALSE),"")</f>
        <v/>
      </c>
      <c r="E116" s="10"/>
      <c r="F116" s="10"/>
      <c r="G116" s="10"/>
      <c r="H116" s="10"/>
      <c r="I116" s="10"/>
      <c r="J116" s="10"/>
      <c r="K116" s="10"/>
    </row>
    <row r="117">
      <c r="A117" s="10" t="str">
        <f>IFNA(VLOOKUP(pts_sub!$A117,sub!$B$2:$E1000,4,FALSE),"")</f>
        <v/>
      </c>
      <c r="B117" s="10"/>
      <c r="C117" s="10"/>
      <c r="D117" s="10" t="str">
        <f>IFNA(VLOOKUP(pts_sub!$D117,FIX!$A$2:$D1000,4, FALSE),"")</f>
        <v/>
      </c>
      <c r="E117" s="10"/>
      <c r="F117" s="10"/>
      <c r="G117" s="10"/>
      <c r="H117" s="10"/>
      <c r="I117" s="10"/>
      <c r="J117" s="10"/>
      <c r="K117" s="10"/>
    </row>
    <row r="118">
      <c r="A118" s="10" t="str">
        <f>IFNA(VLOOKUP(pts_sub!$A118,sub!$B$2:$E1000,4,FALSE),"")</f>
        <v/>
      </c>
      <c r="B118" s="10"/>
      <c r="C118" s="10"/>
      <c r="D118" s="10" t="str">
        <f>IFNA(VLOOKUP(pts_sub!$D118,FIX!$A$2:$D1000,4, FALSE),"")</f>
        <v/>
      </c>
      <c r="E118" s="10"/>
      <c r="F118" s="10"/>
      <c r="G118" s="10"/>
      <c r="H118" s="10"/>
      <c r="I118" s="10"/>
      <c r="J118" s="10"/>
      <c r="K118" s="10"/>
    </row>
    <row r="119">
      <c r="A119" s="10" t="str">
        <f>IFNA(VLOOKUP(pts_sub!$A119,sub!$B$2:$E1000,4,FALSE),"")</f>
        <v/>
      </c>
      <c r="B119" s="10"/>
      <c r="C119" s="10"/>
      <c r="D119" s="10" t="str">
        <f>IFNA(VLOOKUP(pts_sub!$D119,FIX!$A$2:$D1000,4, FALSE),"")</f>
        <v/>
      </c>
      <c r="E119" s="10"/>
      <c r="F119" s="10"/>
      <c r="G119" s="10"/>
      <c r="H119" s="10"/>
      <c r="I119" s="10"/>
      <c r="J119" s="10"/>
      <c r="K119" s="10"/>
    </row>
    <row r="120">
      <c r="A120" s="10" t="str">
        <f>IFNA(VLOOKUP(pts_sub!$A120,sub!$B$2:$E1000,4,FALSE),"")</f>
        <v/>
      </c>
      <c r="B120" s="10"/>
      <c r="C120" s="10"/>
      <c r="D120" s="10" t="str">
        <f>IFNA(VLOOKUP(pts_sub!$D120,FIX!$A$2:$D1000,4, FALSE),"")</f>
        <v/>
      </c>
      <c r="E120" s="10"/>
      <c r="F120" s="10"/>
      <c r="G120" s="10"/>
      <c r="H120" s="10"/>
      <c r="I120" s="10"/>
      <c r="J120" s="10"/>
      <c r="K120" s="10"/>
    </row>
    <row r="121">
      <c r="A121" s="10" t="str">
        <f>IFNA(VLOOKUP(pts_sub!$A121,sub!$B$2:$E1000,4,FALSE),"")</f>
        <v/>
      </c>
      <c r="B121" s="10"/>
      <c r="C121" s="10"/>
      <c r="D121" s="10" t="str">
        <f>IFNA(VLOOKUP(pts_sub!$D121,FIX!$A$2:$D1000,4, FALSE),"")</f>
        <v/>
      </c>
      <c r="E121" s="10"/>
      <c r="F121" s="10"/>
      <c r="G121" s="10"/>
      <c r="H121" s="10"/>
      <c r="I121" s="10"/>
      <c r="J121" s="10"/>
      <c r="K121" s="10"/>
    </row>
    <row r="122">
      <c r="A122" s="10" t="str">
        <f>IFNA(VLOOKUP(pts_sub!$A122,sub!$B$2:$E1000,4,FALSE),"")</f>
        <v/>
      </c>
      <c r="B122" s="10"/>
      <c r="C122" s="10"/>
      <c r="D122" s="10" t="str">
        <f>IFNA(VLOOKUP(pts_sub!$D122,FIX!$A$2:$D1000,4, FALSE),"")</f>
        <v/>
      </c>
      <c r="E122" s="10"/>
      <c r="F122" s="10"/>
      <c r="G122" s="10"/>
      <c r="H122" s="10"/>
      <c r="I122" s="10"/>
      <c r="J122" s="10"/>
      <c r="K122" s="10"/>
    </row>
    <row r="123">
      <c r="A123" s="10" t="str">
        <f>IFNA(VLOOKUP(pts_sub!$A123,sub!$B$2:$E1000,4,FALSE),"")</f>
        <v/>
      </c>
      <c r="B123" s="10"/>
      <c r="C123" s="10"/>
      <c r="D123" s="10" t="str">
        <f>IFNA(VLOOKUP(pts_sub!$D123,FIX!$A$2:$D1000,4, FALSE),"")</f>
        <v/>
      </c>
      <c r="E123" s="10"/>
      <c r="F123" s="10"/>
      <c r="G123" s="10"/>
      <c r="H123" s="10"/>
      <c r="I123" s="10"/>
      <c r="J123" s="10"/>
      <c r="K123" s="10"/>
    </row>
    <row r="124">
      <c r="A124" s="10" t="str">
        <f>IFNA(VLOOKUP(pts_sub!$A124,sub!$B$2:$E1000,4,FALSE),"")</f>
        <v/>
      </c>
      <c r="B124" s="10"/>
      <c r="C124" s="10"/>
      <c r="D124" s="10" t="str">
        <f>IFNA(VLOOKUP(pts_sub!$D124,FIX!$A$2:$D1000,4, FALSE),"")</f>
        <v/>
      </c>
      <c r="E124" s="10"/>
      <c r="F124" s="10"/>
      <c r="G124" s="10"/>
      <c r="H124" s="10"/>
      <c r="I124" s="10"/>
      <c r="J124" s="10"/>
      <c r="K124" s="10"/>
    </row>
    <row r="125">
      <c r="A125" s="10" t="str">
        <f>IFNA(VLOOKUP(pts_sub!$A125,sub!$B$2:$E1000,4,FALSE),"")</f>
        <v/>
      </c>
      <c r="B125" s="10"/>
      <c r="C125" s="10"/>
      <c r="D125" s="10" t="str">
        <f>IFNA(VLOOKUP(pts_sub!$D125,FIX!$A$2:$D1000,4, FALSE),"")</f>
        <v/>
      </c>
      <c r="E125" s="10"/>
      <c r="F125" s="10"/>
      <c r="G125" s="10"/>
      <c r="H125" s="10"/>
      <c r="I125" s="10"/>
      <c r="J125" s="10"/>
      <c r="K125" s="10"/>
    </row>
    <row r="126">
      <c r="A126" s="10" t="str">
        <f>IFNA(VLOOKUP(pts_sub!$A126,sub!$B$2:$E1000,4,FALSE),"")</f>
        <v/>
      </c>
      <c r="B126" s="10"/>
      <c r="C126" s="10"/>
      <c r="D126" s="10" t="str">
        <f>IFNA(VLOOKUP(pts_sub!$D126,FIX!$A$2:$D1000,4, FALSE),"")</f>
        <v/>
      </c>
      <c r="E126" s="10"/>
      <c r="F126" s="10"/>
      <c r="G126" s="10"/>
      <c r="H126" s="10"/>
      <c r="I126" s="10"/>
      <c r="J126" s="10"/>
      <c r="K126" s="10"/>
    </row>
    <row r="127">
      <c r="A127" s="10" t="str">
        <f>IFNA(VLOOKUP(pts_sub!$A127,sub!$B$2:$E1000,4,FALSE),"")</f>
        <v/>
      </c>
      <c r="B127" s="10"/>
      <c r="C127" s="10"/>
      <c r="D127" s="10" t="str">
        <f>IFNA(VLOOKUP(pts_sub!$D127,FIX!$A$2:$D1000,4, FALSE),"")</f>
        <v/>
      </c>
      <c r="E127" s="10"/>
      <c r="F127" s="10"/>
      <c r="G127" s="10"/>
      <c r="H127" s="10"/>
      <c r="I127" s="10"/>
      <c r="J127" s="10"/>
      <c r="K127" s="10"/>
    </row>
    <row r="128">
      <c r="A128" s="10" t="str">
        <f>IFNA(VLOOKUP(pts_sub!$A128,sub!$B$2:$E1000,4,FALSE),"")</f>
        <v/>
      </c>
      <c r="B128" s="10"/>
      <c r="C128" s="10"/>
      <c r="D128" s="10" t="str">
        <f>IFNA(VLOOKUP(pts_sub!$D128,FIX!$A$2:$D1000,4, FALSE),"")</f>
        <v/>
      </c>
      <c r="E128" s="10"/>
      <c r="F128" s="10"/>
      <c r="G128" s="10"/>
      <c r="H128" s="10"/>
      <c r="I128" s="10"/>
      <c r="J128" s="10"/>
      <c r="K128" s="10"/>
    </row>
    <row r="129">
      <c r="A129" s="10" t="str">
        <f>IFNA(VLOOKUP(pts_sub!$A129,sub!$B$2:$E1000,4,FALSE),"")</f>
        <v/>
      </c>
      <c r="B129" s="10"/>
      <c r="C129" s="10"/>
      <c r="D129" s="10" t="str">
        <f>IFNA(VLOOKUP(pts_sub!$D129,FIX!$A$2:$D1000,4, FALSE),"")</f>
        <v/>
      </c>
      <c r="E129" s="10"/>
      <c r="F129" s="10"/>
      <c r="G129" s="10"/>
      <c r="H129" s="10"/>
      <c r="I129" s="10"/>
      <c r="J129" s="10"/>
      <c r="K129" s="10"/>
    </row>
    <row r="130">
      <c r="A130" s="10" t="str">
        <f>IFNA(VLOOKUP(pts_sub!$A130,sub!$B$2:$E1000,4,FALSE),"")</f>
        <v/>
      </c>
      <c r="B130" s="10"/>
      <c r="C130" s="10"/>
      <c r="D130" s="10" t="str">
        <f>IFNA(VLOOKUP(pts_sub!$D130,FIX!$A$2:$D1000,4, FALSE),"")</f>
        <v/>
      </c>
      <c r="E130" s="10"/>
      <c r="F130" s="10"/>
      <c r="G130" s="10"/>
      <c r="H130" s="10"/>
      <c r="I130" s="10"/>
      <c r="J130" s="10"/>
      <c r="K130" s="10"/>
    </row>
    <row r="131">
      <c r="A131" s="10" t="str">
        <f>IFNA(VLOOKUP(pts_sub!$A131,sub!$B$2:$E1000,4,FALSE),"")</f>
        <v/>
      </c>
      <c r="B131" s="10"/>
      <c r="C131" s="10"/>
      <c r="D131" s="10" t="str">
        <f>IFNA(VLOOKUP(pts_sub!$D131,FIX!$A$2:$D1000,4, FALSE),"")</f>
        <v/>
      </c>
      <c r="E131" s="10"/>
      <c r="F131" s="10"/>
      <c r="G131" s="10"/>
      <c r="H131" s="10"/>
      <c r="I131" s="10"/>
      <c r="J131" s="10"/>
      <c r="K131" s="10"/>
    </row>
    <row r="132">
      <c r="A132" s="10" t="str">
        <f>IFNA(VLOOKUP(pts_sub!$A132,sub!$B$2:$E1000,4,FALSE),"")</f>
        <v/>
      </c>
      <c r="B132" s="10"/>
      <c r="C132" s="10"/>
      <c r="D132" s="10" t="str">
        <f>IFNA(VLOOKUP(pts_sub!$D132,FIX!$A$2:$D1000,4, FALSE),"")</f>
        <v/>
      </c>
      <c r="E132" s="10"/>
      <c r="F132" s="10"/>
      <c r="G132" s="10"/>
      <c r="H132" s="10"/>
      <c r="I132" s="10"/>
      <c r="J132" s="10"/>
      <c r="K132" s="10"/>
    </row>
    <row r="133">
      <c r="A133" s="10" t="str">
        <f>IFNA(VLOOKUP(pts_sub!$A133,sub!$B$2:$E1000,4,FALSE),"")</f>
        <v/>
      </c>
      <c r="B133" s="10"/>
      <c r="C133" s="10"/>
      <c r="D133" s="10" t="str">
        <f>IFNA(VLOOKUP(pts_sub!$D133,FIX!$A$2:$D1000,4, FALSE),"")</f>
        <v/>
      </c>
      <c r="E133" s="10"/>
      <c r="F133" s="10"/>
      <c r="G133" s="10"/>
      <c r="H133" s="10"/>
      <c r="I133" s="10"/>
      <c r="J133" s="10"/>
      <c r="K133" s="10"/>
    </row>
    <row r="134">
      <c r="A134" s="10" t="str">
        <f>IFNA(VLOOKUP(pts_sub!$A134,sub!$B$2:$E1000,4,FALSE),"")</f>
        <v/>
      </c>
      <c r="B134" s="10"/>
      <c r="C134" s="10"/>
      <c r="D134" s="10" t="str">
        <f>IFNA(VLOOKUP(pts_sub!$D134,FIX!$A$2:$D1000,4, FALSE),"")</f>
        <v/>
      </c>
      <c r="E134" s="10"/>
      <c r="F134" s="10"/>
      <c r="G134" s="10"/>
      <c r="H134" s="10"/>
      <c r="I134" s="10"/>
      <c r="J134" s="10"/>
      <c r="K134" s="10"/>
    </row>
    <row r="135">
      <c r="A135" s="10" t="str">
        <f>IFNA(VLOOKUP(pts_sub!$A135,sub!$B$2:$E1000,4,FALSE),"")</f>
        <v/>
      </c>
      <c r="B135" s="10"/>
      <c r="C135" s="10"/>
      <c r="D135" s="10" t="str">
        <f>IFNA(VLOOKUP(pts_sub!$D135,FIX!$A$2:$D1000,4, FALSE),"")</f>
        <v/>
      </c>
      <c r="E135" s="10"/>
      <c r="F135" s="10"/>
      <c r="G135" s="10"/>
      <c r="H135" s="10"/>
      <c r="I135" s="10"/>
      <c r="J135" s="10"/>
      <c r="K135" s="10"/>
    </row>
    <row r="136">
      <c r="A136" s="10" t="str">
        <f>IFNA(VLOOKUP(pts_sub!$A136,sub!$B$2:$E1000,4,FALSE),"")</f>
        <v/>
      </c>
      <c r="B136" s="10"/>
      <c r="C136" s="10"/>
      <c r="D136" s="10" t="str">
        <f>IFNA(VLOOKUP(pts_sub!$D136,FIX!$A$2:$D1000,4, FALSE),"")</f>
        <v/>
      </c>
      <c r="E136" s="10"/>
      <c r="F136" s="10"/>
      <c r="G136" s="10"/>
      <c r="H136" s="10"/>
      <c r="I136" s="10"/>
      <c r="J136" s="10"/>
      <c r="K136" s="10"/>
    </row>
    <row r="137">
      <c r="A137" s="10" t="str">
        <f>IFNA(VLOOKUP(pts_sub!$A137,sub!$B$2:$E1000,4,FALSE),"")</f>
        <v/>
      </c>
      <c r="B137" s="10"/>
      <c r="C137" s="10"/>
      <c r="D137" s="10" t="str">
        <f>IFNA(VLOOKUP(pts_sub!$D137,FIX!$A$2:$D1000,4, FALSE),"")</f>
        <v/>
      </c>
      <c r="E137" s="10"/>
      <c r="F137" s="10"/>
      <c r="G137" s="10"/>
      <c r="H137" s="10"/>
      <c r="I137" s="10"/>
      <c r="J137" s="10"/>
      <c r="K137" s="10"/>
    </row>
    <row r="138">
      <c r="A138" s="10" t="str">
        <f>IFNA(VLOOKUP(pts_sub!$A138,sub!$B$2:$E1000,4,FALSE),"")</f>
        <v/>
      </c>
      <c r="B138" s="10"/>
      <c r="C138" s="10"/>
      <c r="D138" s="10" t="str">
        <f>IFNA(VLOOKUP(pts_sub!$D138,FIX!$A$2:$D1000,4, FALSE),"")</f>
        <v/>
      </c>
      <c r="E138" s="10"/>
      <c r="F138" s="10"/>
      <c r="G138" s="10"/>
      <c r="H138" s="10"/>
      <c r="I138" s="10"/>
      <c r="J138" s="10"/>
      <c r="K138" s="10"/>
    </row>
    <row r="139">
      <c r="A139" s="10" t="str">
        <f>IFNA(VLOOKUP(pts_sub!$A139,sub!$B$2:$E1000,4,FALSE),"")</f>
        <v/>
      </c>
      <c r="B139" s="10"/>
      <c r="C139" s="10"/>
      <c r="D139" s="10" t="str">
        <f>IFNA(VLOOKUP(pts_sub!$D139,FIX!$A$2:$D1000,4, FALSE),"")</f>
        <v/>
      </c>
      <c r="E139" s="10"/>
      <c r="F139" s="10"/>
      <c r="G139" s="10"/>
      <c r="H139" s="10"/>
      <c r="I139" s="10"/>
      <c r="J139" s="10"/>
      <c r="K139" s="10"/>
    </row>
    <row r="140">
      <c r="A140" s="10" t="str">
        <f>IFNA(VLOOKUP(pts_sub!$A140,sub!$B$2:$E1000,4,FALSE),"")</f>
        <v/>
      </c>
      <c r="B140" s="10"/>
      <c r="C140" s="10"/>
      <c r="D140" s="10" t="str">
        <f>IFNA(VLOOKUP(pts_sub!$D140,FIX!$A$2:$D1000,4, FALSE),"")</f>
        <v/>
      </c>
      <c r="E140" s="10"/>
      <c r="F140" s="10"/>
      <c r="G140" s="10"/>
      <c r="H140" s="10"/>
      <c r="I140" s="10"/>
      <c r="J140" s="10"/>
      <c r="K140" s="10"/>
    </row>
    <row r="141">
      <c r="A141" s="10" t="str">
        <f>IFNA(VLOOKUP(pts_sub!$A141,sub!$B$2:$E1000,4,FALSE),"")</f>
        <v/>
      </c>
      <c r="B141" s="10"/>
      <c r="C141" s="10"/>
      <c r="D141" s="10" t="str">
        <f>IFNA(VLOOKUP(pts_sub!$D141,FIX!$A$2:$D1000,4, FALSE),"")</f>
        <v/>
      </c>
      <c r="E141" s="10"/>
      <c r="F141" s="10"/>
      <c r="G141" s="10"/>
      <c r="H141" s="10"/>
      <c r="I141" s="10"/>
      <c r="J141" s="10"/>
      <c r="K141" s="10"/>
    </row>
    <row r="142">
      <c r="A142" s="10" t="str">
        <f>IFNA(VLOOKUP(pts_sub!$A142,sub!$B$2:$E1000,4,FALSE),"")</f>
        <v/>
      </c>
      <c r="B142" s="10"/>
      <c r="C142" s="10"/>
      <c r="D142" s="10" t="str">
        <f>IFNA(VLOOKUP(pts_sub!$D142,FIX!$A$2:$D1000,4, FALSE),"")</f>
        <v/>
      </c>
      <c r="E142" s="10"/>
      <c r="F142" s="10"/>
      <c r="G142" s="10"/>
      <c r="H142" s="10"/>
      <c r="I142" s="10"/>
      <c r="J142" s="10"/>
      <c r="K142" s="10"/>
    </row>
    <row r="143">
      <c r="A143" s="10" t="str">
        <f>IFNA(VLOOKUP(pts_sub!$A143,sub!$B$2:$E1000,4,FALSE),"")</f>
        <v/>
      </c>
      <c r="B143" s="10"/>
      <c r="C143" s="10"/>
      <c r="D143" s="10" t="str">
        <f>IFNA(VLOOKUP(pts_sub!$D143,FIX!$A$2:$D1000,4, FALSE),"")</f>
        <v/>
      </c>
      <c r="E143" s="10"/>
      <c r="F143" s="10"/>
      <c r="G143" s="10"/>
      <c r="H143" s="10"/>
      <c r="I143" s="10"/>
      <c r="J143" s="10"/>
      <c r="K143" s="10"/>
    </row>
    <row r="144">
      <c r="A144" s="10" t="str">
        <f>IFNA(VLOOKUP(pts_sub!$A144,sub!$B$2:$E1000,4,FALSE),"")</f>
        <v/>
      </c>
      <c r="B144" s="10"/>
      <c r="C144" s="10"/>
      <c r="D144" s="10" t="str">
        <f>IFNA(VLOOKUP(pts_sub!$D144,FIX!$A$2:$D1000,4, FALSE),"")</f>
        <v/>
      </c>
      <c r="E144" s="10"/>
      <c r="F144" s="10"/>
      <c r="G144" s="10"/>
      <c r="H144" s="10"/>
      <c r="I144" s="10"/>
      <c r="J144" s="10"/>
      <c r="K144" s="10"/>
    </row>
    <row r="145">
      <c r="A145" s="10" t="str">
        <f>IFNA(VLOOKUP(pts_sub!$A145,sub!$B$2:$E1000,4,FALSE),"")</f>
        <v/>
      </c>
      <c r="B145" s="10"/>
      <c r="C145" s="10"/>
      <c r="D145" s="10" t="str">
        <f>IFNA(VLOOKUP(pts_sub!$D145,FIX!$A$2:$D1000,4, FALSE),"")</f>
        <v/>
      </c>
      <c r="E145" s="10"/>
      <c r="F145" s="10"/>
      <c r="G145" s="10"/>
      <c r="H145" s="10"/>
      <c r="I145" s="10"/>
      <c r="J145" s="10"/>
      <c r="K145" s="10"/>
    </row>
    <row r="146">
      <c r="A146" s="10" t="str">
        <f>IFNA(VLOOKUP(pts_sub!$A146,sub!$B$2:$E1000,4,FALSE),"")</f>
        <v/>
      </c>
      <c r="B146" s="10"/>
      <c r="C146" s="10"/>
      <c r="D146" s="10" t="str">
        <f>IFNA(VLOOKUP(pts_sub!$D146,FIX!$A$2:$D1000,4, FALSE),"")</f>
        <v/>
      </c>
      <c r="E146" s="10"/>
      <c r="F146" s="10"/>
      <c r="G146" s="10"/>
      <c r="H146" s="10"/>
      <c r="I146" s="10"/>
      <c r="J146" s="10"/>
      <c r="K146" s="10"/>
    </row>
    <row r="147">
      <c r="A147" s="10" t="str">
        <f>IFNA(VLOOKUP(pts_sub!$A147,sub!$B$2:$E1000,4,FALSE),"")</f>
        <v/>
      </c>
      <c r="B147" s="10"/>
      <c r="C147" s="10"/>
      <c r="D147" s="10" t="str">
        <f>IFNA(VLOOKUP(pts_sub!$D147,FIX!$A$2:$D1000,4, FALSE),"")</f>
        <v/>
      </c>
      <c r="E147" s="10"/>
      <c r="F147" s="10"/>
      <c r="G147" s="10"/>
      <c r="H147" s="10"/>
      <c r="I147" s="10"/>
      <c r="J147" s="10"/>
      <c r="K147" s="10"/>
    </row>
    <row r="148">
      <c r="A148" s="10" t="str">
        <f>IFNA(VLOOKUP(pts_sub!$A148,sub!$B$2:$E1000,4,FALSE),"")</f>
        <v/>
      </c>
      <c r="B148" s="10"/>
      <c r="C148" s="10"/>
      <c r="D148" s="10" t="str">
        <f>IFNA(VLOOKUP(pts_sub!$D148,FIX!$A$2:$D1000,4, FALSE),"")</f>
        <v/>
      </c>
      <c r="E148" s="10"/>
      <c r="F148" s="10"/>
      <c r="G148" s="10"/>
      <c r="H148" s="10"/>
      <c r="I148" s="10"/>
      <c r="J148" s="10"/>
      <c r="K148" s="10"/>
    </row>
    <row r="149">
      <c r="A149" s="10" t="str">
        <f>IFNA(VLOOKUP(pts_sub!$A149,sub!$B$2:$E1000,4,FALSE),"")</f>
        <v/>
      </c>
      <c r="B149" s="10"/>
      <c r="C149" s="10"/>
      <c r="D149" s="10" t="str">
        <f>IFNA(VLOOKUP(pts_sub!$D149,FIX!$A$2:$D1000,4, FALSE),"")</f>
        <v/>
      </c>
      <c r="E149" s="10"/>
      <c r="F149" s="10"/>
      <c r="G149" s="10"/>
      <c r="H149" s="10"/>
      <c r="I149" s="10"/>
      <c r="J149" s="10"/>
      <c r="K149" s="10"/>
    </row>
    <row r="150">
      <c r="A150" s="10" t="str">
        <f>IFNA(VLOOKUP(pts_sub!$A150,sub!$B$2:$E1000,4,FALSE),"")</f>
        <v/>
      </c>
      <c r="B150" s="10"/>
      <c r="C150" s="10"/>
      <c r="D150" s="10" t="str">
        <f>IFNA(VLOOKUP(pts_sub!$D150,FIX!$A$2:$D1000,4, FALSE),"")</f>
        <v/>
      </c>
      <c r="E150" s="10"/>
      <c r="F150" s="10"/>
      <c r="G150" s="10"/>
      <c r="H150" s="10"/>
      <c r="I150" s="10"/>
      <c r="J150" s="10"/>
      <c r="K150" s="10"/>
    </row>
    <row r="151">
      <c r="A151" s="10" t="str">
        <f>IFNA(VLOOKUP(pts_sub!$A151,sub!$B$2:$E1000,4,FALSE),"")</f>
        <v/>
      </c>
      <c r="B151" s="10"/>
      <c r="C151" s="10"/>
      <c r="D151" s="10" t="str">
        <f>IFNA(VLOOKUP(pts_sub!$D151,FIX!$A$2:$D1000,4, FALSE),"")</f>
        <v/>
      </c>
      <c r="E151" s="10"/>
      <c r="F151" s="10"/>
      <c r="G151" s="10"/>
      <c r="H151" s="10"/>
      <c r="I151" s="10"/>
      <c r="J151" s="10"/>
      <c r="K151" s="10"/>
    </row>
    <row r="152">
      <c r="A152" s="10" t="str">
        <f>IFNA(VLOOKUP(pts_sub!$A152,sub!$B$2:$E1000,4,FALSE),"")</f>
        <v/>
      </c>
      <c r="B152" s="10"/>
      <c r="C152" s="10"/>
      <c r="D152" s="10" t="str">
        <f>IFNA(VLOOKUP(pts_sub!$D152,FIX!$A$2:$D1000,4, FALSE),"")</f>
        <v/>
      </c>
      <c r="E152" s="10"/>
      <c r="F152" s="10"/>
      <c r="G152" s="10"/>
      <c r="H152" s="10"/>
      <c r="I152" s="10"/>
      <c r="J152" s="10"/>
      <c r="K152" s="10"/>
    </row>
    <row r="153">
      <c r="A153" s="10" t="str">
        <f>IFNA(VLOOKUP(pts_sub!$A153,sub!$B$2:$E1000,4,FALSE),"")</f>
        <v/>
      </c>
      <c r="B153" s="10"/>
      <c r="C153" s="10"/>
      <c r="D153" s="10" t="str">
        <f>IFNA(VLOOKUP(pts_sub!$D153,FIX!$A$2:$D1000,4, FALSE),"")</f>
        <v/>
      </c>
      <c r="E153" s="10"/>
      <c r="F153" s="10"/>
      <c r="G153" s="10"/>
      <c r="H153" s="10"/>
      <c r="I153" s="10"/>
      <c r="J153" s="10"/>
      <c r="K153" s="10"/>
    </row>
    <row r="154">
      <c r="A154" s="10" t="str">
        <f>IFNA(VLOOKUP(pts_sub!$A154,sub!$B$2:$E1000,4,FALSE),"")</f>
        <v/>
      </c>
      <c r="B154" s="10"/>
      <c r="C154" s="10"/>
      <c r="D154" s="10" t="str">
        <f>IFNA(VLOOKUP(pts_sub!$D154,FIX!$A$2:$D1000,4, FALSE),"")</f>
        <v/>
      </c>
      <c r="E154" s="10"/>
      <c r="F154" s="10"/>
      <c r="G154" s="10"/>
      <c r="H154" s="10"/>
      <c r="I154" s="10"/>
      <c r="J154" s="10"/>
      <c r="K154" s="10"/>
    </row>
    <row r="155">
      <c r="A155" s="10" t="str">
        <f>IFNA(VLOOKUP(pts_sub!$A155,sub!$B$2:$E1000,4,FALSE),"")</f>
        <v/>
      </c>
      <c r="B155" s="10"/>
      <c r="C155" s="10"/>
      <c r="D155" s="10" t="str">
        <f>IFNA(VLOOKUP(pts_sub!$D155,FIX!$A$2:$D1000,4, FALSE),"")</f>
        <v/>
      </c>
      <c r="E155" s="10"/>
      <c r="F155" s="10"/>
      <c r="G155" s="10"/>
      <c r="H155" s="10"/>
      <c r="I155" s="10"/>
      <c r="J155" s="10"/>
      <c r="K155" s="10"/>
    </row>
    <row r="156">
      <c r="A156" s="10" t="str">
        <f>IFNA(VLOOKUP(pts_sub!$A156,sub!$B$2:$E1000,4,FALSE),"")</f>
        <v/>
      </c>
      <c r="B156" s="10"/>
      <c r="C156" s="10"/>
      <c r="D156" s="10" t="str">
        <f>IFNA(VLOOKUP(pts_sub!$D156,FIX!$A$2:$D1000,4, FALSE),"")</f>
        <v/>
      </c>
      <c r="E156" s="10"/>
      <c r="F156" s="10"/>
      <c r="G156" s="10"/>
      <c r="H156" s="10"/>
      <c r="I156" s="10"/>
      <c r="J156" s="10"/>
      <c r="K156" s="10"/>
    </row>
    <row r="157">
      <c r="A157" s="10" t="str">
        <f>IFNA(VLOOKUP(pts_sub!$A157,sub!$B$2:$E1000,4,FALSE),"")</f>
        <v/>
      </c>
      <c r="B157" s="10"/>
      <c r="C157" s="10"/>
      <c r="D157" s="10" t="str">
        <f>IFNA(VLOOKUP(pts_sub!$D157,FIX!$A$2:$D1000,4, FALSE),"")</f>
        <v/>
      </c>
      <c r="E157" s="10"/>
      <c r="F157" s="10"/>
      <c r="G157" s="10"/>
      <c r="H157" s="10"/>
      <c r="I157" s="10"/>
      <c r="J157" s="10"/>
      <c r="K157" s="10"/>
    </row>
    <row r="158">
      <c r="A158" s="10" t="str">
        <f>IFNA(VLOOKUP(pts_sub!$A158,sub!$B$2:$E1000,4,FALSE),"")</f>
        <v/>
      </c>
      <c r="B158" s="10"/>
      <c r="C158" s="10"/>
      <c r="D158" s="10" t="str">
        <f>IFNA(VLOOKUP(pts_sub!$D158,FIX!$A$2:$D1000,4, FALSE),"")</f>
        <v/>
      </c>
      <c r="E158" s="10"/>
      <c r="F158" s="10"/>
      <c r="G158" s="10"/>
      <c r="H158" s="10"/>
      <c r="I158" s="10"/>
      <c r="J158" s="10"/>
      <c r="K158" s="10"/>
    </row>
    <row r="159">
      <c r="A159" s="10" t="str">
        <f>IFNA(VLOOKUP(pts_sub!$A159,sub!$B$2:$E1000,4,FALSE),"")</f>
        <v/>
      </c>
      <c r="B159" s="10"/>
      <c r="C159" s="10"/>
      <c r="D159" s="10" t="str">
        <f>IFNA(VLOOKUP(pts_sub!$D159,FIX!$A$2:$D1000,4, FALSE),"")</f>
        <v/>
      </c>
      <c r="E159" s="10"/>
      <c r="F159" s="10"/>
      <c r="G159" s="10"/>
      <c r="H159" s="10"/>
      <c r="I159" s="10"/>
      <c r="J159" s="10"/>
      <c r="K159" s="10"/>
    </row>
    <row r="160">
      <c r="A160" s="10" t="str">
        <f>IFNA(VLOOKUP(pts_sub!$A160,sub!$B$2:$E1000,4,FALSE),"")</f>
        <v/>
      </c>
      <c r="B160" s="10"/>
      <c r="C160" s="10"/>
      <c r="D160" s="10" t="str">
        <f>IFNA(VLOOKUP(pts_sub!$D160,FIX!$A$2:$D1000,4, FALSE),"")</f>
        <v/>
      </c>
      <c r="E160" s="10"/>
      <c r="F160" s="10"/>
      <c r="G160" s="10"/>
      <c r="H160" s="10"/>
      <c r="I160" s="10"/>
      <c r="J160" s="10"/>
      <c r="K160" s="10"/>
    </row>
    <row r="161">
      <c r="A161" s="10" t="str">
        <f>IFNA(VLOOKUP(pts_sub!$A161,sub!$B$2:$E1000,4,FALSE),"")</f>
        <v/>
      </c>
      <c r="B161" s="10"/>
      <c r="C161" s="10"/>
      <c r="D161" s="10" t="str">
        <f>IFNA(VLOOKUP(pts_sub!$D161,FIX!$A$2:$D1000,4, FALSE),"")</f>
        <v/>
      </c>
      <c r="E161" s="10"/>
      <c r="F161" s="10"/>
      <c r="G161" s="10"/>
      <c r="H161" s="10"/>
      <c r="I161" s="10"/>
      <c r="J161" s="10"/>
      <c r="K161" s="10"/>
    </row>
    <row r="162">
      <c r="A162" s="10" t="str">
        <f>IFNA(VLOOKUP(pts_sub!$A162,sub!$B$2:$E1000,4,FALSE),"")</f>
        <v/>
      </c>
      <c r="B162" s="10"/>
      <c r="C162" s="10"/>
      <c r="D162" s="10" t="str">
        <f>IFNA(VLOOKUP(pts_sub!$D162,FIX!$A$2:$D1000,4, FALSE),"")</f>
        <v/>
      </c>
      <c r="E162" s="10"/>
      <c r="F162" s="10"/>
      <c r="G162" s="10"/>
      <c r="H162" s="10"/>
      <c r="I162" s="10"/>
      <c r="J162" s="10"/>
      <c r="K162" s="10"/>
    </row>
    <row r="163">
      <c r="A163" s="10" t="str">
        <f>IFNA(VLOOKUP(pts_sub!$A163,sub!$B$2:$E1000,4,FALSE),"")</f>
        <v/>
      </c>
      <c r="B163" s="10"/>
      <c r="C163" s="10"/>
      <c r="D163" s="10" t="str">
        <f>IFNA(VLOOKUP(pts_sub!$D163,FIX!$A$2:$D1000,4, FALSE),"")</f>
        <v/>
      </c>
      <c r="E163" s="10"/>
      <c r="F163" s="10"/>
      <c r="G163" s="10"/>
      <c r="H163" s="10"/>
      <c r="I163" s="10"/>
      <c r="J163" s="10"/>
      <c r="K163" s="10"/>
    </row>
    <row r="164">
      <c r="A164" s="10" t="str">
        <f>IFNA(VLOOKUP(pts_sub!$A164,sub!$B$2:$E1000,4,FALSE),"")</f>
        <v/>
      </c>
      <c r="B164" s="10"/>
      <c r="C164" s="10"/>
      <c r="D164" s="10" t="str">
        <f>IFNA(VLOOKUP(pts_sub!$D164,FIX!$A$2:$D1000,4, FALSE),"")</f>
        <v/>
      </c>
      <c r="E164" s="10"/>
      <c r="F164" s="10"/>
      <c r="G164" s="10"/>
      <c r="H164" s="10"/>
      <c r="I164" s="10"/>
      <c r="J164" s="10"/>
      <c r="K164" s="10"/>
    </row>
    <row r="165">
      <c r="A165" s="10" t="str">
        <f>IFNA(VLOOKUP(pts_sub!$A165,sub!$B$2:$E1000,4,FALSE),"")</f>
        <v/>
      </c>
      <c r="B165" s="10"/>
      <c r="C165" s="10"/>
      <c r="D165" s="10" t="str">
        <f>IFNA(VLOOKUP(pts_sub!$D165,FIX!$A$2:$D1000,4, FALSE),"")</f>
        <v/>
      </c>
      <c r="E165" s="10"/>
      <c r="F165" s="10"/>
      <c r="G165" s="10"/>
      <c r="H165" s="10"/>
      <c r="I165" s="10"/>
      <c r="J165" s="10"/>
      <c r="K165" s="10"/>
    </row>
    <row r="166">
      <c r="A166" s="10" t="str">
        <f>IFNA(VLOOKUP(pts_sub!$A166,sub!$B$2:$E1000,4,FALSE),"")</f>
        <v/>
      </c>
      <c r="B166" s="10"/>
      <c r="C166" s="10"/>
      <c r="D166" s="10" t="str">
        <f>IFNA(VLOOKUP(pts_sub!$D166,FIX!$A$2:$D1000,4, FALSE),"")</f>
        <v/>
      </c>
      <c r="E166" s="10"/>
      <c r="F166" s="10"/>
      <c r="G166" s="10"/>
      <c r="H166" s="10"/>
      <c r="I166" s="10"/>
      <c r="J166" s="10"/>
      <c r="K166" s="10"/>
    </row>
    <row r="167">
      <c r="A167" s="10" t="str">
        <f>IFNA(VLOOKUP(pts_sub!$A167,sub!$B$2:$E1000,4,FALSE),"")</f>
        <v/>
      </c>
      <c r="B167" s="10"/>
      <c r="C167" s="10"/>
      <c r="D167" s="10" t="str">
        <f>IFNA(VLOOKUP(pts_sub!$D167,FIX!$A$2:$D1000,4, FALSE),"")</f>
        <v/>
      </c>
      <c r="E167" s="10"/>
      <c r="F167" s="10"/>
      <c r="G167" s="10"/>
      <c r="H167" s="10"/>
      <c r="I167" s="10"/>
      <c r="J167" s="10"/>
      <c r="K167" s="10"/>
    </row>
    <row r="168">
      <c r="A168" s="10" t="str">
        <f>IFNA(VLOOKUP(pts_sub!$A168,sub!$B$2:$E1000,4,FALSE),"")</f>
        <v/>
      </c>
      <c r="B168" s="10"/>
      <c r="C168" s="10"/>
      <c r="D168" s="10" t="str">
        <f>IFNA(VLOOKUP(pts_sub!$D168,FIX!$A$2:$D1000,4, FALSE),"")</f>
        <v/>
      </c>
      <c r="E168" s="10"/>
      <c r="F168" s="10"/>
      <c r="G168" s="10"/>
      <c r="H168" s="10"/>
      <c r="I168" s="10"/>
      <c r="J168" s="10"/>
      <c r="K168" s="10"/>
    </row>
    <row r="169">
      <c r="A169" s="10" t="str">
        <f>IFNA(VLOOKUP(pts_sub!$A169,sub!$B$2:$E1000,4,FALSE),"")</f>
        <v/>
      </c>
      <c r="B169" s="10"/>
      <c r="C169" s="10"/>
      <c r="D169" s="10" t="str">
        <f>IFNA(VLOOKUP(pts_sub!$D169,FIX!$A$2:$D1000,4, FALSE),"")</f>
        <v/>
      </c>
      <c r="E169" s="10"/>
      <c r="F169" s="10"/>
      <c r="G169" s="10"/>
      <c r="H169" s="10"/>
      <c r="I169" s="10"/>
      <c r="J169" s="10"/>
      <c r="K169" s="10"/>
    </row>
    <row r="170">
      <c r="A170" s="10" t="str">
        <f>IFNA(VLOOKUP(pts_sub!$A170,sub!$B$2:$E1000,4,FALSE),"")</f>
        <v/>
      </c>
      <c r="B170" s="10"/>
      <c r="C170" s="10"/>
      <c r="D170" s="10" t="str">
        <f>IFNA(VLOOKUP(pts_sub!$D170,FIX!$A$2:$D1000,4, FALSE),"")</f>
        <v/>
      </c>
      <c r="E170" s="10"/>
      <c r="F170" s="10"/>
      <c r="G170" s="10"/>
      <c r="H170" s="10"/>
      <c r="I170" s="10"/>
      <c r="J170" s="10"/>
      <c r="K170" s="10"/>
    </row>
    <row r="171">
      <c r="A171" s="10" t="str">
        <f>IFNA(VLOOKUP(pts_sub!$A171,sub!$B$2:$E1000,4,FALSE),"")</f>
        <v/>
      </c>
      <c r="B171" s="10"/>
      <c r="C171" s="10"/>
      <c r="D171" s="10" t="str">
        <f>IFNA(VLOOKUP(pts_sub!$D171,FIX!$A$2:$D1000,4, FALSE),"")</f>
        <v/>
      </c>
      <c r="E171" s="10"/>
      <c r="F171" s="10"/>
      <c r="G171" s="10"/>
      <c r="H171" s="10"/>
      <c r="I171" s="10"/>
      <c r="J171" s="10"/>
      <c r="K171" s="10"/>
    </row>
    <row r="172">
      <c r="A172" s="10" t="str">
        <f>IFNA(VLOOKUP(pts_sub!$A172,sub!$B$2:$E1000,4,FALSE),"")</f>
        <v/>
      </c>
      <c r="B172" s="10"/>
      <c r="C172" s="10"/>
      <c r="D172" s="10" t="str">
        <f>IFNA(VLOOKUP(pts_sub!$D172,FIX!$A$2:$D1000,4, FALSE),"")</f>
        <v/>
      </c>
      <c r="E172" s="10"/>
      <c r="F172" s="10"/>
      <c r="G172" s="10"/>
      <c r="H172" s="10"/>
      <c r="I172" s="10"/>
      <c r="J172" s="10"/>
      <c r="K172" s="10"/>
    </row>
    <row r="173">
      <c r="A173" s="10" t="str">
        <f>IFNA(VLOOKUP(pts_sub!$A173,sub!$B$2:$E1000,4,FALSE),"")</f>
        <v/>
      </c>
      <c r="B173" s="10"/>
      <c r="C173" s="10"/>
      <c r="D173" s="10" t="str">
        <f>IFNA(VLOOKUP(pts_sub!$D173,FIX!$A$2:$D1000,4, FALSE),"")</f>
        <v/>
      </c>
      <c r="E173" s="10"/>
      <c r="F173" s="10"/>
      <c r="G173" s="10"/>
      <c r="H173" s="10"/>
      <c r="I173" s="10"/>
      <c r="J173" s="10"/>
      <c r="K173" s="10"/>
    </row>
    <row r="174">
      <c r="A174" s="10" t="str">
        <f>IFNA(VLOOKUP(pts_sub!$A174,sub!$B$2:$E1000,4,FALSE),"")</f>
        <v/>
      </c>
      <c r="B174" s="10"/>
      <c r="C174" s="10"/>
      <c r="D174" s="10" t="str">
        <f>IFNA(VLOOKUP(pts_sub!$D174,FIX!$A$2:$D1000,4, FALSE),"")</f>
        <v/>
      </c>
      <c r="E174" s="10"/>
      <c r="F174" s="10"/>
      <c r="G174" s="10"/>
      <c r="H174" s="10"/>
      <c r="I174" s="10"/>
      <c r="J174" s="10"/>
      <c r="K174" s="10"/>
    </row>
    <row r="175">
      <c r="A175" s="10" t="str">
        <f>IFNA(VLOOKUP(pts_sub!$A175,sub!$B$2:$E1000,4,FALSE),"")</f>
        <v/>
      </c>
      <c r="B175" s="10"/>
      <c r="C175" s="10"/>
      <c r="D175" s="10" t="str">
        <f>IFNA(VLOOKUP(pts_sub!$D175,FIX!$A$2:$D1000,4, FALSE),"")</f>
        <v/>
      </c>
      <c r="E175" s="10"/>
      <c r="F175" s="10"/>
      <c r="G175" s="10"/>
      <c r="H175" s="10"/>
      <c r="I175" s="10"/>
      <c r="J175" s="10"/>
      <c r="K175" s="10"/>
    </row>
    <row r="176">
      <c r="A176" s="10" t="str">
        <f>IFNA(VLOOKUP(pts_sub!$A176,sub!$B$2:$E1000,4,FALSE),"")</f>
        <v/>
      </c>
      <c r="B176" s="10"/>
      <c r="C176" s="10"/>
      <c r="D176" s="10" t="str">
        <f>IFNA(VLOOKUP(pts_sub!$D176,FIX!$A$2:$D1000,4, FALSE),"")</f>
        <v/>
      </c>
      <c r="E176" s="10"/>
      <c r="F176" s="10"/>
      <c r="G176" s="10"/>
      <c r="H176" s="10"/>
      <c r="I176" s="10"/>
      <c r="J176" s="10"/>
      <c r="K176" s="10"/>
    </row>
    <row r="177">
      <c r="A177" s="10" t="str">
        <f>IFNA(VLOOKUP(pts_sub!$A177,sub!$B$2:$E1000,4,FALSE),"")</f>
        <v/>
      </c>
      <c r="B177" s="10"/>
      <c r="C177" s="10"/>
      <c r="D177" s="10" t="str">
        <f>IFNA(VLOOKUP(pts_sub!$D177,FIX!$A$2:$D1000,4, FALSE),"")</f>
        <v/>
      </c>
      <c r="E177" s="10"/>
      <c r="F177" s="10"/>
      <c r="G177" s="10"/>
      <c r="H177" s="10"/>
      <c r="I177" s="10"/>
      <c r="J177" s="10"/>
      <c r="K177" s="10"/>
    </row>
    <row r="178">
      <c r="A178" s="10" t="str">
        <f>IFNA(VLOOKUP(pts_sub!$A178,sub!$B$2:$E1000,4,FALSE),"")</f>
        <v/>
      </c>
      <c r="B178" s="10"/>
      <c r="C178" s="10"/>
      <c r="D178" s="10" t="str">
        <f>IFNA(VLOOKUP(pts_sub!$D178,FIX!$A$2:$D1000,4, FALSE),"")</f>
        <v/>
      </c>
      <c r="E178" s="10"/>
      <c r="F178" s="10"/>
      <c r="G178" s="10"/>
      <c r="H178" s="10"/>
      <c r="I178" s="10"/>
      <c r="J178" s="10"/>
      <c r="K178" s="10"/>
    </row>
    <row r="179">
      <c r="A179" s="10" t="str">
        <f>IFNA(VLOOKUP(pts_sub!$A179,sub!$B$2:$E1000,4,FALSE),"")</f>
        <v/>
      </c>
      <c r="B179" s="10"/>
      <c r="C179" s="10"/>
      <c r="D179" s="10" t="str">
        <f>IFNA(VLOOKUP(pts_sub!$D179,FIX!$A$2:$D1000,4, FALSE),"")</f>
        <v/>
      </c>
      <c r="E179" s="10"/>
      <c r="F179" s="10"/>
      <c r="G179" s="10"/>
      <c r="H179" s="10"/>
      <c r="I179" s="10"/>
      <c r="J179" s="10"/>
      <c r="K179" s="10"/>
    </row>
    <row r="180">
      <c r="A180" s="10" t="str">
        <f>IFNA(VLOOKUP(pts_sub!$A180,sub!$B$2:$E1000,4,FALSE),"")</f>
        <v/>
      </c>
      <c r="B180" s="10"/>
      <c r="C180" s="10"/>
      <c r="D180" s="10" t="str">
        <f>IFNA(VLOOKUP(pts_sub!$D180,FIX!$A$2:$D1000,4, FALSE),"")</f>
        <v/>
      </c>
      <c r="E180" s="10"/>
      <c r="F180" s="10"/>
      <c r="G180" s="10"/>
      <c r="H180" s="10"/>
      <c r="I180" s="10"/>
      <c r="J180" s="10"/>
      <c r="K180" s="10"/>
    </row>
    <row r="181">
      <c r="A181" s="10" t="str">
        <f>IFNA(VLOOKUP(pts_sub!$A181,sub!$B$2:$E1000,4,FALSE),"")</f>
        <v/>
      </c>
      <c r="B181" s="10"/>
      <c r="C181" s="10"/>
      <c r="D181" s="10" t="str">
        <f>IFNA(VLOOKUP(pts_sub!$D181,FIX!$A$2:$D1000,4, FALSE),"")</f>
        <v/>
      </c>
      <c r="E181" s="10"/>
      <c r="F181" s="10"/>
      <c r="G181" s="10"/>
      <c r="H181" s="10"/>
      <c r="I181" s="10"/>
      <c r="J181" s="10"/>
      <c r="K181" s="10"/>
    </row>
    <row r="182">
      <c r="A182" s="10" t="str">
        <f>IFNA(VLOOKUP(pts_sub!$A182,sub!$B$2:$E1000,4,FALSE),"")</f>
        <v/>
      </c>
      <c r="B182" s="10"/>
      <c r="C182" s="10"/>
      <c r="D182" s="10" t="str">
        <f>IFNA(VLOOKUP(pts_sub!$D182,FIX!$A$2:$D1000,4, FALSE),"")</f>
        <v/>
      </c>
      <c r="E182" s="10"/>
      <c r="F182" s="10"/>
      <c r="G182" s="10"/>
      <c r="H182" s="10"/>
      <c r="I182" s="10"/>
      <c r="J182" s="10"/>
      <c r="K182" s="10"/>
    </row>
    <row r="183">
      <c r="A183" s="10" t="str">
        <f>IFNA(VLOOKUP(pts_sub!$A183,sub!$B$2:$E1000,4,FALSE),"")</f>
        <v/>
      </c>
      <c r="B183" s="10"/>
      <c r="C183" s="10"/>
      <c r="D183" s="10" t="str">
        <f>IFNA(VLOOKUP(pts_sub!$D183,FIX!$A$2:$D1000,4, FALSE),"")</f>
        <v/>
      </c>
      <c r="E183" s="10"/>
      <c r="F183" s="10"/>
      <c r="G183" s="10"/>
      <c r="H183" s="10"/>
      <c r="I183" s="10"/>
      <c r="J183" s="10"/>
      <c r="K183" s="10"/>
    </row>
    <row r="184">
      <c r="A184" s="10" t="str">
        <f>IFNA(VLOOKUP(pts_sub!$A184,sub!$B$2:$E1000,4,FALSE),"")</f>
        <v/>
      </c>
      <c r="B184" s="10"/>
      <c r="C184" s="10"/>
      <c r="D184" s="10" t="str">
        <f>IFNA(VLOOKUP(pts_sub!$D184,FIX!$A$2:$D1000,4, FALSE),"")</f>
        <v/>
      </c>
      <c r="E184" s="10"/>
      <c r="F184" s="10"/>
      <c r="G184" s="10"/>
      <c r="H184" s="10"/>
      <c r="I184" s="10"/>
      <c r="J184" s="10"/>
      <c r="K184" s="10"/>
    </row>
    <row r="185">
      <c r="A185" s="10" t="str">
        <f>IFNA(VLOOKUP(pts_sub!$A185,sub!$B$2:$E1000,4,FALSE),"")</f>
        <v/>
      </c>
      <c r="B185" s="10"/>
      <c r="C185" s="10"/>
      <c r="D185" s="10" t="str">
        <f>IFNA(VLOOKUP(pts_sub!$D185,FIX!$A$2:$D1000,4, FALSE),"")</f>
        <v/>
      </c>
      <c r="E185" s="10"/>
      <c r="F185" s="10"/>
      <c r="G185" s="10"/>
      <c r="H185" s="10"/>
      <c r="I185" s="10"/>
      <c r="J185" s="10"/>
      <c r="K185" s="10"/>
    </row>
    <row r="186">
      <c r="A186" s="10" t="str">
        <f>IFNA(VLOOKUP(pts_sub!$A186,sub!$B$2:$E1000,4,FALSE),"")</f>
        <v/>
      </c>
      <c r="B186" s="10"/>
      <c r="C186" s="10"/>
      <c r="D186" s="10" t="str">
        <f>IFNA(VLOOKUP(pts_sub!$D186,FIX!$A$2:$D1000,4, FALSE),"")</f>
        <v/>
      </c>
      <c r="E186" s="10"/>
      <c r="F186" s="10"/>
      <c r="G186" s="10"/>
      <c r="H186" s="10"/>
      <c r="I186" s="10"/>
      <c r="J186" s="10"/>
      <c r="K186" s="10"/>
    </row>
    <row r="187">
      <c r="A187" s="10" t="str">
        <f>IFNA(VLOOKUP(pts_sub!$A187,sub!$B$2:$E1000,4,FALSE),"")</f>
        <v/>
      </c>
      <c r="B187" s="10"/>
      <c r="C187" s="10"/>
      <c r="D187" s="10" t="str">
        <f>IFNA(VLOOKUP(pts_sub!$D187,FIX!$A$2:$D1000,4, FALSE),"")</f>
        <v/>
      </c>
      <c r="E187" s="10"/>
      <c r="F187" s="10"/>
      <c r="G187" s="10"/>
      <c r="H187" s="10"/>
      <c r="I187" s="10"/>
      <c r="J187" s="10"/>
      <c r="K187" s="10"/>
    </row>
    <row r="188">
      <c r="A188" s="10" t="str">
        <f>IFNA(VLOOKUP(pts_sub!$A188,sub!$B$2:$E1000,4,FALSE),"")</f>
        <v/>
      </c>
      <c r="B188" s="10"/>
      <c r="C188" s="10"/>
      <c r="D188" s="10" t="str">
        <f>IFNA(VLOOKUP(pts_sub!$D188,FIX!$A$2:$D1000,4, FALSE),"")</f>
        <v/>
      </c>
      <c r="E188" s="10"/>
      <c r="F188" s="10"/>
      <c r="G188" s="10"/>
      <c r="H188" s="10"/>
      <c r="I188" s="10"/>
      <c r="J188" s="10"/>
      <c r="K188" s="10"/>
    </row>
    <row r="189">
      <c r="A189" s="10" t="str">
        <f>IFNA(VLOOKUP(pts_sub!$A189,sub!$B$2:$E1000,4,FALSE),"")</f>
        <v/>
      </c>
      <c r="B189" s="10"/>
      <c r="C189" s="10"/>
      <c r="D189" s="10" t="str">
        <f>IFNA(VLOOKUP(pts_sub!$D189,FIX!$A$2:$D1000,4, FALSE),"")</f>
        <v/>
      </c>
      <c r="E189" s="10"/>
      <c r="F189" s="10"/>
      <c r="G189" s="10"/>
      <c r="H189" s="10"/>
      <c r="I189" s="10"/>
      <c r="J189" s="10"/>
      <c r="K189" s="10"/>
    </row>
    <row r="190">
      <c r="A190" s="10" t="str">
        <f>IFNA(VLOOKUP(pts_sub!$A190,sub!$B$2:$E1000,4,FALSE),"")</f>
        <v/>
      </c>
      <c r="B190" s="10"/>
      <c r="C190" s="10"/>
      <c r="D190" s="10" t="str">
        <f>IFNA(VLOOKUP(pts_sub!$D190,FIX!$A$2:$D1000,4, FALSE),"")</f>
        <v/>
      </c>
      <c r="E190" s="10"/>
      <c r="F190" s="10"/>
      <c r="G190" s="10"/>
      <c r="H190" s="10"/>
      <c r="I190" s="10"/>
      <c r="J190" s="10"/>
      <c r="K190" s="10"/>
    </row>
    <row r="191">
      <c r="A191" s="10" t="str">
        <f>IFNA(VLOOKUP(pts_sub!$A191,sub!$B$2:$E1000,4,FALSE),"")</f>
        <v/>
      </c>
      <c r="B191" s="10"/>
      <c r="C191" s="10"/>
      <c r="D191" s="10" t="str">
        <f>IFNA(VLOOKUP(pts_sub!$D191,FIX!$A$2:$D1000,4, FALSE),"")</f>
        <v/>
      </c>
      <c r="E191" s="10"/>
      <c r="F191" s="10"/>
      <c r="G191" s="10"/>
      <c r="H191" s="10"/>
      <c r="I191" s="10"/>
      <c r="J191" s="10"/>
      <c r="K191" s="10"/>
    </row>
    <row r="192">
      <c r="A192" s="10" t="str">
        <f>IFNA(VLOOKUP(pts_sub!$A192,sub!$B$2:$E1000,4,FALSE),"")</f>
        <v/>
      </c>
      <c r="B192" s="10"/>
      <c r="C192" s="10"/>
      <c r="D192" s="10" t="str">
        <f>IFNA(VLOOKUP(pts_sub!$D192,FIX!$A$2:$D1000,4, FALSE),"")</f>
        <v/>
      </c>
      <c r="E192" s="10"/>
      <c r="F192" s="10"/>
      <c r="G192" s="10"/>
      <c r="H192" s="10"/>
      <c r="I192" s="10"/>
      <c r="J192" s="10"/>
      <c r="K192" s="10"/>
    </row>
    <row r="193">
      <c r="A193" s="10" t="str">
        <f>IFNA(VLOOKUP(pts_sub!$A193,sub!$B$2:$E1000,4,FALSE),"")</f>
        <v/>
      </c>
      <c r="B193" s="10"/>
      <c r="C193" s="10"/>
      <c r="D193" s="10" t="str">
        <f>IFNA(VLOOKUP(pts_sub!$D193,FIX!$A$2:$D1000,4, FALSE),"")</f>
        <v/>
      </c>
      <c r="E193" s="10"/>
      <c r="F193" s="10"/>
      <c r="G193" s="10"/>
      <c r="H193" s="10"/>
      <c r="I193" s="10"/>
      <c r="J193" s="10"/>
      <c r="K193" s="10"/>
    </row>
    <row r="194">
      <c r="A194" s="10" t="str">
        <f>IFNA(VLOOKUP(pts_sub!$A194,sub!$B$2:$E1000,4,FALSE),"")</f>
        <v/>
      </c>
      <c r="B194" s="10"/>
      <c r="C194" s="10"/>
      <c r="D194" s="10" t="str">
        <f>IFNA(VLOOKUP(pts_sub!$D194,FIX!$A$2:$D1000,4, FALSE),"")</f>
        <v/>
      </c>
      <c r="E194" s="10"/>
      <c r="F194" s="10"/>
      <c r="G194" s="10"/>
      <c r="H194" s="10"/>
      <c r="I194" s="10"/>
      <c r="J194" s="10"/>
      <c r="K194" s="10"/>
    </row>
    <row r="195">
      <c r="A195" s="10" t="str">
        <f>IFNA(VLOOKUP(pts_sub!$A195,sub!$B$2:$E1000,4,FALSE),"")</f>
        <v/>
      </c>
      <c r="B195" s="10"/>
      <c r="C195" s="10"/>
      <c r="D195" s="10" t="str">
        <f>IFNA(VLOOKUP(pts_sub!$D195,FIX!$A$2:$D1000,4, FALSE),"")</f>
        <v/>
      </c>
      <c r="E195" s="10"/>
      <c r="F195" s="10"/>
      <c r="G195" s="10"/>
      <c r="H195" s="10"/>
      <c r="I195" s="10"/>
      <c r="J195" s="10"/>
      <c r="K195" s="10"/>
    </row>
    <row r="196">
      <c r="A196" s="10" t="str">
        <f>IFNA(VLOOKUP(pts_sub!$A196,sub!$B$2:$E1000,4,FALSE),"")</f>
        <v/>
      </c>
      <c r="B196" s="10"/>
      <c r="C196" s="10"/>
      <c r="D196" s="10" t="str">
        <f>IFNA(VLOOKUP(pts_sub!$D196,FIX!$A$2:$D1000,4, FALSE),"")</f>
        <v/>
      </c>
      <c r="E196" s="10"/>
      <c r="F196" s="10"/>
      <c r="G196" s="10"/>
      <c r="H196" s="10"/>
      <c r="I196" s="10"/>
      <c r="J196" s="10"/>
      <c r="K196" s="10"/>
    </row>
    <row r="197">
      <c r="A197" s="10" t="str">
        <f>IFNA(VLOOKUP(pts_sub!$A197,sub!$B$2:$E1000,4,FALSE),"")</f>
        <v/>
      </c>
      <c r="B197" s="10"/>
      <c r="C197" s="10"/>
      <c r="D197" s="10" t="str">
        <f>IFNA(VLOOKUP(pts_sub!$D197,FIX!$A$2:$D1000,4, FALSE),"")</f>
        <v/>
      </c>
      <c r="E197" s="10"/>
      <c r="F197" s="10"/>
      <c r="G197" s="10"/>
      <c r="H197" s="10"/>
      <c r="I197" s="10"/>
      <c r="J197" s="10"/>
      <c r="K197" s="10"/>
    </row>
    <row r="198">
      <c r="A198" s="10" t="str">
        <f>IFNA(VLOOKUP(pts_sub!$A198,sub!$B$2:$E1000,4,FALSE),"")</f>
        <v/>
      </c>
      <c r="B198" s="10"/>
      <c r="C198" s="10"/>
      <c r="D198" s="10" t="str">
        <f>IFNA(VLOOKUP(pts_sub!$D198,FIX!$A$2:$D1000,4, FALSE),"")</f>
        <v/>
      </c>
      <c r="E198" s="10"/>
      <c r="F198" s="10"/>
      <c r="G198" s="10"/>
      <c r="H198" s="10"/>
      <c r="I198" s="10"/>
      <c r="J198" s="10"/>
      <c r="K198" s="10"/>
    </row>
    <row r="199">
      <c r="A199" s="10" t="str">
        <f>IFNA(VLOOKUP(pts_sub!$A199,sub!$B$2:$E1000,4,FALSE),"")</f>
        <v/>
      </c>
      <c r="B199" s="10"/>
      <c r="C199" s="10"/>
      <c r="D199" s="10" t="str">
        <f>IFNA(VLOOKUP(pts_sub!$D199,FIX!$A$2:$D1000,4, FALSE),"")</f>
        <v/>
      </c>
      <c r="E199" s="10"/>
      <c r="F199" s="10"/>
      <c r="G199" s="10"/>
      <c r="H199" s="10"/>
      <c r="I199" s="10"/>
      <c r="J199" s="10"/>
      <c r="K199" s="10"/>
    </row>
    <row r="200">
      <c r="A200" s="10" t="str">
        <f>IFNA(VLOOKUP(pts_sub!$A200,sub!$B$2:$E1000,4,FALSE),"")</f>
        <v/>
      </c>
      <c r="B200" s="10"/>
      <c r="C200" s="10"/>
      <c r="D200" s="10" t="str">
        <f>IFNA(VLOOKUP(pts_sub!$D200,FIX!$A$2:$D1000,4, FALSE),"")</f>
        <v/>
      </c>
      <c r="E200" s="10"/>
      <c r="F200" s="10"/>
      <c r="G200" s="10"/>
      <c r="H200" s="10"/>
      <c r="I200" s="10"/>
      <c r="J200" s="10"/>
      <c r="K200" s="10"/>
    </row>
    <row r="201">
      <c r="A201" s="10" t="str">
        <f>IFNA(VLOOKUP(pts_sub!$A201,sub!$B$2:$E1000,4,FALSE),"")</f>
        <v/>
      </c>
      <c r="B201" s="10"/>
      <c r="C201" s="10"/>
      <c r="D201" s="10" t="str">
        <f>IFNA(VLOOKUP(pts_sub!$D201,FIX!$A$2:$D1000,4, FALSE),"")</f>
        <v/>
      </c>
      <c r="E201" s="10"/>
      <c r="F201" s="10"/>
      <c r="G201" s="10"/>
      <c r="H201" s="10"/>
      <c r="I201" s="10"/>
      <c r="J201" s="10"/>
      <c r="K201" s="10"/>
    </row>
    <row r="202">
      <c r="A202" s="10" t="str">
        <f>IFNA(VLOOKUP(pts_sub!$A202,sub!$B$2:$E1000,4,FALSE),"")</f>
        <v/>
      </c>
      <c r="B202" s="10"/>
      <c r="C202" s="10"/>
      <c r="D202" s="10" t="str">
        <f>IFNA(VLOOKUP(pts_sub!$D202,FIX!$A$2:$D1000,4, FALSE),"")</f>
        <v/>
      </c>
      <c r="E202" s="10"/>
      <c r="F202" s="10"/>
      <c r="G202" s="10"/>
      <c r="H202" s="10"/>
      <c r="I202" s="10"/>
      <c r="J202" s="10"/>
      <c r="K202" s="10"/>
    </row>
    <row r="203">
      <c r="A203" s="10" t="str">
        <f>IFNA(VLOOKUP(pts_sub!$A203,sub!$B$2:$E1000,4,FALSE),"")</f>
        <v/>
      </c>
      <c r="B203" s="10"/>
      <c r="C203" s="10"/>
      <c r="D203" s="10" t="str">
        <f>IFNA(VLOOKUP(pts_sub!$D203,FIX!$A$2:$D1000,4, FALSE),"")</f>
        <v/>
      </c>
      <c r="E203" s="10"/>
      <c r="F203" s="10"/>
      <c r="G203" s="10"/>
      <c r="H203" s="10"/>
      <c r="I203" s="10"/>
      <c r="J203" s="10"/>
      <c r="K203" s="10"/>
    </row>
    <row r="204">
      <c r="A204" s="10" t="str">
        <f>IFNA(VLOOKUP(pts_sub!$A204,sub!$B$2:$E1000,4,FALSE),"")</f>
        <v/>
      </c>
      <c r="B204" s="10"/>
      <c r="C204" s="10"/>
      <c r="D204" s="10" t="str">
        <f>IFNA(VLOOKUP(pts_sub!$D204,FIX!$A$2:$D1000,4, FALSE),"")</f>
        <v/>
      </c>
      <c r="E204" s="10"/>
      <c r="F204" s="10"/>
      <c r="G204" s="10"/>
      <c r="H204" s="10"/>
      <c r="I204" s="10"/>
      <c r="J204" s="10"/>
      <c r="K204" s="10"/>
    </row>
    <row r="205">
      <c r="A205" s="10" t="str">
        <f>IFNA(VLOOKUP(pts_sub!$A205,sub!$B$2:$E1000,4,FALSE),"")</f>
        <v/>
      </c>
      <c r="B205" s="10"/>
      <c r="C205" s="10"/>
      <c r="D205" s="10" t="str">
        <f>IFNA(VLOOKUP(pts_sub!$D205,FIX!$A$2:$D1000,4, FALSE),"")</f>
        <v/>
      </c>
      <c r="E205" s="10"/>
      <c r="F205" s="10"/>
      <c r="G205" s="10"/>
      <c r="H205" s="10"/>
      <c r="I205" s="10"/>
      <c r="J205" s="10"/>
      <c r="K205" s="10"/>
    </row>
    <row r="206">
      <c r="A206" s="10" t="str">
        <f>IFNA(VLOOKUP(pts_sub!$A206,sub!$B$2:$E1000,4,FALSE),"")</f>
        <v/>
      </c>
      <c r="B206" s="10"/>
      <c r="C206" s="10"/>
      <c r="D206" s="10" t="str">
        <f>IFNA(VLOOKUP(pts_sub!$D206,FIX!$A$2:$D1000,4, FALSE),"")</f>
        <v/>
      </c>
      <c r="E206" s="10"/>
      <c r="F206" s="10"/>
      <c r="G206" s="10"/>
      <c r="H206" s="10"/>
      <c r="I206" s="10"/>
      <c r="J206" s="10"/>
      <c r="K206" s="10"/>
    </row>
    <row r="207">
      <c r="A207" s="10" t="str">
        <f>IFNA(VLOOKUP(pts_sub!$A207,sub!$B$2:$E1000,4,FALSE),"")</f>
        <v/>
      </c>
      <c r="B207" s="10"/>
      <c r="C207" s="10"/>
      <c r="D207" s="10" t="str">
        <f>IFNA(VLOOKUP(pts_sub!$D207,FIX!$A$2:$D1000,4, FALSE),"")</f>
        <v/>
      </c>
      <c r="E207" s="10"/>
      <c r="F207" s="10"/>
      <c r="G207" s="10"/>
      <c r="H207" s="10"/>
      <c r="I207" s="10"/>
      <c r="J207" s="10"/>
      <c r="K207" s="10"/>
    </row>
    <row r="208">
      <c r="A208" s="10" t="str">
        <f>IFNA(VLOOKUP(pts_sub!$A208,sub!$B$2:$E1000,4,FALSE),"")</f>
        <v/>
      </c>
      <c r="B208" s="10"/>
      <c r="C208" s="10"/>
      <c r="D208" s="10" t="str">
        <f>IFNA(VLOOKUP(pts_sub!$D208,FIX!$A$2:$D1000,4, FALSE),"")</f>
        <v/>
      </c>
      <c r="E208" s="10"/>
      <c r="F208" s="10"/>
      <c r="G208" s="10"/>
      <c r="H208" s="10"/>
      <c r="I208" s="10"/>
      <c r="J208" s="10"/>
      <c r="K208" s="10"/>
    </row>
    <row r="209">
      <c r="A209" s="10" t="str">
        <f>IFNA(VLOOKUP(pts_sub!$A209,sub!$B$2:$E1000,4,FALSE),"")</f>
        <v/>
      </c>
      <c r="B209" s="10"/>
      <c r="C209" s="10"/>
      <c r="D209" s="10" t="str">
        <f>IFNA(VLOOKUP(pts_sub!$D209,FIX!$A$2:$D1000,4, FALSE),"")</f>
        <v/>
      </c>
      <c r="E209" s="10"/>
      <c r="F209" s="10"/>
      <c r="G209" s="10"/>
      <c r="H209" s="10"/>
      <c r="I209" s="10"/>
      <c r="J209" s="10"/>
      <c r="K209" s="10"/>
    </row>
    <row r="210">
      <c r="A210" s="10" t="str">
        <f>IFNA(VLOOKUP(pts_sub!$A210,sub!$B$2:$E1000,4,FALSE),"")</f>
        <v/>
      </c>
      <c r="B210" s="10"/>
      <c r="C210" s="10"/>
      <c r="D210" s="10" t="str">
        <f>IFNA(VLOOKUP(pts_sub!$D210,FIX!$A$2:$D1000,4, FALSE),"")</f>
        <v/>
      </c>
      <c r="E210" s="10"/>
      <c r="F210" s="10"/>
      <c r="G210" s="10"/>
      <c r="H210" s="10"/>
      <c r="I210" s="10"/>
      <c r="J210" s="10"/>
      <c r="K210" s="10"/>
    </row>
    <row r="211">
      <c r="A211" s="10" t="str">
        <f>IFNA(VLOOKUP(pts_sub!$A211,sub!$B$2:$E1000,4,FALSE),"")</f>
        <v/>
      </c>
      <c r="B211" s="10"/>
      <c r="C211" s="10"/>
      <c r="D211" s="10" t="str">
        <f>IFNA(VLOOKUP(pts_sub!$D211,FIX!$A$2:$D1000,4, FALSE),"")</f>
        <v/>
      </c>
      <c r="E211" s="10"/>
      <c r="F211" s="10"/>
      <c r="G211" s="10"/>
      <c r="H211" s="10"/>
      <c r="I211" s="10"/>
      <c r="J211" s="10"/>
      <c r="K211" s="10"/>
    </row>
    <row r="212">
      <c r="A212" s="10" t="str">
        <f>IFNA(VLOOKUP(pts_sub!$A212,sub!$B$2:$E1000,4,FALSE),"")</f>
        <v/>
      </c>
      <c r="B212" s="10"/>
      <c r="C212" s="10"/>
      <c r="D212" s="10" t="str">
        <f>IFNA(VLOOKUP(pts_sub!$D212,FIX!$A$2:$D1000,4, FALSE),"")</f>
        <v/>
      </c>
      <c r="E212" s="10"/>
      <c r="F212" s="10"/>
      <c r="G212" s="10"/>
      <c r="H212" s="10"/>
      <c r="I212" s="10"/>
      <c r="J212" s="10"/>
      <c r="K212" s="10"/>
    </row>
    <row r="213">
      <c r="A213" s="10" t="str">
        <f>IFNA(VLOOKUP(pts_sub!$A213,sub!$B$2:$E1000,4,FALSE),"")</f>
        <v/>
      </c>
      <c r="B213" s="10"/>
      <c r="C213" s="10"/>
      <c r="D213" s="10" t="str">
        <f>IFNA(VLOOKUP(pts_sub!$D213,FIX!$A$2:$D1000,4, FALSE),"")</f>
        <v/>
      </c>
      <c r="E213" s="10"/>
      <c r="F213" s="10"/>
      <c r="G213" s="10"/>
      <c r="H213" s="10"/>
      <c r="I213" s="10"/>
      <c r="J213" s="10"/>
      <c r="K213" s="10"/>
    </row>
    <row r="214">
      <c r="A214" s="10" t="str">
        <f>IFNA(VLOOKUP(pts_sub!$A214,sub!$B$2:$E1000,4,FALSE),"")</f>
        <v/>
      </c>
      <c r="B214" s="10"/>
      <c r="C214" s="10"/>
      <c r="D214" s="10" t="str">
        <f>IFNA(VLOOKUP(pts_sub!$D214,FIX!$A$2:$D1000,4, FALSE),"")</f>
        <v/>
      </c>
      <c r="E214" s="10"/>
      <c r="F214" s="10"/>
      <c r="G214" s="10"/>
      <c r="H214" s="10"/>
      <c r="I214" s="10"/>
      <c r="J214" s="10"/>
      <c r="K214" s="10"/>
    </row>
    <row r="215">
      <c r="A215" s="10" t="str">
        <f>IFNA(VLOOKUP(pts_sub!$A215,sub!$B$2:$E1000,4,FALSE),"")</f>
        <v/>
      </c>
      <c r="B215" s="10"/>
      <c r="C215" s="10"/>
      <c r="D215" s="10" t="str">
        <f>IFNA(VLOOKUP(pts_sub!$D215,FIX!$A$2:$D1000,4, FALSE),"")</f>
        <v/>
      </c>
      <c r="E215" s="10"/>
      <c r="F215" s="10"/>
      <c r="G215" s="10"/>
      <c r="H215" s="10"/>
      <c r="I215" s="10"/>
      <c r="J215" s="10"/>
      <c r="K215" s="10"/>
    </row>
    <row r="216">
      <c r="A216" s="10" t="str">
        <f>IFNA(VLOOKUP(pts_sub!$A216,sub!$B$2:$E1000,4,FALSE),"")</f>
        <v/>
      </c>
      <c r="B216" s="10"/>
      <c r="C216" s="10"/>
      <c r="D216" s="10" t="str">
        <f>IFNA(VLOOKUP(pts_sub!$D216,FIX!$A$2:$D1000,4, FALSE),"")</f>
        <v/>
      </c>
      <c r="E216" s="10"/>
      <c r="F216" s="10"/>
      <c r="G216" s="10"/>
      <c r="H216" s="10"/>
      <c r="I216" s="10"/>
      <c r="J216" s="10"/>
      <c r="K216" s="10"/>
    </row>
    <row r="217">
      <c r="A217" s="10" t="str">
        <f>IFNA(VLOOKUP(pts_sub!$A217,sub!$B$2:$E1000,4,FALSE),"")</f>
        <v/>
      </c>
      <c r="B217" s="10"/>
      <c r="C217" s="10"/>
      <c r="D217" s="10" t="str">
        <f>IFNA(VLOOKUP(pts_sub!$D217,FIX!$A$2:$D1000,4, FALSE),"")</f>
        <v/>
      </c>
      <c r="E217" s="10"/>
      <c r="F217" s="10"/>
      <c r="G217" s="10"/>
      <c r="H217" s="10"/>
      <c r="I217" s="10"/>
      <c r="J217" s="10"/>
      <c r="K217" s="10"/>
    </row>
    <row r="218">
      <c r="A218" s="10" t="str">
        <f>IFNA(VLOOKUP(pts_sub!$A218,sub!$B$2:$E1000,4,FALSE),"")</f>
        <v/>
      </c>
      <c r="B218" s="10"/>
      <c r="C218" s="10"/>
      <c r="D218" s="10" t="str">
        <f>IFNA(VLOOKUP(pts_sub!$D218,FIX!$A$2:$D1000,4, FALSE),"")</f>
        <v/>
      </c>
      <c r="E218" s="10"/>
      <c r="F218" s="10"/>
      <c r="G218" s="10"/>
      <c r="H218" s="10"/>
      <c r="I218" s="10"/>
      <c r="J218" s="10"/>
      <c r="K218" s="10"/>
    </row>
    <row r="219">
      <c r="A219" s="10" t="str">
        <f>IFNA(VLOOKUP(pts_sub!$A219,sub!$B$2:$E1000,4,FALSE),"")</f>
        <v/>
      </c>
      <c r="B219" s="10"/>
      <c r="C219" s="10"/>
      <c r="D219" s="10" t="str">
        <f>IFNA(VLOOKUP(pts_sub!$D219,FIX!$A$2:$D1000,4, FALSE),"")</f>
        <v/>
      </c>
      <c r="E219" s="10"/>
      <c r="F219" s="10"/>
      <c r="G219" s="10"/>
      <c r="H219" s="10"/>
      <c r="I219" s="10"/>
      <c r="J219" s="10"/>
      <c r="K219" s="10"/>
    </row>
    <row r="220">
      <c r="A220" s="10" t="str">
        <f>IFNA(VLOOKUP(pts_sub!$A220,sub!$B$2:$E1000,4,FALSE),"")</f>
        <v/>
      </c>
      <c r="B220" s="10"/>
      <c r="C220" s="10"/>
      <c r="D220" s="10" t="str">
        <f>IFNA(VLOOKUP(pts_sub!$D220,FIX!$A$2:$D1000,4, FALSE),"")</f>
        <v/>
      </c>
      <c r="E220" s="10"/>
      <c r="F220" s="10"/>
      <c r="G220" s="10"/>
      <c r="H220" s="10"/>
      <c r="I220" s="10"/>
      <c r="J220" s="10"/>
      <c r="K220" s="10"/>
    </row>
    <row r="221">
      <c r="A221" s="10" t="str">
        <f>IFNA(VLOOKUP(pts_sub!$A221,sub!$B$2:$E1000,4,FALSE),"")</f>
        <v/>
      </c>
      <c r="B221" s="10"/>
      <c r="C221" s="10"/>
      <c r="D221" s="10" t="str">
        <f>IFNA(VLOOKUP(pts_sub!$D221,FIX!$A$2:$D1000,4, FALSE),"")</f>
        <v/>
      </c>
      <c r="E221" s="10"/>
      <c r="F221" s="10"/>
      <c r="G221" s="10"/>
      <c r="H221" s="10"/>
      <c r="I221" s="10"/>
      <c r="J221" s="10"/>
      <c r="K221" s="10"/>
    </row>
    <row r="222">
      <c r="A222" s="10" t="str">
        <f>IFNA(VLOOKUP(pts_sub!$A222,sub!$B$2:$E1000,4,FALSE),"")</f>
        <v/>
      </c>
      <c r="B222" s="10"/>
      <c r="C222" s="10"/>
      <c r="D222" s="10" t="str">
        <f>IFNA(VLOOKUP(pts_sub!$D222,FIX!$A$2:$D1000,4, FALSE),"")</f>
        <v/>
      </c>
      <c r="E222" s="10"/>
      <c r="F222" s="10"/>
      <c r="G222" s="10"/>
      <c r="H222" s="10"/>
      <c r="I222" s="10"/>
      <c r="J222" s="10"/>
      <c r="K222" s="10"/>
    </row>
    <row r="223">
      <c r="A223" s="10" t="str">
        <f>IFNA(VLOOKUP(pts_sub!$A223,sub!$B$2:$E1000,4,FALSE),"")</f>
        <v/>
      </c>
      <c r="B223" s="10"/>
      <c r="C223" s="10"/>
      <c r="D223" s="10" t="str">
        <f>IFNA(VLOOKUP(pts_sub!$D223,FIX!$A$2:$D1000,4, FALSE),"")</f>
        <v/>
      </c>
      <c r="E223" s="10"/>
      <c r="F223" s="10"/>
      <c r="G223" s="10"/>
      <c r="H223" s="10"/>
      <c r="I223" s="10"/>
      <c r="J223" s="10"/>
      <c r="K223" s="10"/>
    </row>
    <row r="224">
      <c r="A224" s="10" t="str">
        <f>IFNA(VLOOKUP(pts_sub!$A224,sub!$B$2:$E1000,4,FALSE),"")</f>
        <v/>
      </c>
      <c r="B224" s="10"/>
      <c r="C224" s="10"/>
      <c r="D224" s="10" t="str">
        <f>IFNA(VLOOKUP(pts_sub!$D224,FIX!$A$2:$D1000,4, FALSE),"")</f>
        <v/>
      </c>
      <c r="E224" s="10"/>
      <c r="F224" s="10"/>
      <c r="G224" s="10"/>
      <c r="H224" s="10"/>
      <c r="I224" s="10"/>
      <c r="J224" s="10"/>
      <c r="K224" s="10"/>
    </row>
    <row r="225">
      <c r="A225" s="10" t="str">
        <f>IFNA(VLOOKUP(pts_sub!$A225,sub!$B$2:$E1000,4,FALSE),"")</f>
        <v/>
      </c>
      <c r="B225" s="10"/>
      <c r="C225" s="10"/>
      <c r="D225" s="10" t="str">
        <f>IFNA(VLOOKUP(pts_sub!$D225,FIX!$A$2:$D1000,4, FALSE),"")</f>
        <v/>
      </c>
      <c r="E225" s="10"/>
      <c r="F225" s="10"/>
      <c r="G225" s="10"/>
      <c r="H225" s="10"/>
      <c r="I225" s="10"/>
      <c r="J225" s="10"/>
      <c r="K225" s="10"/>
    </row>
    <row r="226">
      <c r="A226" s="10" t="str">
        <f>IFNA(VLOOKUP(pts_sub!$A226,sub!$B$2:$E1000,4,FALSE),"")</f>
        <v/>
      </c>
      <c r="B226" s="10"/>
      <c r="C226" s="10"/>
      <c r="D226" s="10" t="str">
        <f>IFNA(VLOOKUP(pts_sub!$D226,FIX!$A$2:$D1000,4, FALSE),"")</f>
        <v/>
      </c>
      <c r="E226" s="10"/>
      <c r="F226" s="10"/>
      <c r="G226" s="10"/>
      <c r="H226" s="10"/>
      <c r="I226" s="10"/>
      <c r="J226" s="10"/>
      <c r="K226" s="10"/>
    </row>
    <row r="227">
      <c r="A227" s="10" t="str">
        <f>IFNA(VLOOKUP(pts_sub!$A227,sub!$B$2:$E1000,4,FALSE),"")</f>
        <v/>
      </c>
      <c r="B227" s="10"/>
      <c r="C227" s="10"/>
      <c r="D227" s="10" t="str">
        <f>IFNA(VLOOKUP(pts_sub!$D227,FIX!$A$2:$D1000,4, FALSE),"")</f>
        <v/>
      </c>
      <c r="E227" s="10"/>
      <c r="F227" s="10"/>
      <c r="G227" s="10"/>
      <c r="H227" s="10"/>
      <c r="I227" s="10"/>
      <c r="J227" s="10"/>
      <c r="K227" s="10"/>
    </row>
    <row r="228">
      <c r="A228" s="10" t="str">
        <f>IFNA(VLOOKUP(pts_sub!$A228,sub!$B$2:$E1000,4,FALSE),"")</f>
        <v/>
      </c>
      <c r="B228" s="10"/>
      <c r="C228" s="10"/>
      <c r="D228" s="10" t="str">
        <f>IFNA(VLOOKUP(pts_sub!$D228,FIX!$A$2:$D1000,4, FALSE),"")</f>
        <v/>
      </c>
      <c r="E228" s="10"/>
      <c r="F228" s="10"/>
      <c r="G228" s="10"/>
      <c r="H228" s="10"/>
      <c r="I228" s="10"/>
      <c r="J228" s="10"/>
      <c r="K228" s="10"/>
    </row>
    <row r="229">
      <c r="A229" s="10" t="str">
        <f>IFNA(VLOOKUP(pts_sub!$A229,sub!$B$2:$E1000,4,FALSE),"")</f>
        <v/>
      </c>
      <c r="B229" s="10"/>
      <c r="C229" s="10"/>
      <c r="D229" s="10" t="str">
        <f>IFNA(VLOOKUP(pts_sub!$D229,FIX!$A$2:$D1000,4, FALSE),"")</f>
        <v/>
      </c>
      <c r="E229" s="10"/>
      <c r="F229" s="10"/>
      <c r="G229" s="10"/>
      <c r="H229" s="10"/>
      <c r="I229" s="10"/>
      <c r="J229" s="10"/>
      <c r="K229" s="10"/>
    </row>
    <row r="230">
      <c r="A230" s="10" t="str">
        <f>IFNA(VLOOKUP(pts_sub!$A230,sub!$B$2:$E1000,4,FALSE),"")</f>
        <v/>
      </c>
      <c r="B230" s="10"/>
      <c r="C230" s="10"/>
      <c r="D230" s="10" t="str">
        <f>IFNA(VLOOKUP(pts_sub!$D230,FIX!$A$2:$D1000,4, FALSE),"")</f>
        <v/>
      </c>
      <c r="E230" s="10"/>
      <c r="F230" s="10"/>
      <c r="G230" s="10"/>
      <c r="H230" s="10"/>
      <c r="I230" s="10"/>
      <c r="J230" s="10"/>
      <c r="K230" s="10"/>
    </row>
    <row r="231">
      <c r="A231" s="10" t="str">
        <f>IFNA(VLOOKUP(pts_sub!$A231,sub!$B$2:$E1000,4,FALSE),"")</f>
        <v/>
      </c>
      <c r="B231" s="10"/>
      <c r="C231" s="10"/>
      <c r="D231" s="10" t="str">
        <f>IFNA(VLOOKUP(pts_sub!$D231,FIX!$A$2:$D1000,4, FALSE),"")</f>
        <v/>
      </c>
      <c r="E231" s="10"/>
      <c r="F231" s="10"/>
      <c r="G231" s="10"/>
      <c r="H231" s="10"/>
      <c r="I231" s="10"/>
      <c r="J231" s="10"/>
      <c r="K231" s="10"/>
    </row>
    <row r="232">
      <c r="A232" s="10" t="str">
        <f>IFNA(VLOOKUP(pts_sub!$A232,sub!$B$2:$E1000,4,FALSE),"")</f>
        <v/>
      </c>
      <c r="B232" s="10"/>
      <c r="C232" s="10"/>
      <c r="D232" s="10" t="str">
        <f>IFNA(VLOOKUP(pts_sub!$D232,FIX!$A$2:$D1000,4, FALSE),"")</f>
        <v/>
      </c>
      <c r="E232" s="10"/>
      <c r="F232" s="10"/>
      <c r="G232" s="10"/>
      <c r="H232" s="10"/>
      <c r="I232" s="10"/>
      <c r="J232" s="10"/>
      <c r="K232" s="10"/>
    </row>
    <row r="233">
      <c r="A233" s="10" t="str">
        <f>IFNA(VLOOKUP(pts_sub!$A233,sub!$B$2:$E1000,4,FALSE),"")</f>
        <v/>
      </c>
      <c r="B233" s="10"/>
      <c r="C233" s="10"/>
      <c r="D233" s="10" t="str">
        <f>IFNA(VLOOKUP(pts_sub!$D233,FIX!$A$2:$D1000,4, FALSE),"")</f>
        <v/>
      </c>
      <c r="E233" s="10"/>
      <c r="F233" s="10"/>
      <c r="G233" s="10"/>
      <c r="H233" s="10"/>
      <c r="I233" s="10"/>
      <c r="J233" s="10"/>
      <c r="K233" s="10"/>
    </row>
    <row r="234">
      <c r="A234" s="10" t="str">
        <f>IFNA(VLOOKUP(pts_sub!$A234,sub!$B$2:$E1000,4,FALSE),"")</f>
        <v/>
      </c>
      <c r="B234" s="10"/>
      <c r="C234" s="10"/>
      <c r="D234" s="10" t="str">
        <f>IFNA(VLOOKUP(pts_sub!$D234,FIX!$A$2:$D1000,4, FALSE),"")</f>
        <v/>
      </c>
      <c r="E234" s="10"/>
      <c r="F234" s="10"/>
      <c r="G234" s="10"/>
      <c r="H234" s="10"/>
      <c r="I234" s="10"/>
      <c r="J234" s="10"/>
      <c r="K234" s="10"/>
    </row>
    <row r="235">
      <c r="A235" s="10" t="str">
        <f>IFNA(VLOOKUP(pts_sub!$A235,sub!$B$2:$E1000,4,FALSE),"")</f>
        <v/>
      </c>
      <c r="B235" s="10"/>
      <c r="C235" s="10"/>
      <c r="D235" s="10" t="str">
        <f>IFNA(VLOOKUP(pts_sub!$D235,FIX!$A$2:$D1000,4, FALSE),"")</f>
        <v/>
      </c>
      <c r="E235" s="10"/>
      <c r="F235" s="10"/>
      <c r="G235" s="10"/>
      <c r="H235" s="10"/>
      <c r="I235" s="10"/>
      <c r="J235" s="10"/>
      <c r="K235" s="10"/>
    </row>
    <row r="236">
      <c r="A236" s="10" t="str">
        <f>IFNA(VLOOKUP(pts_sub!$A236,sub!$B$2:$E1000,4,FALSE),"")</f>
        <v/>
      </c>
      <c r="B236" s="10"/>
      <c r="C236" s="10"/>
      <c r="D236" s="10" t="str">
        <f>IFNA(VLOOKUP(pts_sub!$D236,FIX!$A$2:$D1000,4, FALSE),"")</f>
        <v/>
      </c>
      <c r="E236" s="10"/>
      <c r="F236" s="10"/>
      <c r="G236" s="10"/>
      <c r="H236" s="10"/>
      <c r="I236" s="10"/>
      <c r="J236" s="10"/>
      <c r="K236" s="10"/>
    </row>
    <row r="237">
      <c r="A237" s="10" t="str">
        <f>IFNA(VLOOKUP(pts_sub!$A237,sub!$B$2:$E1000,4,FALSE),"")</f>
        <v/>
      </c>
      <c r="B237" s="10"/>
      <c r="C237" s="10"/>
      <c r="D237" s="10" t="str">
        <f>IFNA(VLOOKUP(pts_sub!$D237,FIX!$A$2:$D1000,4, FALSE),"")</f>
        <v/>
      </c>
      <c r="E237" s="10"/>
      <c r="F237" s="10"/>
      <c r="G237" s="10"/>
      <c r="H237" s="10"/>
      <c r="I237" s="10"/>
      <c r="J237" s="10"/>
      <c r="K237" s="10"/>
    </row>
    <row r="238">
      <c r="A238" s="10" t="str">
        <f>IFNA(VLOOKUP(pts_sub!$A238,sub!$B$2:$E1000,4,FALSE),"")</f>
        <v/>
      </c>
      <c r="B238" s="10"/>
      <c r="C238" s="10"/>
      <c r="D238" s="10" t="str">
        <f>IFNA(VLOOKUP(pts_sub!$D238,FIX!$A$2:$D1000,4, FALSE),"")</f>
        <v/>
      </c>
      <c r="E238" s="10"/>
      <c r="F238" s="10"/>
      <c r="G238" s="10"/>
      <c r="H238" s="10"/>
      <c r="I238" s="10"/>
      <c r="J238" s="10"/>
      <c r="K238" s="10"/>
    </row>
    <row r="239">
      <c r="A239" s="10" t="str">
        <f>IFNA(VLOOKUP(pts_sub!$A239,sub!$B$2:$E1000,4,FALSE),"")</f>
        <v/>
      </c>
      <c r="B239" s="10"/>
      <c r="C239" s="10"/>
      <c r="D239" s="10" t="str">
        <f>IFNA(VLOOKUP(pts_sub!$D239,FIX!$A$2:$D1000,4, FALSE),"")</f>
        <v/>
      </c>
      <c r="E239" s="10"/>
      <c r="F239" s="10"/>
      <c r="G239" s="10"/>
      <c r="H239" s="10"/>
      <c r="I239" s="10"/>
      <c r="J239" s="10"/>
      <c r="K239" s="10"/>
    </row>
    <row r="240">
      <c r="A240" s="10" t="str">
        <f>IFNA(VLOOKUP(pts_sub!$A240,sub!$B$2:$E1000,4,FALSE),"")</f>
        <v/>
      </c>
      <c r="B240" s="10"/>
      <c r="C240" s="10"/>
      <c r="D240" s="10" t="str">
        <f>IFNA(VLOOKUP(pts_sub!$D240,FIX!$A$2:$D1000,4, FALSE),"")</f>
        <v/>
      </c>
      <c r="E240" s="10"/>
      <c r="F240" s="10"/>
      <c r="G240" s="10"/>
      <c r="H240" s="10"/>
      <c r="I240" s="10"/>
      <c r="J240" s="10"/>
      <c r="K240" s="10"/>
    </row>
    <row r="241">
      <c r="A241" s="10" t="str">
        <f>IFNA(VLOOKUP(pts_sub!$A241,sub!$B$2:$E1000,4,FALSE),"")</f>
        <v/>
      </c>
      <c r="B241" s="10"/>
      <c r="C241" s="10"/>
      <c r="D241" s="10" t="str">
        <f>IFNA(VLOOKUP(pts_sub!$D241,FIX!$A$2:$D1000,4, FALSE),"")</f>
        <v/>
      </c>
      <c r="E241" s="10"/>
      <c r="F241" s="10"/>
      <c r="G241" s="10"/>
      <c r="H241" s="10"/>
      <c r="I241" s="10"/>
      <c r="J241" s="10"/>
      <c r="K241" s="10"/>
    </row>
    <row r="242">
      <c r="A242" s="10" t="str">
        <f>IFNA(VLOOKUP(pts_sub!$A242,sub!$B$2:$E1000,4,FALSE),"")</f>
        <v/>
      </c>
      <c r="B242" s="10"/>
      <c r="C242" s="10"/>
      <c r="D242" s="10" t="str">
        <f>IFNA(VLOOKUP(pts_sub!$D242,FIX!$A$2:$D1000,4, FALSE),"")</f>
        <v/>
      </c>
      <c r="E242" s="10"/>
      <c r="F242" s="10"/>
      <c r="G242" s="10"/>
      <c r="H242" s="10"/>
      <c r="I242" s="10"/>
      <c r="J242" s="10"/>
      <c r="K242" s="10"/>
    </row>
    <row r="243">
      <c r="A243" s="10" t="str">
        <f>IFNA(VLOOKUP(pts_sub!$A243,sub!$B$2:$E1000,4,FALSE),"")</f>
        <v/>
      </c>
      <c r="B243" s="10"/>
      <c r="C243" s="10"/>
      <c r="D243" s="10" t="str">
        <f>IFNA(VLOOKUP(pts_sub!$D243,FIX!$A$2:$D1000,4, FALSE),"")</f>
        <v/>
      </c>
      <c r="E243" s="10"/>
      <c r="F243" s="10"/>
      <c r="G243" s="10"/>
      <c r="H243" s="10"/>
      <c r="I243" s="10"/>
      <c r="J243" s="10"/>
      <c r="K243" s="10"/>
    </row>
    <row r="244">
      <c r="A244" s="10" t="str">
        <f>IFNA(VLOOKUP(pts_sub!$A244,sub!$B$2:$E1000,4,FALSE),"")</f>
        <v/>
      </c>
      <c r="B244" s="10"/>
      <c r="C244" s="10"/>
      <c r="D244" s="10" t="str">
        <f>IFNA(VLOOKUP(pts_sub!$D244,FIX!$A$2:$D1000,4, FALSE),"")</f>
        <v/>
      </c>
      <c r="E244" s="10"/>
      <c r="F244" s="10"/>
      <c r="G244" s="10"/>
      <c r="H244" s="10"/>
      <c r="I244" s="10"/>
      <c r="J244" s="10"/>
      <c r="K244" s="10"/>
    </row>
    <row r="245">
      <c r="A245" s="10" t="str">
        <f>IFNA(VLOOKUP(pts_sub!$A245,sub!$B$2:$E1000,4,FALSE),"")</f>
        <v/>
      </c>
      <c r="B245" s="10"/>
      <c r="C245" s="10"/>
      <c r="D245" s="10" t="str">
        <f>IFNA(VLOOKUP(pts_sub!$D245,FIX!$A$2:$D1000,4, FALSE),"")</f>
        <v/>
      </c>
      <c r="E245" s="10"/>
      <c r="F245" s="10"/>
      <c r="G245" s="10"/>
      <c r="H245" s="10"/>
      <c r="I245" s="10"/>
      <c r="J245" s="10"/>
      <c r="K245" s="10"/>
    </row>
    <row r="246">
      <c r="A246" s="10" t="str">
        <f>IFNA(VLOOKUP(pts_sub!$A246,sub!$B$2:$E1000,4,FALSE),"")</f>
        <v/>
      </c>
      <c r="B246" s="10"/>
      <c r="C246" s="10"/>
      <c r="D246" s="10" t="str">
        <f>IFNA(VLOOKUP(pts_sub!$D246,FIX!$A$2:$D1000,4, FALSE),"")</f>
        <v/>
      </c>
      <c r="E246" s="10"/>
      <c r="F246" s="10"/>
      <c r="G246" s="10"/>
      <c r="H246" s="10"/>
      <c r="I246" s="10"/>
      <c r="J246" s="10"/>
      <c r="K246" s="10"/>
    </row>
    <row r="247">
      <c r="A247" s="10" t="str">
        <f>IFNA(VLOOKUP(pts_sub!$A247,sub!$B$2:$E1000,4,FALSE),"")</f>
        <v/>
      </c>
      <c r="B247" s="10"/>
      <c r="C247" s="10"/>
      <c r="D247" s="10" t="str">
        <f>IFNA(VLOOKUP(pts_sub!$D247,FIX!$A$2:$D1000,4, FALSE),"")</f>
        <v/>
      </c>
      <c r="E247" s="10"/>
      <c r="F247" s="10"/>
      <c r="G247" s="10"/>
      <c r="H247" s="10"/>
      <c r="I247" s="10"/>
      <c r="J247" s="10"/>
      <c r="K247" s="10"/>
    </row>
    <row r="248">
      <c r="A248" s="10" t="str">
        <f>IFNA(VLOOKUP(pts_sub!$A248,sub!$B$2:$E1000,4,FALSE),"")</f>
        <v/>
      </c>
      <c r="B248" s="10"/>
      <c r="C248" s="10"/>
      <c r="D248" s="10" t="str">
        <f>IFNA(VLOOKUP(pts_sub!$D248,FIX!$A$2:$D1000,4, FALSE),"")</f>
        <v/>
      </c>
      <c r="E248" s="10"/>
      <c r="F248" s="10"/>
      <c r="G248" s="10"/>
      <c r="H248" s="10"/>
      <c r="I248" s="10"/>
      <c r="J248" s="10"/>
      <c r="K248" s="10"/>
    </row>
    <row r="249">
      <c r="A249" s="10" t="str">
        <f>IFNA(VLOOKUP(pts_sub!$A249,sub!$B$2:$E1000,4,FALSE),"")</f>
        <v/>
      </c>
      <c r="B249" s="10"/>
      <c r="C249" s="10"/>
      <c r="D249" s="10" t="str">
        <f>IFNA(VLOOKUP(pts_sub!$D249,FIX!$A$2:$D1000,4, FALSE),"")</f>
        <v/>
      </c>
      <c r="E249" s="10"/>
      <c r="F249" s="10"/>
      <c r="G249" s="10"/>
      <c r="H249" s="10"/>
      <c r="I249" s="10"/>
      <c r="J249" s="10"/>
      <c r="K249" s="10"/>
    </row>
    <row r="250">
      <c r="A250" s="10" t="str">
        <f>IFNA(VLOOKUP(pts_sub!$A250,sub!$B$2:$E1000,4,FALSE),"")</f>
        <v/>
      </c>
      <c r="B250" s="10"/>
      <c r="C250" s="10"/>
      <c r="D250" s="10" t="str">
        <f>IFNA(VLOOKUP(pts_sub!$D250,FIX!$A$2:$D1000,4, FALSE),"")</f>
        <v/>
      </c>
      <c r="E250" s="10"/>
      <c r="F250" s="10"/>
      <c r="G250" s="10"/>
      <c r="H250" s="10"/>
      <c r="I250" s="10"/>
      <c r="J250" s="10"/>
      <c r="K250" s="10"/>
    </row>
    <row r="251">
      <c r="A251" s="10" t="str">
        <f>IFNA(VLOOKUP(pts_sub!$A251,sub!$B$2:$E1000,4,FALSE),"")</f>
        <v/>
      </c>
      <c r="B251" s="10"/>
      <c r="C251" s="10"/>
      <c r="D251" s="10" t="str">
        <f>IFNA(VLOOKUP(pts_sub!$D251,FIX!$A$2:$D1000,4, FALSE),"")</f>
        <v/>
      </c>
      <c r="E251" s="10"/>
      <c r="F251" s="10"/>
      <c r="G251" s="10"/>
      <c r="H251" s="10"/>
      <c r="I251" s="10"/>
      <c r="J251" s="10"/>
      <c r="K251" s="10"/>
    </row>
    <row r="252">
      <c r="A252" s="10" t="str">
        <f>IFNA(VLOOKUP(pts_sub!$A252,sub!$B$2:$E1000,4,FALSE),"")</f>
        <v/>
      </c>
      <c r="B252" s="10"/>
      <c r="C252" s="10"/>
      <c r="D252" s="10" t="str">
        <f>IFNA(VLOOKUP(pts_sub!$D252,FIX!$A$2:$D1000,4, FALSE),"")</f>
        <v/>
      </c>
      <c r="E252" s="10"/>
      <c r="F252" s="10"/>
      <c r="G252" s="10"/>
      <c r="H252" s="10"/>
      <c r="I252" s="10"/>
      <c r="J252" s="10"/>
      <c r="K252" s="10"/>
    </row>
    <row r="253">
      <c r="A253" s="10" t="str">
        <f>IFNA(VLOOKUP(pts_sub!$A253,sub!$B$2:$E1000,4,FALSE),"")</f>
        <v/>
      </c>
      <c r="B253" s="10"/>
      <c r="C253" s="10"/>
      <c r="D253" s="10" t="str">
        <f>IFNA(VLOOKUP(pts_sub!$D253,FIX!$A$2:$D1000,4, FALSE),"")</f>
        <v/>
      </c>
      <c r="E253" s="10"/>
      <c r="F253" s="10"/>
      <c r="G253" s="10"/>
      <c r="H253" s="10"/>
      <c r="I253" s="10"/>
      <c r="J253" s="10"/>
      <c r="K253" s="10"/>
    </row>
    <row r="254">
      <c r="A254" s="10" t="str">
        <f>IFNA(VLOOKUP(pts_sub!$A254,sub!$B$2:$E1000,4,FALSE),"")</f>
        <v/>
      </c>
      <c r="B254" s="10"/>
      <c r="C254" s="10"/>
      <c r="D254" s="10" t="str">
        <f>IFNA(VLOOKUP(pts_sub!$D254,FIX!$A$2:$D1000,4, FALSE),"")</f>
        <v/>
      </c>
      <c r="E254" s="10"/>
      <c r="F254" s="10"/>
      <c r="G254" s="10"/>
      <c r="H254" s="10"/>
      <c r="I254" s="10"/>
      <c r="J254" s="10"/>
      <c r="K254" s="10"/>
    </row>
    <row r="255">
      <c r="A255" s="10" t="str">
        <f>IFNA(VLOOKUP(pts_sub!$A255,sub!$B$2:$E1000,4,FALSE),"")</f>
        <v/>
      </c>
      <c r="B255" s="10"/>
      <c r="C255" s="10"/>
      <c r="D255" s="10" t="str">
        <f>IFNA(VLOOKUP(pts_sub!$D255,FIX!$A$2:$D1000,4, FALSE),"")</f>
        <v/>
      </c>
      <c r="E255" s="10"/>
      <c r="F255" s="10"/>
      <c r="G255" s="10"/>
      <c r="H255" s="10"/>
      <c r="I255" s="10"/>
      <c r="J255" s="10"/>
      <c r="K255" s="10"/>
    </row>
    <row r="256">
      <c r="A256" s="10" t="str">
        <f>IFNA(VLOOKUP(pts_sub!$A256,sub!$B$2:$E1000,4,FALSE),"")</f>
        <v/>
      </c>
      <c r="B256" s="10"/>
      <c r="C256" s="10"/>
      <c r="D256" s="10" t="str">
        <f>IFNA(VLOOKUP(pts_sub!$D256,FIX!$A$2:$D1000,4, FALSE),"")</f>
        <v/>
      </c>
      <c r="E256" s="10"/>
      <c r="F256" s="10"/>
      <c r="G256" s="10"/>
      <c r="H256" s="10"/>
      <c r="I256" s="10"/>
      <c r="J256" s="10"/>
      <c r="K256" s="10"/>
    </row>
    <row r="257">
      <c r="A257" s="10" t="str">
        <f>IFNA(VLOOKUP(pts_sub!$A257,sub!$B$2:$E1000,4,FALSE),"")</f>
        <v/>
      </c>
      <c r="B257" s="10"/>
      <c r="C257" s="10"/>
      <c r="D257" s="10" t="str">
        <f>IFNA(VLOOKUP(pts_sub!$D257,FIX!$A$2:$D1000,4, FALSE),"")</f>
        <v/>
      </c>
      <c r="E257" s="10"/>
      <c r="F257" s="10"/>
      <c r="G257" s="10"/>
      <c r="H257" s="10"/>
      <c r="I257" s="10"/>
      <c r="J257" s="10"/>
      <c r="K257" s="10"/>
    </row>
    <row r="258">
      <c r="A258" s="10" t="str">
        <f>IFNA(VLOOKUP(pts_sub!$A258,sub!$B$2:$E1000,4,FALSE),"")</f>
        <v/>
      </c>
      <c r="B258" s="10"/>
      <c r="C258" s="10"/>
      <c r="D258" s="10" t="str">
        <f>IFNA(VLOOKUP(pts_sub!$D258,FIX!$A$2:$D1000,4, FALSE),"")</f>
        <v/>
      </c>
      <c r="E258" s="10"/>
      <c r="F258" s="10"/>
      <c r="G258" s="10"/>
      <c r="H258" s="10"/>
      <c r="I258" s="10"/>
      <c r="J258" s="10"/>
      <c r="K258" s="10"/>
    </row>
    <row r="259">
      <c r="A259" s="10" t="str">
        <f>IFNA(VLOOKUP(pts_sub!$A259,sub!$B$2:$E1000,4,FALSE),"")</f>
        <v/>
      </c>
      <c r="B259" s="10"/>
      <c r="C259" s="10"/>
      <c r="D259" s="10" t="str">
        <f>IFNA(VLOOKUP(pts_sub!$D259,FIX!$A$2:$D1000,4, FALSE),"")</f>
        <v/>
      </c>
      <c r="E259" s="10"/>
      <c r="F259" s="10"/>
      <c r="G259" s="10"/>
      <c r="H259" s="10"/>
      <c r="I259" s="10"/>
      <c r="J259" s="10"/>
      <c r="K259" s="10"/>
    </row>
    <row r="260">
      <c r="A260" s="10" t="str">
        <f>IFNA(VLOOKUP(pts_sub!$A260,sub!$B$2:$E1000,4,FALSE),"")</f>
        <v/>
      </c>
      <c r="B260" s="10"/>
      <c r="C260" s="10"/>
      <c r="D260" s="10" t="str">
        <f>IFNA(VLOOKUP(pts_sub!$D260,FIX!$A$2:$D1000,4, FALSE),"")</f>
        <v/>
      </c>
      <c r="E260" s="10"/>
      <c r="F260" s="10"/>
      <c r="G260" s="10"/>
      <c r="H260" s="10"/>
      <c r="I260" s="10"/>
      <c r="J260" s="10"/>
      <c r="K260" s="10"/>
    </row>
    <row r="261">
      <c r="A261" s="10" t="str">
        <f>IFNA(VLOOKUP(pts_sub!$A261,sub!$B$2:$E1000,4,FALSE),"")</f>
        <v/>
      </c>
      <c r="B261" s="10"/>
      <c r="C261" s="10"/>
      <c r="D261" s="10" t="str">
        <f>IFNA(VLOOKUP(pts_sub!$D261,FIX!$A$2:$D1000,4, FALSE),"")</f>
        <v/>
      </c>
      <c r="E261" s="10"/>
      <c r="F261" s="10"/>
      <c r="G261" s="10"/>
      <c r="H261" s="10"/>
      <c r="I261" s="10"/>
      <c r="J261" s="10"/>
      <c r="K261" s="10"/>
    </row>
    <row r="262">
      <c r="A262" s="10" t="str">
        <f>IFNA(VLOOKUP(pts_sub!$A262,sub!$B$2:$E1000,4,FALSE),"")</f>
        <v/>
      </c>
      <c r="B262" s="10"/>
      <c r="C262" s="10"/>
      <c r="D262" s="10" t="str">
        <f>IFNA(VLOOKUP(pts_sub!$D262,FIX!$A$2:$D1000,4, FALSE),"")</f>
        <v/>
      </c>
      <c r="E262" s="10"/>
      <c r="F262" s="10"/>
      <c r="G262" s="10"/>
      <c r="H262" s="10"/>
      <c r="I262" s="10"/>
      <c r="J262" s="10"/>
      <c r="K262" s="10"/>
    </row>
    <row r="263">
      <c r="A263" s="10" t="str">
        <f>IFNA(VLOOKUP(pts_sub!$A263,sub!$B$2:$E1000,4,FALSE),"")</f>
        <v/>
      </c>
      <c r="B263" s="10"/>
      <c r="C263" s="10"/>
      <c r="D263" s="10" t="str">
        <f>IFNA(VLOOKUP(pts_sub!$D263,FIX!$A$2:$D1000,4, FALSE),"")</f>
        <v/>
      </c>
      <c r="E263" s="10"/>
      <c r="F263" s="10"/>
      <c r="G263" s="10"/>
      <c r="H263" s="10"/>
      <c r="I263" s="10"/>
      <c r="J263" s="10"/>
      <c r="K263" s="10"/>
    </row>
    <row r="264">
      <c r="A264" s="10" t="str">
        <f>IFNA(VLOOKUP(pts_sub!$A264,sub!$B$2:$E1000,4,FALSE),"")</f>
        <v/>
      </c>
      <c r="B264" s="10"/>
      <c r="C264" s="10"/>
      <c r="D264" s="10" t="str">
        <f>IFNA(VLOOKUP(pts_sub!$D264,FIX!$A$2:$D1000,4, FALSE),"")</f>
        <v/>
      </c>
      <c r="E264" s="10"/>
      <c r="F264" s="10"/>
      <c r="G264" s="10"/>
      <c r="H264" s="10"/>
      <c r="I264" s="10"/>
      <c r="J264" s="10"/>
      <c r="K264" s="10"/>
    </row>
    <row r="265">
      <c r="A265" s="10" t="str">
        <f>IFNA(VLOOKUP(pts_sub!$A265,sub!$B$2:$E1000,4,FALSE),"")</f>
        <v/>
      </c>
      <c r="B265" s="10"/>
      <c r="C265" s="10"/>
      <c r="D265" s="10" t="str">
        <f>IFNA(VLOOKUP(pts_sub!$D265,FIX!$A$2:$D1000,4, FALSE),"")</f>
        <v/>
      </c>
      <c r="E265" s="10"/>
      <c r="F265" s="10"/>
      <c r="G265" s="10"/>
      <c r="H265" s="10"/>
      <c r="I265" s="10"/>
      <c r="J265" s="10"/>
      <c r="K265" s="10"/>
    </row>
    <row r="266">
      <c r="A266" s="10" t="str">
        <f>IFNA(VLOOKUP(pts_sub!$A266,sub!$B$2:$E1000,4,FALSE),"")</f>
        <v/>
      </c>
      <c r="B266" s="10"/>
      <c r="C266" s="10"/>
      <c r="D266" s="10" t="str">
        <f>IFNA(VLOOKUP(pts_sub!$D266,FIX!$A$2:$D1000,4, FALSE),"")</f>
        <v/>
      </c>
      <c r="E266" s="10"/>
      <c r="F266" s="10"/>
      <c r="G266" s="10"/>
      <c r="H266" s="10"/>
      <c r="I266" s="10"/>
      <c r="J266" s="10"/>
      <c r="K266" s="10"/>
    </row>
    <row r="267">
      <c r="A267" s="10" t="str">
        <f>IFNA(VLOOKUP(pts_sub!$A267,sub!$B$2:$E1000,4,FALSE),"")</f>
        <v/>
      </c>
      <c r="B267" s="10"/>
      <c r="C267" s="10"/>
      <c r="D267" s="10" t="str">
        <f>IFNA(VLOOKUP(pts_sub!$D267,FIX!$A$2:$D1000,4, FALSE),"")</f>
        <v/>
      </c>
      <c r="E267" s="10"/>
      <c r="F267" s="10"/>
      <c r="G267" s="10"/>
      <c r="H267" s="10"/>
      <c r="I267" s="10"/>
      <c r="J267" s="10"/>
      <c r="K267" s="10"/>
    </row>
    <row r="268">
      <c r="A268" s="10" t="str">
        <f>IFNA(VLOOKUP(pts_sub!$A268,sub!$B$2:$E1000,4,FALSE),"")</f>
        <v/>
      </c>
      <c r="B268" s="10"/>
      <c r="C268" s="10"/>
      <c r="D268" s="10" t="str">
        <f>IFNA(VLOOKUP(pts_sub!$D268,FIX!$A$2:$D1000,4, FALSE),"")</f>
        <v/>
      </c>
      <c r="E268" s="10"/>
      <c r="F268" s="10"/>
      <c r="G268" s="10"/>
      <c r="H268" s="10"/>
      <c r="I268" s="10"/>
      <c r="J268" s="10"/>
      <c r="K268" s="10"/>
    </row>
    <row r="269">
      <c r="A269" s="10" t="str">
        <f>IFNA(VLOOKUP(pts_sub!$A269,sub!$B$2:$E1000,4,FALSE),"")</f>
        <v/>
      </c>
      <c r="B269" s="10"/>
      <c r="C269" s="10"/>
      <c r="D269" s="10" t="str">
        <f>IFNA(VLOOKUP(pts_sub!$D269,FIX!$A$2:$D1000,4, FALSE),"")</f>
        <v/>
      </c>
      <c r="E269" s="10"/>
      <c r="F269" s="10"/>
      <c r="G269" s="10"/>
      <c r="H269" s="10"/>
      <c r="I269" s="10"/>
      <c r="J269" s="10"/>
      <c r="K269" s="10"/>
    </row>
    <row r="270">
      <c r="A270" s="10" t="str">
        <f>IFNA(VLOOKUP(pts_sub!$A270,sub!$B$2:$E1000,4,FALSE),"")</f>
        <v/>
      </c>
      <c r="B270" s="10"/>
      <c r="C270" s="10"/>
      <c r="D270" s="10" t="str">
        <f>IFNA(VLOOKUP(pts_sub!$D270,FIX!$A$2:$D1000,4, FALSE),"")</f>
        <v/>
      </c>
      <c r="E270" s="10"/>
      <c r="F270" s="10"/>
      <c r="G270" s="10"/>
      <c r="H270" s="10"/>
      <c r="I270" s="10"/>
      <c r="J270" s="10"/>
      <c r="K270" s="10"/>
    </row>
    <row r="271">
      <c r="A271" s="10" t="str">
        <f>IFNA(VLOOKUP(pts_sub!$A271,sub!$B$2:$E1000,4,FALSE),"")</f>
        <v/>
      </c>
      <c r="B271" s="10"/>
      <c r="C271" s="10"/>
      <c r="D271" s="10" t="str">
        <f>IFNA(VLOOKUP(pts_sub!$D271,FIX!$A$2:$D1000,4, FALSE),"")</f>
        <v/>
      </c>
      <c r="E271" s="10"/>
      <c r="F271" s="10"/>
      <c r="G271" s="10"/>
      <c r="H271" s="10"/>
      <c r="I271" s="10"/>
      <c r="J271" s="10"/>
      <c r="K271" s="10"/>
    </row>
    <row r="272">
      <c r="A272" s="10" t="str">
        <f>IFNA(VLOOKUP(pts_sub!$A272,sub!$B$2:$E1000,4,FALSE),"")</f>
        <v/>
      </c>
      <c r="B272" s="10"/>
      <c r="C272" s="10"/>
      <c r="D272" s="10" t="str">
        <f>IFNA(VLOOKUP(pts_sub!$D272,FIX!$A$2:$D1000,4, FALSE),"")</f>
        <v/>
      </c>
      <c r="E272" s="10"/>
      <c r="F272" s="10"/>
      <c r="G272" s="10"/>
      <c r="H272" s="10"/>
      <c r="I272" s="10"/>
      <c r="J272" s="10"/>
      <c r="K272" s="10"/>
    </row>
    <row r="273">
      <c r="A273" s="10" t="str">
        <f>IFNA(VLOOKUP(pts_sub!$A273,sub!$B$2:$E1000,4,FALSE),"")</f>
        <v/>
      </c>
      <c r="B273" s="10"/>
      <c r="C273" s="10"/>
      <c r="D273" s="10" t="str">
        <f>IFNA(VLOOKUP(pts_sub!$D273,FIX!$A$2:$D1000,4, FALSE),"")</f>
        <v/>
      </c>
      <c r="E273" s="10"/>
      <c r="F273" s="10"/>
      <c r="G273" s="10"/>
      <c r="H273" s="10"/>
      <c r="I273" s="10"/>
      <c r="J273" s="10"/>
      <c r="K273" s="10"/>
    </row>
    <row r="274">
      <c r="A274" s="10" t="str">
        <f>IFNA(VLOOKUP(pts_sub!$A274,sub!$B$2:$E1000,4,FALSE),"")</f>
        <v/>
      </c>
      <c r="B274" s="10"/>
      <c r="C274" s="10"/>
      <c r="D274" s="10" t="str">
        <f>IFNA(VLOOKUP(pts_sub!$D274,FIX!$A$2:$D1000,4, FALSE),"")</f>
        <v/>
      </c>
      <c r="E274" s="10"/>
      <c r="F274" s="10"/>
      <c r="G274" s="10"/>
      <c r="H274" s="10"/>
      <c r="I274" s="10"/>
      <c r="J274" s="10"/>
      <c r="K274" s="10"/>
    </row>
    <row r="275">
      <c r="A275" s="10" t="str">
        <f>IFNA(VLOOKUP(pts_sub!$A275,sub!$B$2:$E1000,4,FALSE),"")</f>
        <v/>
      </c>
      <c r="B275" s="10"/>
      <c r="C275" s="10"/>
      <c r="D275" s="10" t="str">
        <f>IFNA(VLOOKUP(pts_sub!$D275,FIX!$A$2:$D1000,4, FALSE),"")</f>
        <v/>
      </c>
      <c r="E275" s="10"/>
      <c r="F275" s="10"/>
      <c r="G275" s="10"/>
      <c r="H275" s="10"/>
      <c r="I275" s="10"/>
      <c r="J275" s="10"/>
      <c r="K275" s="10"/>
    </row>
    <row r="276">
      <c r="A276" s="10" t="str">
        <f>IFNA(VLOOKUP(pts_sub!$A276,sub!$B$2:$E1000,4,FALSE),"")</f>
        <v/>
      </c>
      <c r="B276" s="10"/>
      <c r="C276" s="10"/>
      <c r="D276" s="10" t="str">
        <f>IFNA(VLOOKUP(pts_sub!$D276,FIX!$A$2:$D1000,4, FALSE),"")</f>
        <v/>
      </c>
      <c r="E276" s="10"/>
      <c r="F276" s="10"/>
      <c r="G276" s="10"/>
      <c r="H276" s="10"/>
      <c r="I276" s="10"/>
      <c r="J276" s="10"/>
      <c r="K276" s="10"/>
    </row>
    <row r="277">
      <c r="A277" s="10" t="str">
        <f>IFNA(VLOOKUP(pts_sub!$A277,sub!$B$2:$E1000,4,FALSE),"")</f>
        <v/>
      </c>
      <c r="B277" s="10"/>
      <c r="C277" s="10"/>
      <c r="D277" s="10" t="str">
        <f>IFNA(VLOOKUP(pts_sub!$D277,FIX!$A$2:$D1000,4, FALSE),"")</f>
        <v/>
      </c>
      <c r="E277" s="10"/>
      <c r="F277" s="10"/>
      <c r="G277" s="10"/>
      <c r="H277" s="10"/>
      <c r="I277" s="10"/>
      <c r="J277" s="10"/>
      <c r="K277" s="10"/>
    </row>
    <row r="278">
      <c r="A278" s="10" t="str">
        <f>IFNA(VLOOKUP(pts_sub!$A278,sub!$B$2:$E1000,4,FALSE),"")</f>
        <v/>
      </c>
      <c r="B278" s="10"/>
      <c r="C278" s="10"/>
      <c r="D278" s="10" t="str">
        <f>IFNA(VLOOKUP(pts_sub!$D278,FIX!$A$2:$D1000,4, FALSE),"")</f>
        <v/>
      </c>
      <c r="E278" s="10"/>
      <c r="F278" s="10"/>
      <c r="G278" s="10"/>
      <c r="H278" s="10"/>
      <c r="I278" s="10"/>
      <c r="J278" s="10"/>
      <c r="K278" s="10"/>
    </row>
    <row r="279">
      <c r="A279" s="10" t="str">
        <f>IFNA(VLOOKUP(pts_sub!$A279,sub!$B$2:$E1000,4,FALSE),"")</f>
        <v/>
      </c>
      <c r="B279" s="10"/>
      <c r="C279" s="10"/>
      <c r="D279" s="10" t="str">
        <f>IFNA(VLOOKUP(pts_sub!$D279,FIX!$A$2:$D1000,4, FALSE),"")</f>
        <v/>
      </c>
      <c r="E279" s="10"/>
      <c r="F279" s="10"/>
      <c r="G279" s="10"/>
      <c r="H279" s="10"/>
      <c r="I279" s="10"/>
      <c r="J279" s="10"/>
      <c r="K279" s="10"/>
    </row>
    <row r="280">
      <c r="A280" s="10" t="str">
        <f>IFNA(VLOOKUP(pts_sub!$A280,sub!$B$2:$E1000,4,FALSE),"")</f>
        <v/>
      </c>
      <c r="B280" s="10"/>
      <c r="C280" s="10"/>
      <c r="D280" s="10" t="str">
        <f>IFNA(VLOOKUP(pts_sub!$D280,FIX!$A$2:$D1000,4, FALSE),"")</f>
        <v/>
      </c>
      <c r="E280" s="10"/>
      <c r="F280" s="10"/>
      <c r="G280" s="10"/>
      <c r="H280" s="10"/>
      <c r="I280" s="10"/>
      <c r="J280" s="10"/>
      <c r="K280" s="10"/>
    </row>
    <row r="281">
      <c r="A281" s="10" t="str">
        <f>IFNA(VLOOKUP(pts_sub!$A281,sub!$B$2:$E1000,4,FALSE),"")</f>
        <v/>
      </c>
      <c r="B281" s="10"/>
      <c r="C281" s="10"/>
      <c r="D281" s="10" t="str">
        <f>IFNA(VLOOKUP(pts_sub!$D281,FIX!$A$2:$D1000,4, FALSE),"")</f>
        <v/>
      </c>
      <c r="E281" s="10"/>
      <c r="F281" s="10"/>
      <c r="G281" s="10"/>
      <c r="H281" s="10"/>
      <c r="I281" s="10"/>
      <c r="J281" s="10"/>
      <c r="K281" s="10"/>
    </row>
    <row r="282">
      <c r="A282" s="10" t="str">
        <f>IFNA(VLOOKUP(pts_sub!$A282,sub!$B$2:$E1000,4,FALSE),"")</f>
        <v/>
      </c>
      <c r="B282" s="10"/>
      <c r="C282" s="10"/>
      <c r="D282" s="10" t="str">
        <f>IFNA(VLOOKUP(pts_sub!$D282,FIX!$A$2:$D1000,4, FALSE),"")</f>
        <v/>
      </c>
      <c r="E282" s="10"/>
      <c r="F282" s="10"/>
      <c r="G282" s="10"/>
      <c r="H282" s="10"/>
      <c r="I282" s="10"/>
      <c r="J282" s="10"/>
      <c r="K282" s="10"/>
    </row>
    <row r="283">
      <c r="A283" s="10" t="str">
        <f>IFNA(VLOOKUP(pts_sub!$A283,sub!$B$2:$E1000,4,FALSE),"")</f>
        <v/>
      </c>
      <c r="B283" s="10"/>
      <c r="C283" s="10"/>
      <c r="D283" s="10" t="str">
        <f>IFNA(VLOOKUP(pts_sub!$D283,FIX!$A$2:$D1000,4, FALSE),"")</f>
        <v/>
      </c>
      <c r="E283" s="10"/>
      <c r="F283" s="10"/>
      <c r="G283" s="10"/>
      <c r="H283" s="10"/>
      <c r="I283" s="10"/>
      <c r="J283" s="10"/>
      <c r="K283" s="10"/>
    </row>
    <row r="284">
      <c r="A284" s="10" t="str">
        <f>IFNA(VLOOKUP(pts_sub!$A284,sub!$B$2:$E1000,4,FALSE),"")</f>
        <v/>
      </c>
      <c r="B284" s="10"/>
      <c r="C284" s="10"/>
      <c r="D284" s="10" t="str">
        <f>IFNA(VLOOKUP(pts_sub!$D284,FIX!$A$2:$D1000,4, FALSE),"")</f>
        <v/>
      </c>
      <c r="E284" s="10"/>
      <c r="F284" s="10"/>
      <c r="G284" s="10"/>
      <c r="H284" s="10"/>
      <c r="I284" s="10"/>
      <c r="J284" s="10"/>
      <c r="K284" s="10"/>
    </row>
    <row r="285">
      <c r="A285" s="10" t="str">
        <f>IFNA(VLOOKUP(pts_sub!$A285,sub!$B$2:$E1000,4,FALSE),"")</f>
        <v/>
      </c>
      <c r="B285" s="10"/>
      <c r="C285" s="10"/>
      <c r="D285" s="10" t="str">
        <f>IFNA(VLOOKUP(pts_sub!$D285,FIX!$A$2:$D1000,4, FALSE),"")</f>
        <v/>
      </c>
      <c r="E285" s="10"/>
      <c r="F285" s="10"/>
      <c r="G285" s="10"/>
      <c r="H285" s="10"/>
      <c r="I285" s="10"/>
      <c r="J285" s="10"/>
      <c r="K285" s="10"/>
    </row>
    <row r="286">
      <c r="A286" s="10" t="str">
        <f>IFNA(VLOOKUP(pts_sub!$A286,sub!$B$2:$E1000,4,FALSE),"")</f>
        <v/>
      </c>
      <c r="B286" s="10"/>
      <c r="C286" s="10"/>
      <c r="D286" s="10" t="str">
        <f>IFNA(VLOOKUP(pts_sub!$D286,FIX!$A$2:$D1000,4, FALSE),"")</f>
        <v/>
      </c>
      <c r="E286" s="10"/>
      <c r="F286" s="10"/>
      <c r="G286" s="10"/>
      <c r="H286" s="10"/>
      <c r="I286" s="10"/>
      <c r="J286" s="10"/>
      <c r="K286" s="10"/>
    </row>
    <row r="287">
      <c r="A287" s="10" t="str">
        <f>IFNA(VLOOKUP(pts_sub!$A287,sub!$B$2:$E1000,4,FALSE),"")</f>
        <v/>
      </c>
      <c r="B287" s="10"/>
      <c r="C287" s="10"/>
      <c r="D287" s="10" t="str">
        <f>IFNA(VLOOKUP(pts_sub!$D287,FIX!$A$2:$D1000,4, FALSE),"")</f>
        <v/>
      </c>
      <c r="E287" s="10"/>
      <c r="F287" s="10"/>
      <c r="G287" s="10"/>
      <c r="H287" s="10"/>
      <c r="I287" s="10"/>
      <c r="J287" s="10"/>
      <c r="K287" s="10"/>
    </row>
    <row r="288">
      <c r="A288" s="10" t="str">
        <f>IFNA(VLOOKUP(pts_sub!$A288,sub!$B$2:$E1000,4,FALSE),"")</f>
        <v/>
      </c>
      <c r="B288" s="10"/>
      <c r="C288" s="10"/>
      <c r="D288" s="10" t="str">
        <f>IFNA(VLOOKUP(pts_sub!$D288,FIX!$A$2:$D1000,4, FALSE),"")</f>
        <v/>
      </c>
      <c r="E288" s="10"/>
      <c r="F288" s="10"/>
      <c r="G288" s="10"/>
      <c r="H288" s="10"/>
      <c r="I288" s="10"/>
      <c r="J288" s="10"/>
      <c r="K288" s="10"/>
    </row>
    <row r="289">
      <c r="A289" s="10" t="str">
        <f>IFNA(VLOOKUP(pts_sub!$A289,sub!$B$2:$E1000,4,FALSE),"")</f>
        <v/>
      </c>
      <c r="B289" s="10"/>
      <c r="C289" s="10"/>
      <c r="D289" s="10" t="str">
        <f>IFNA(VLOOKUP(pts_sub!$D289,FIX!$A$2:$D1000,4, FALSE),"")</f>
        <v/>
      </c>
      <c r="E289" s="10"/>
      <c r="F289" s="10"/>
      <c r="G289" s="10"/>
      <c r="H289" s="10"/>
      <c r="I289" s="10"/>
      <c r="J289" s="10"/>
      <c r="K289" s="10"/>
    </row>
    <row r="290">
      <c r="A290" s="10" t="str">
        <f>IFNA(VLOOKUP(pts_sub!$A290,sub!$B$2:$E1000,4,FALSE),"")</f>
        <v/>
      </c>
      <c r="B290" s="10"/>
      <c r="C290" s="10"/>
      <c r="D290" s="10" t="str">
        <f>IFNA(VLOOKUP(pts_sub!$D290,FIX!$A$2:$D1000,4, FALSE),"")</f>
        <v/>
      </c>
      <c r="E290" s="10"/>
      <c r="F290" s="10"/>
      <c r="G290" s="10"/>
      <c r="H290" s="10"/>
      <c r="I290" s="10"/>
      <c r="J290" s="10"/>
      <c r="K290" s="10"/>
    </row>
    <row r="291">
      <c r="A291" s="10" t="str">
        <f>IFNA(VLOOKUP(pts_sub!$A291,sub!$B$2:$E1000,4,FALSE),"")</f>
        <v/>
      </c>
      <c r="B291" s="10"/>
      <c r="C291" s="10"/>
      <c r="D291" s="10" t="str">
        <f>IFNA(VLOOKUP(pts_sub!$D291,FIX!$A$2:$D1000,4, FALSE),"")</f>
        <v/>
      </c>
      <c r="E291" s="10"/>
      <c r="F291" s="10"/>
      <c r="G291" s="10"/>
      <c r="H291" s="10"/>
      <c r="I291" s="10"/>
      <c r="J291" s="10"/>
      <c r="K291" s="10"/>
    </row>
    <row r="292">
      <c r="A292" s="10" t="str">
        <f>IFNA(VLOOKUP(pts_sub!$A292,sub!$B$2:$E1000,4,FALSE),"")</f>
        <v/>
      </c>
      <c r="B292" s="10"/>
      <c r="C292" s="10"/>
      <c r="D292" s="10" t="str">
        <f>IFNA(VLOOKUP(pts_sub!$D292,FIX!$A$2:$D1000,4, FALSE),"")</f>
        <v/>
      </c>
      <c r="E292" s="10"/>
      <c r="F292" s="10"/>
      <c r="G292" s="10"/>
      <c r="H292" s="10"/>
      <c r="I292" s="10"/>
      <c r="J292" s="10"/>
      <c r="K292" s="10"/>
    </row>
    <row r="293">
      <c r="A293" s="10" t="str">
        <f>IFNA(VLOOKUP(pts_sub!$A293,sub!$B$2:$E1000,4,FALSE),"")</f>
        <v/>
      </c>
      <c r="B293" s="10"/>
      <c r="C293" s="10"/>
      <c r="D293" s="10" t="str">
        <f>IFNA(VLOOKUP(pts_sub!$D293,FIX!$A$2:$D1000,4, FALSE),"")</f>
        <v/>
      </c>
      <c r="E293" s="10"/>
      <c r="F293" s="10"/>
      <c r="G293" s="10"/>
      <c r="H293" s="10"/>
      <c r="I293" s="10"/>
      <c r="J293" s="10"/>
      <c r="K293" s="10"/>
    </row>
    <row r="294">
      <c r="A294" s="10" t="str">
        <f>IFNA(VLOOKUP(pts_sub!$A294,sub!$B$2:$E1000,4,FALSE),"")</f>
        <v/>
      </c>
      <c r="B294" s="10"/>
      <c r="C294" s="10"/>
      <c r="D294" s="10" t="str">
        <f>IFNA(VLOOKUP(pts_sub!$D294,FIX!$A$2:$D1000,4, FALSE),"")</f>
        <v/>
      </c>
      <c r="E294" s="10"/>
      <c r="F294" s="10"/>
      <c r="G294" s="10"/>
      <c r="H294" s="10"/>
      <c r="I294" s="10"/>
      <c r="J294" s="10"/>
      <c r="K294" s="10"/>
    </row>
    <row r="295">
      <c r="A295" s="10" t="str">
        <f>IFNA(VLOOKUP(pts_sub!$A295,sub!$B$2:$E1000,4,FALSE),"")</f>
        <v/>
      </c>
      <c r="B295" s="10"/>
      <c r="C295" s="10"/>
      <c r="D295" s="10" t="str">
        <f>IFNA(VLOOKUP(pts_sub!$D295,FIX!$A$2:$D1000,4, FALSE),"")</f>
        <v/>
      </c>
      <c r="E295" s="10"/>
      <c r="F295" s="10"/>
      <c r="G295" s="10"/>
      <c r="H295" s="10"/>
      <c r="I295" s="10"/>
      <c r="J295" s="10"/>
      <c r="K295" s="10"/>
    </row>
    <row r="296">
      <c r="A296" s="10" t="str">
        <f>IFNA(VLOOKUP(pts_sub!$A296,sub!$B$2:$E1000,4,FALSE),"")</f>
        <v/>
      </c>
      <c r="B296" s="10"/>
      <c r="C296" s="10"/>
      <c r="D296" s="10" t="str">
        <f>IFNA(VLOOKUP(pts_sub!$D296,FIX!$A$2:$D1000,4, FALSE),"")</f>
        <v/>
      </c>
      <c r="E296" s="10"/>
      <c r="F296" s="10"/>
      <c r="G296" s="10"/>
      <c r="H296" s="10"/>
      <c r="I296" s="10"/>
      <c r="J296" s="10"/>
      <c r="K296" s="10"/>
    </row>
    <row r="297">
      <c r="A297" s="10" t="str">
        <f>IFNA(VLOOKUP(pts_sub!$A297,sub!$B$2:$E1000,4,FALSE),"")</f>
        <v/>
      </c>
      <c r="B297" s="10"/>
      <c r="C297" s="10"/>
      <c r="D297" s="10" t="str">
        <f>IFNA(VLOOKUP(pts_sub!$D297,FIX!$A$2:$D1000,4, FALSE),"")</f>
        <v/>
      </c>
      <c r="E297" s="10"/>
      <c r="F297" s="10"/>
      <c r="G297" s="10"/>
      <c r="H297" s="10"/>
      <c r="I297" s="10"/>
      <c r="J297" s="10"/>
      <c r="K297" s="10"/>
    </row>
    <row r="298">
      <c r="A298" s="10" t="str">
        <f>IFNA(VLOOKUP(pts_sub!$A298,sub!$B$2:$E1000,4,FALSE),"")</f>
        <v/>
      </c>
      <c r="B298" s="10"/>
      <c r="C298" s="10"/>
      <c r="D298" s="10" t="str">
        <f>IFNA(VLOOKUP(pts_sub!$D298,FIX!$A$2:$D1000,4, FALSE),"")</f>
        <v/>
      </c>
      <c r="E298" s="10"/>
      <c r="F298" s="10"/>
      <c r="G298" s="10"/>
      <c r="H298" s="10"/>
      <c r="I298" s="10"/>
      <c r="J298" s="10"/>
      <c r="K298" s="10"/>
    </row>
    <row r="299">
      <c r="A299" s="10" t="str">
        <f>IFNA(VLOOKUP(pts_sub!$A299,sub!$B$2:$E1000,4,FALSE),"")</f>
        <v/>
      </c>
      <c r="B299" s="10"/>
      <c r="C299" s="10"/>
      <c r="D299" s="10" t="str">
        <f>IFNA(VLOOKUP(pts_sub!$D299,FIX!$A$2:$D1000,4, FALSE),"")</f>
        <v/>
      </c>
      <c r="E299" s="10"/>
      <c r="F299" s="10"/>
      <c r="G299" s="10"/>
      <c r="H299" s="10"/>
      <c r="I299" s="10"/>
      <c r="J299" s="10"/>
      <c r="K299" s="10"/>
    </row>
    <row r="300">
      <c r="A300" s="10" t="str">
        <f>IFNA(VLOOKUP(pts_sub!$A300,sub!$B$2:$E1000,4,FALSE),"")</f>
        <v/>
      </c>
      <c r="B300" s="10"/>
      <c r="C300" s="10"/>
      <c r="D300" s="10" t="str">
        <f>IFNA(VLOOKUP(pts_sub!$D300,FIX!$A$2:$D1000,4, FALSE),"")</f>
        <v/>
      </c>
      <c r="E300" s="10"/>
      <c r="F300" s="10"/>
      <c r="G300" s="10"/>
      <c r="H300" s="10"/>
      <c r="I300" s="10"/>
      <c r="J300" s="10"/>
      <c r="K300" s="10"/>
    </row>
    <row r="301">
      <c r="A301" s="10" t="str">
        <f>IFNA(VLOOKUP(pts_sub!$A301,sub!$B$2:$E1000,4,FALSE),"")</f>
        <v/>
      </c>
      <c r="B301" s="10"/>
      <c r="C301" s="10"/>
      <c r="D301" s="10" t="str">
        <f>IFNA(VLOOKUP(pts_sub!$D301,FIX!$A$2:$D1000,4, FALSE),"")</f>
        <v/>
      </c>
      <c r="E301" s="10"/>
      <c r="F301" s="10"/>
      <c r="G301" s="10"/>
      <c r="H301" s="10"/>
      <c r="I301" s="10"/>
      <c r="J301" s="10"/>
      <c r="K301" s="10"/>
    </row>
    <row r="302">
      <c r="A302" s="10" t="str">
        <f>IFNA(VLOOKUP(pts_sub!$A302,sub!$B$2:$E1000,4,FALSE),"")</f>
        <v/>
      </c>
      <c r="B302" s="10"/>
      <c r="C302" s="10"/>
      <c r="D302" s="10" t="str">
        <f>IFNA(VLOOKUP(pts_sub!$D302,FIX!$A$2:$D1000,4, FALSE),"")</f>
        <v/>
      </c>
      <c r="E302" s="10"/>
      <c r="F302" s="10"/>
      <c r="G302" s="10"/>
      <c r="H302" s="10"/>
      <c r="I302" s="10"/>
      <c r="J302" s="10"/>
      <c r="K302" s="10"/>
    </row>
    <row r="303">
      <c r="A303" s="10" t="str">
        <f>IFNA(VLOOKUP(pts_sub!$A303,sub!$B$2:$E1000,4,FALSE),"")</f>
        <v/>
      </c>
      <c r="B303" s="10"/>
      <c r="C303" s="10"/>
      <c r="D303" s="10" t="str">
        <f>IFNA(VLOOKUP(pts_sub!$D303,FIX!$A$2:$D1000,4, FALSE),"")</f>
        <v/>
      </c>
      <c r="E303" s="10"/>
      <c r="F303" s="10"/>
      <c r="G303" s="10"/>
      <c r="H303" s="10"/>
      <c r="I303" s="10"/>
      <c r="J303" s="10"/>
      <c r="K303" s="10"/>
    </row>
    <row r="304">
      <c r="A304" s="10" t="str">
        <f>IFNA(VLOOKUP(pts_sub!$A304,sub!$B$2:$E1000,4,FALSE),"")</f>
        <v/>
      </c>
      <c r="B304" s="10"/>
      <c r="C304" s="10"/>
      <c r="D304" s="10" t="str">
        <f>IFNA(VLOOKUP(pts_sub!$D304,FIX!$A$2:$D1000,4, FALSE),"")</f>
        <v/>
      </c>
      <c r="E304" s="10"/>
      <c r="F304" s="10"/>
      <c r="G304" s="10"/>
      <c r="H304" s="10"/>
      <c r="I304" s="10"/>
      <c r="J304" s="10"/>
      <c r="K304" s="10"/>
    </row>
    <row r="305">
      <c r="A305" s="10" t="str">
        <f>IFNA(VLOOKUP(pts_sub!$A305,sub!$B$2:$E1000,4,FALSE),"")</f>
        <v/>
      </c>
      <c r="B305" s="10"/>
      <c r="C305" s="10"/>
      <c r="D305" s="10" t="str">
        <f>IFNA(VLOOKUP(pts_sub!$D305,FIX!$A$2:$D1000,4, FALSE),"")</f>
        <v/>
      </c>
      <c r="E305" s="10"/>
      <c r="F305" s="10"/>
      <c r="G305" s="10"/>
      <c r="H305" s="10"/>
      <c r="I305" s="10"/>
      <c r="J305" s="10"/>
      <c r="K305" s="10"/>
    </row>
    <row r="306">
      <c r="A306" s="10" t="str">
        <f>IFNA(VLOOKUP(pts_sub!$A306,sub!$B$2:$E1000,4,FALSE),"")</f>
        <v/>
      </c>
      <c r="B306" s="10"/>
      <c r="C306" s="10"/>
      <c r="D306" s="10" t="str">
        <f>IFNA(VLOOKUP(pts_sub!$D306,FIX!$A$2:$D1000,4, FALSE),"")</f>
        <v/>
      </c>
      <c r="E306" s="10"/>
      <c r="F306" s="10"/>
      <c r="G306" s="10"/>
      <c r="H306" s="10"/>
      <c r="I306" s="10"/>
      <c r="J306" s="10"/>
      <c r="K306" s="10"/>
    </row>
    <row r="307">
      <c r="A307" s="10" t="str">
        <f>IFNA(VLOOKUP(pts_sub!$A307,sub!$B$2:$E1000,4,FALSE),"")</f>
        <v/>
      </c>
      <c r="B307" s="10"/>
      <c r="C307" s="10"/>
      <c r="D307" s="10" t="str">
        <f>IFNA(VLOOKUP(pts_sub!$D307,FIX!$A$2:$D1000,4, FALSE),"")</f>
        <v/>
      </c>
      <c r="E307" s="10"/>
      <c r="F307" s="10"/>
      <c r="G307" s="10"/>
      <c r="H307" s="10"/>
      <c r="I307" s="10"/>
      <c r="J307" s="10"/>
      <c r="K307" s="10"/>
    </row>
    <row r="308">
      <c r="A308" s="10" t="str">
        <f>IFNA(VLOOKUP(pts_sub!$A308,sub!$B$2:$E1000,4,FALSE),"")</f>
        <v/>
      </c>
      <c r="B308" s="10"/>
      <c r="C308" s="10"/>
      <c r="D308" s="10" t="str">
        <f>IFNA(VLOOKUP(pts_sub!$D308,FIX!$A$2:$D1000,4, FALSE),"")</f>
        <v/>
      </c>
      <c r="E308" s="10"/>
      <c r="F308" s="10"/>
      <c r="G308" s="10"/>
      <c r="H308" s="10"/>
      <c r="I308" s="10"/>
      <c r="J308" s="10"/>
      <c r="K308" s="10"/>
    </row>
    <row r="309">
      <c r="A309" s="10" t="str">
        <f>IFNA(VLOOKUP(pts_sub!$A309,sub!$B$2:$E1000,4,FALSE),"")</f>
        <v/>
      </c>
      <c r="B309" s="10"/>
      <c r="C309" s="10"/>
      <c r="D309" s="10" t="str">
        <f>IFNA(VLOOKUP(pts_sub!$D309,FIX!$A$2:$D1000,4, FALSE),"")</f>
        <v/>
      </c>
      <c r="E309" s="10"/>
      <c r="F309" s="10"/>
      <c r="G309" s="10"/>
      <c r="H309" s="10"/>
      <c r="I309" s="10"/>
      <c r="J309" s="10"/>
      <c r="K309" s="10"/>
    </row>
    <row r="310">
      <c r="A310" s="10" t="str">
        <f>IFNA(VLOOKUP(pts_sub!$A310,sub!$B$2:$E1000,4,FALSE),"")</f>
        <v/>
      </c>
      <c r="B310" s="10"/>
      <c r="C310" s="10"/>
      <c r="D310" s="10" t="str">
        <f>IFNA(VLOOKUP(pts_sub!$D310,FIX!$A$2:$D1000,4, FALSE),"")</f>
        <v/>
      </c>
      <c r="E310" s="10"/>
      <c r="F310" s="10"/>
      <c r="G310" s="10"/>
      <c r="H310" s="10"/>
      <c r="I310" s="10"/>
      <c r="J310" s="10"/>
      <c r="K310" s="10"/>
    </row>
    <row r="311">
      <c r="A311" s="10" t="str">
        <f>IFNA(VLOOKUP(pts_sub!$A311,sub!$B$2:$E1000,4,FALSE),"")</f>
        <v/>
      </c>
      <c r="B311" s="10"/>
      <c r="C311" s="10"/>
      <c r="D311" s="10" t="str">
        <f>IFNA(VLOOKUP(pts_sub!$D311,FIX!$A$2:$D1000,4, FALSE),"")</f>
        <v/>
      </c>
      <c r="E311" s="10"/>
      <c r="F311" s="10"/>
      <c r="G311" s="10"/>
      <c r="H311" s="10"/>
      <c r="I311" s="10"/>
      <c r="J311" s="10"/>
      <c r="K311" s="10"/>
    </row>
    <row r="312">
      <c r="A312" s="10" t="str">
        <f>IFNA(VLOOKUP(pts_sub!$A312,sub!$B$2:$E1000,4,FALSE),"")</f>
        <v/>
      </c>
      <c r="B312" s="10"/>
      <c r="C312" s="10"/>
      <c r="D312" s="10" t="str">
        <f>IFNA(VLOOKUP(pts_sub!$D312,FIX!$A$2:$D1000,4, FALSE),"")</f>
        <v/>
      </c>
      <c r="E312" s="10"/>
      <c r="F312" s="10"/>
      <c r="G312" s="10"/>
      <c r="H312" s="10"/>
      <c r="I312" s="10"/>
      <c r="J312" s="10"/>
      <c r="K312" s="10"/>
    </row>
    <row r="313">
      <c r="A313" s="10" t="str">
        <f>IFNA(VLOOKUP(pts_sub!$A313,sub!$B$2:$E1000,4,FALSE),"")</f>
        <v/>
      </c>
      <c r="B313" s="10"/>
      <c r="C313" s="10"/>
      <c r="D313" s="10" t="str">
        <f>IFNA(VLOOKUP(pts_sub!$D313,FIX!$A$2:$D1000,4, FALSE),"")</f>
        <v/>
      </c>
      <c r="E313" s="10"/>
      <c r="F313" s="10"/>
      <c r="G313" s="10"/>
      <c r="H313" s="10"/>
      <c r="I313" s="10"/>
      <c r="J313" s="10"/>
      <c r="K313" s="10"/>
    </row>
    <row r="314">
      <c r="A314" s="10" t="str">
        <f>IFNA(VLOOKUP(pts_sub!$A314,sub!$B$2:$E1000,4,FALSE),"")</f>
        <v/>
      </c>
      <c r="B314" s="10"/>
      <c r="C314" s="10"/>
      <c r="D314" s="10" t="str">
        <f>IFNA(VLOOKUP(pts_sub!$D314,FIX!$A$2:$D1000,4, FALSE),"")</f>
        <v/>
      </c>
      <c r="E314" s="10"/>
      <c r="F314" s="10"/>
      <c r="G314" s="10"/>
      <c r="H314" s="10"/>
      <c r="I314" s="10"/>
      <c r="J314" s="10"/>
      <c r="K314" s="10"/>
    </row>
    <row r="315">
      <c r="A315" s="10" t="str">
        <f>IFNA(VLOOKUP(pts_sub!$A315,sub!$B$2:$E1000,4,FALSE),"")</f>
        <v/>
      </c>
      <c r="B315" s="10"/>
      <c r="C315" s="10"/>
      <c r="D315" s="10" t="str">
        <f>IFNA(VLOOKUP(pts_sub!$D315,FIX!$A$2:$D1000,4, FALSE),"")</f>
        <v/>
      </c>
      <c r="E315" s="10"/>
      <c r="F315" s="10"/>
      <c r="G315" s="10"/>
      <c r="H315" s="10"/>
      <c r="I315" s="10"/>
      <c r="J315" s="10"/>
      <c r="K315" s="10"/>
    </row>
    <row r="316">
      <c r="A316" s="10" t="str">
        <f>IFNA(VLOOKUP(pts_sub!$A316,sub!$B$2:$E1000,4,FALSE),"")</f>
        <v/>
      </c>
      <c r="B316" s="10"/>
      <c r="C316" s="10"/>
      <c r="D316" s="10" t="str">
        <f>IFNA(VLOOKUP(pts_sub!$D316,FIX!$A$2:$D1000,4, FALSE),"")</f>
        <v/>
      </c>
      <c r="E316" s="10"/>
      <c r="F316" s="10"/>
      <c r="G316" s="10"/>
      <c r="H316" s="10"/>
      <c r="I316" s="10"/>
      <c r="J316" s="10"/>
      <c r="K316" s="10"/>
    </row>
    <row r="317">
      <c r="A317" s="10" t="str">
        <f>IFNA(VLOOKUP(pts_sub!$A317,sub!$B$2:$E1000,4,FALSE),"")</f>
        <v/>
      </c>
      <c r="B317" s="10"/>
      <c r="C317" s="10"/>
      <c r="D317" s="10" t="str">
        <f>IFNA(VLOOKUP(pts_sub!$D317,FIX!$A$2:$D1000,4, FALSE),"")</f>
        <v/>
      </c>
      <c r="E317" s="10"/>
      <c r="F317" s="10"/>
      <c r="G317" s="10"/>
      <c r="H317" s="10"/>
      <c r="I317" s="10"/>
      <c r="J317" s="10"/>
      <c r="K317" s="10"/>
    </row>
    <row r="318">
      <c r="A318" s="10" t="str">
        <f>IFNA(VLOOKUP(pts_sub!$A318,sub!$B$2:$E1000,4,FALSE),"")</f>
        <v/>
      </c>
      <c r="B318" s="10"/>
      <c r="C318" s="10"/>
      <c r="D318" s="10" t="str">
        <f>IFNA(VLOOKUP(pts_sub!$D318,FIX!$A$2:$D1000,4, FALSE),"")</f>
        <v/>
      </c>
      <c r="E318" s="10"/>
      <c r="F318" s="10"/>
      <c r="G318" s="10"/>
      <c r="H318" s="10"/>
      <c r="I318" s="10"/>
      <c r="J318" s="10"/>
      <c r="K318" s="10"/>
    </row>
    <row r="319">
      <c r="A319" s="10" t="str">
        <f>IFNA(VLOOKUP(pts_sub!$A319,sub!$B$2:$E1000,4,FALSE),"")</f>
        <v/>
      </c>
      <c r="B319" s="10"/>
      <c r="C319" s="10"/>
      <c r="D319" s="10" t="str">
        <f>IFNA(VLOOKUP(pts_sub!$D319,FIX!$A$2:$D1000,4, FALSE),"")</f>
        <v/>
      </c>
      <c r="E319" s="10"/>
      <c r="F319" s="10"/>
      <c r="G319" s="10"/>
      <c r="H319" s="10"/>
      <c r="I319" s="10"/>
      <c r="J319" s="10"/>
      <c r="K319" s="10"/>
    </row>
    <row r="320">
      <c r="A320" s="10" t="str">
        <f>IFNA(VLOOKUP(pts_sub!$A320,sub!$B$2:$E1000,4,FALSE),"")</f>
        <v/>
      </c>
      <c r="B320" s="10"/>
      <c r="C320" s="10"/>
      <c r="D320" s="10" t="str">
        <f>IFNA(VLOOKUP(pts_sub!$D320,FIX!$A$2:$D1000,4, FALSE),"")</f>
        <v/>
      </c>
      <c r="E320" s="10"/>
      <c r="F320" s="10"/>
      <c r="G320" s="10"/>
      <c r="H320" s="10"/>
      <c r="I320" s="10"/>
      <c r="J320" s="10"/>
      <c r="K320" s="10"/>
    </row>
    <row r="321">
      <c r="A321" s="10" t="str">
        <f>IFNA(VLOOKUP(pts_sub!$A321,sub!$B$2:$E1000,4,FALSE),"")</f>
        <v/>
      </c>
      <c r="B321" s="10"/>
      <c r="C321" s="10"/>
      <c r="D321" s="10" t="str">
        <f>IFNA(VLOOKUP(pts_sub!$D321,FIX!$A$2:$D1000,4, FALSE),"")</f>
        <v/>
      </c>
      <c r="E321" s="10"/>
      <c r="F321" s="10"/>
      <c r="G321" s="10"/>
      <c r="H321" s="10"/>
      <c r="I321" s="10"/>
      <c r="J321" s="10"/>
      <c r="K321" s="10"/>
    </row>
    <row r="322">
      <c r="A322" s="10" t="str">
        <f>IFNA(VLOOKUP(pts_sub!$A322,sub!$B$2:$E1000,4,FALSE),"")</f>
        <v/>
      </c>
      <c r="B322" s="10"/>
      <c r="C322" s="10"/>
      <c r="D322" s="10" t="str">
        <f>IFNA(VLOOKUP(pts_sub!$D322,FIX!$A$2:$D1000,4, FALSE),"")</f>
        <v/>
      </c>
      <c r="E322" s="10"/>
      <c r="F322" s="10"/>
      <c r="G322" s="10"/>
      <c r="H322" s="10"/>
      <c r="I322" s="10"/>
      <c r="J322" s="10"/>
      <c r="K322" s="10"/>
    </row>
    <row r="323">
      <c r="A323" s="10" t="str">
        <f>IFNA(VLOOKUP(pts_sub!$A323,sub!$B$2:$E1000,4,FALSE),"")</f>
        <v/>
      </c>
      <c r="B323" s="10"/>
      <c r="C323" s="10"/>
      <c r="D323" s="10" t="str">
        <f>IFNA(VLOOKUP(pts_sub!$D323,FIX!$A$2:$D1000,4, FALSE),"")</f>
        <v/>
      </c>
      <c r="E323" s="10"/>
      <c r="F323" s="10"/>
      <c r="G323" s="10"/>
      <c r="H323" s="10"/>
      <c r="I323" s="10"/>
      <c r="J323" s="10"/>
      <c r="K323" s="10"/>
    </row>
    <row r="324">
      <c r="A324" s="10" t="str">
        <f>IFNA(VLOOKUP(pts_sub!$A324,sub!$B$2:$E1000,4,FALSE),"")</f>
        <v/>
      </c>
      <c r="B324" s="10"/>
      <c r="C324" s="10"/>
      <c r="D324" s="10" t="str">
        <f>IFNA(VLOOKUP(pts_sub!$D324,FIX!$A$2:$D1000,4, FALSE),"")</f>
        <v/>
      </c>
      <c r="E324" s="10"/>
      <c r="F324" s="10"/>
      <c r="G324" s="10"/>
      <c r="H324" s="10"/>
      <c r="I324" s="10"/>
      <c r="J324" s="10"/>
      <c r="K324" s="10"/>
    </row>
    <row r="325">
      <c r="A325" s="10" t="str">
        <f>IFNA(VLOOKUP(pts_sub!$A325,sub!$B$2:$E1000,4,FALSE),"")</f>
        <v/>
      </c>
      <c r="B325" s="10"/>
      <c r="C325" s="10"/>
      <c r="D325" s="10" t="str">
        <f>IFNA(VLOOKUP(pts_sub!$D325,FIX!$A$2:$D1000,4, FALSE),"")</f>
        <v/>
      </c>
      <c r="E325" s="10"/>
      <c r="F325" s="10"/>
      <c r="G325" s="10"/>
      <c r="H325" s="10"/>
      <c r="I325" s="10"/>
      <c r="J325" s="10"/>
      <c r="K325" s="10"/>
    </row>
    <row r="326">
      <c r="A326" s="10" t="str">
        <f>IFNA(VLOOKUP(pts_sub!$A326,sub!$B$2:$E1000,4,FALSE),"")</f>
        <v/>
      </c>
      <c r="B326" s="10"/>
      <c r="C326" s="10"/>
      <c r="D326" s="10" t="str">
        <f>IFNA(VLOOKUP(pts_sub!$D326,FIX!$A$2:$D1000,4, FALSE),"")</f>
        <v/>
      </c>
      <c r="E326" s="10"/>
      <c r="F326" s="10"/>
      <c r="G326" s="10"/>
      <c r="H326" s="10"/>
      <c r="I326" s="10"/>
      <c r="J326" s="10"/>
      <c r="K326" s="10"/>
    </row>
    <row r="327">
      <c r="A327" s="10" t="str">
        <f>IFNA(VLOOKUP(pts_sub!$A327,sub!$B$2:$E1000,4,FALSE),"")</f>
        <v/>
      </c>
      <c r="B327" s="10"/>
      <c r="C327" s="10"/>
      <c r="D327" s="10" t="str">
        <f>IFNA(VLOOKUP(pts_sub!$D327,FIX!$A$2:$D1000,4, FALSE),"")</f>
        <v/>
      </c>
      <c r="E327" s="10"/>
      <c r="F327" s="10"/>
      <c r="G327" s="10"/>
      <c r="H327" s="10"/>
      <c r="I327" s="10"/>
      <c r="J327" s="10"/>
      <c r="K327" s="10"/>
    </row>
    <row r="328">
      <c r="A328" s="10" t="str">
        <f>IFNA(VLOOKUP(pts_sub!$A328,sub!$B$2:$E1000,4,FALSE),"")</f>
        <v/>
      </c>
      <c r="B328" s="10"/>
      <c r="C328" s="10"/>
      <c r="D328" s="10" t="str">
        <f>IFNA(VLOOKUP(pts_sub!$D328,FIX!$A$2:$D1000,4, FALSE),"")</f>
        <v/>
      </c>
      <c r="E328" s="10"/>
      <c r="F328" s="10"/>
      <c r="G328" s="10"/>
      <c r="H328" s="10"/>
      <c r="I328" s="10"/>
      <c r="J328" s="10"/>
      <c r="K328" s="10"/>
    </row>
    <row r="329">
      <c r="A329" s="10" t="str">
        <f>IFNA(VLOOKUP(pts_sub!$A329,sub!$B$2:$E1000,4,FALSE),"")</f>
        <v/>
      </c>
      <c r="B329" s="10"/>
      <c r="C329" s="10"/>
      <c r="D329" s="10" t="str">
        <f>IFNA(VLOOKUP(pts_sub!$D329,FIX!$A$2:$D1000,4, FALSE),"")</f>
        <v/>
      </c>
      <c r="E329" s="10"/>
      <c r="F329" s="10"/>
      <c r="G329" s="10"/>
      <c r="H329" s="10"/>
      <c r="I329" s="10"/>
      <c r="J329" s="10"/>
      <c r="K329" s="10"/>
    </row>
    <row r="330">
      <c r="A330" s="10" t="str">
        <f>IFNA(VLOOKUP(pts_sub!$A330,sub!$B$2:$E1000,4,FALSE),"")</f>
        <v/>
      </c>
      <c r="B330" s="10"/>
      <c r="C330" s="10"/>
      <c r="D330" s="10" t="str">
        <f>IFNA(VLOOKUP(pts_sub!$D330,FIX!$A$2:$D1000,4, FALSE),"")</f>
        <v/>
      </c>
      <c r="E330" s="10"/>
      <c r="F330" s="10"/>
      <c r="G330" s="10"/>
      <c r="H330" s="10"/>
      <c r="I330" s="10"/>
      <c r="J330" s="10"/>
      <c r="K330" s="10"/>
    </row>
    <row r="331">
      <c r="A331" s="10" t="str">
        <f>IFNA(VLOOKUP(pts_sub!$A331,sub!$B$2:$E1000,4,FALSE),"")</f>
        <v/>
      </c>
      <c r="B331" s="10"/>
      <c r="C331" s="10"/>
      <c r="D331" s="10" t="str">
        <f>IFNA(VLOOKUP(pts_sub!$D331,FIX!$A$2:$D1000,4, FALSE),"")</f>
        <v/>
      </c>
      <c r="E331" s="10"/>
      <c r="F331" s="10"/>
      <c r="G331" s="10"/>
      <c r="H331" s="10"/>
      <c r="I331" s="10"/>
      <c r="J331" s="10"/>
      <c r="K331" s="10"/>
    </row>
    <row r="332">
      <c r="A332" s="10" t="str">
        <f>IFNA(VLOOKUP(pts_sub!$A332,sub!$B$2:$E1000,4,FALSE),"")</f>
        <v/>
      </c>
      <c r="B332" s="10"/>
      <c r="C332" s="10"/>
      <c r="D332" s="10" t="str">
        <f>IFNA(VLOOKUP(pts_sub!$D332,FIX!$A$2:$D1000,4, FALSE),"")</f>
        <v/>
      </c>
      <c r="E332" s="10"/>
      <c r="F332" s="10"/>
      <c r="G332" s="10"/>
      <c r="H332" s="10"/>
      <c r="I332" s="10"/>
      <c r="J332" s="10"/>
      <c r="K332" s="10"/>
    </row>
    <row r="333">
      <c r="A333" s="10" t="str">
        <f>IFNA(VLOOKUP(pts_sub!$A333,sub!$B$2:$E1000,4,FALSE),"")</f>
        <v/>
      </c>
      <c r="B333" s="10"/>
      <c r="C333" s="10"/>
      <c r="D333" s="10" t="str">
        <f>IFNA(VLOOKUP(pts_sub!$D333,FIX!$A$2:$D1000,4, FALSE),"")</f>
        <v/>
      </c>
      <c r="E333" s="10"/>
      <c r="F333" s="10"/>
      <c r="G333" s="10"/>
      <c r="H333" s="10"/>
      <c r="I333" s="10"/>
      <c r="J333" s="10"/>
      <c r="K333" s="10"/>
    </row>
    <row r="334">
      <c r="A334" s="10" t="str">
        <f>IFNA(VLOOKUP(pts_sub!$A334,sub!$B$2:$E1000,4,FALSE),"")</f>
        <v/>
      </c>
      <c r="B334" s="10"/>
      <c r="C334" s="10"/>
      <c r="D334" s="10" t="str">
        <f>IFNA(VLOOKUP(pts_sub!$D334,FIX!$A$2:$D1000,4, FALSE),"")</f>
        <v/>
      </c>
      <c r="E334" s="10"/>
      <c r="F334" s="10"/>
      <c r="G334" s="10"/>
      <c r="H334" s="10"/>
      <c r="I334" s="10"/>
      <c r="J334" s="10"/>
      <c r="K334" s="10"/>
    </row>
    <row r="335">
      <c r="A335" s="10" t="str">
        <f>IFNA(VLOOKUP(pts_sub!$A335,sub!$B$2:$E1000,4,FALSE),"")</f>
        <v/>
      </c>
      <c r="B335" s="10"/>
      <c r="C335" s="10"/>
      <c r="D335" s="10" t="str">
        <f>IFNA(VLOOKUP(pts_sub!$D335,FIX!$A$2:$D1000,4, FALSE),"")</f>
        <v/>
      </c>
      <c r="E335" s="10"/>
      <c r="F335" s="10"/>
      <c r="G335" s="10"/>
      <c r="H335" s="10"/>
      <c r="I335" s="10"/>
      <c r="J335" s="10"/>
      <c r="K335" s="10"/>
    </row>
    <row r="336">
      <c r="A336" s="10" t="str">
        <f>IFNA(VLOOKUP(pts_sub!$A336,sub!$B$2:$E1000,4,FALSE),"")</f>
        <v/>
      </c>
      <c r="B336" s="10"/>
      <c r="C336" s="10"/>
      <c r="D336" s="10" t="str">
        <f>IFNA(VLOOKUP(pts_sub!$D336,FIX!$A$2:$D1000,4, FALSE),"")</f>
        <v/>
      </c>
      <c r="E336" s="10"/>
      <c r="F336" s="10"/>
      <c r="G336" s="10"/>
      <c r="H336" s="10"/>
      <c r="I336" s="10"/>
      <c r="J336" s="10"/>
      <c r="K336" s="10"/>
    </row>
    <row r="337">
      <c r="A337" s="10" t="str">
        <f>IFNA(VLOOKUP(pts_sub!$A337,sub!$B$2:$E1000,4,FALSE),"")</f>
        <v/>
      </c>
      <c r="B337" s="10"/>
      <c r="C337" s="10"/>
      <c r="D337" s="10" t="str">
        <f>IFNA(VLOOKUP(pts_sub!$D337,FIX!$A$2:$D1000,4, FALSE),"")</f>
        <v/>
      </c>
      <c r="E337" s="10"/>
      <c r="F337" s="10"/>
      <c r="G337" s="10"/>
      <c r="H337" s="10"/>
      <c r="I337" s="10"/>
      <c r="J337" s="10"/>
      <c r="K337" s="10"/>
    </row>
    <row r="338">
      <c r="A338" s="10" t="str">
        <f>IFNA(VLOOKUP(pts_sub!$A338,sub!$B$2:$E1000,4,FALSE),"")</f>
        <v/>
      </c>
      <c r="B338" s="10"/>
      <c r="C338" s="10"/>
      <c r="D338" s="10" t="str">
        <f>IFNA(VLOOKUP(pts_sub!$D338,FIX!$A$2:$D1000,4, FALSE),"")</f>
        <v/>
      </c>
      <c r="E338" s="10"/>
      <c r="F338" s="10"/>
      <c r="G338" s="10"/>
      <c r="H338" s="10"/>
      <c r="I338" s="10"/>
      <c r="J338" s="10"/>
      <c r="K338" s="10"/>
    </row>
    <row r="339">
      <c r="A339" s="10" t="str">
        <f>IFNA(VLOOKUP(pts_sub!$A339,sub!$B$2:$E1000,4,FALSE),"")</f>
        <v/>
      </c>
      <c r="B339" s="10"/>
      <c r="C339" s="10"/>
      <c r="D339" s="10" t="str">
        <f>IFNA(VLOOKUP(pts_sub!$D339,FIX!$A$2:$D1000,4, FALSE),"")</f>
        <v/>
      </c>
      <c r="E339" s="10"/>
      <c r="F339" s="10"/>
      <c r="G339" s="10"/>
      <c r="H339" s="10"/>
      <c r="I339" s="10"/>
      <c r="J339" s="10"/>
      <c r="K339" s="10"/>
    </row>
    <row r="340">
      <c r="A340" s="10" t="str">
        <f>IFNA(VLOOKUP(pts_sub!$A340,sub!$B$2:$E1000,4,FALSE),"")</f>
        <v/>
      </c>
      <c r="B340" s="10"/>
      <c r="C340" s="10"/>
      <c r="D340" s="10" t="str">
        <f>IFNA(VLOOKUP(pts_sub!$D340,FIX!$A$2:$D1000,4, FALSE),"")</f>
        <v/>
      </c>
      <c r="E340" s="10"/>
      <c r="F340" s="10"/>
      <c r="G340" s="10"/>
      <c r="H340" s="10"/>
      <c r="I340" s="10"/>
      <c r="J340" s="10"/>
      <c r="K340" s="10"/>
    </row>
    <row r="341">
      <c r="A341" s="10" t="str">
        <f>IFNA(VLOOKUP(pts_sub!$A341,sub!$B$2:$E1000,4,FALSE),"")</f>
        <v/>
      </c>
      <c r="B341" s="10"/>
      <c r="C341" s="10"/>
      <c r="D341" s="10" t="str">
        <f>IFNA(VLOOKUP(pts_sub!$D341,FIX!$A$2:$D1000,4, FALSE),"")</f>
        <v/>
      </c>
      <c r="E341" s="10"/>
      <c r="F341" s="10"/>
      <c r="G341" s="10"/>
      <c r="H341" s="10"/>
      <c r="I341" s="10"/>
      <c r="J341" s="10"/>
      <c r="K341" s="10"/>
    </row>
    <row r="342">
      <c r="A342" s="10" t="str">
        <f>IFNA(VLOOKUP(pts_sub!$A342,sub!$B$2:$E1000,4,FALSE),"")</f>
        <v/>
      </c>
      <c r="B342" s="10"/>
      <c r="C342" s="10"/>
      <c r="D342" s="10" t="str">
        <f>IFNA(VLOOKUP(pts_sub!$D342,FIX!$A$2:$D1000,4, FALSE),"")</f>
        <v/>
      </c>
      <c r="E342" s="10"/>
      <c r="F342" s="10"/>
      <c r="G342" s="10"/>
      <c r="H342" s="10"/>
      <c r="I342" s="10"/>
      <c r="J342" s="10"/>
      <c r="K342" s="10"/>
    </row>
    <row r="343">
      <c r="A343" s="10" t="str">
        <f>IFNA(VLOOKUP(pts_sub!$A343,sub!$B$2:$E1000,4,FALSE),"")</f>
        <v/>
      </c>
      <c r="B343" s="10"/>
      <c r="C343" s="10"/>
      <c r="D343" s="10" t="str">
        <f>IFNA(VLOOKUP(pts_sub!$D343,FIX!$A$2:$D1000,4, FALSE),"")</f>
        <v/>
      </c>
      <c r="E343" s="10"/>
      <c r="F343" s="10"/>
      <c r="G343" s="10"/>
      <c r="H343" s="10"/>
      <c r="I343" s="10"/>
      <c r="J343" s="10"/>
      <c r="K343" s="10"/>
    </row>
    <row r="344">
      <c r="A344" s="10" t="str">
        <f>IFNA(VLOOKUP(pts_sub!$A344,sub!$B$2:$E1000,4,FALSE),"")</f>
        <v/>
      </c>
      <c r="B344" s="10"/>
      <c r="C344" s="10"/>
      <c r="D344" s="10" t="str">
        <f>IFNA(VLOOKUP(pts_sub!$D344,FIX!$A$2:$D1000,4, FALSE),"")</f>
        <v/>
      </c>
      <c r="E344" s="10"/>
      <c r="F344" s="10"/>
      <c r="G344" s="10"/>
      <c r="H344" s="10"/>
      <c r="I344" s="10"/>
      <c r="J344" s="10"/>
      <c r="K344" s="10"/>
    </row>
    <row r="345">
      <c r="A345" s="10" t="str">
        <f>IFNA(VLOOKUP(pts_sub!$A345,sub!$B$2:$E1000,4,FALSE),"")</f>
        <v/>
      </c>
      <c r="B345" s="10"/>
      <c r="C345" s="10"/>
      <c r="D345" s="10" t="str">
        <f>IFNA(VLOOKUP(pts_sub!$D345,FIX!$A$2:$D1000,4, FALSE),"")</f>
        <v/>
      </c>
      <c r="E345" s="10"/>
      <c r="F345" s="10"/>
      <c r="G345" s="10"/>
      <c r="H345" s="10"/>
      <c r="I345" s="10"/>
      <c r="J345" s="10"/>
      <c r="K345" s="10"/>
    </row>
    <row r="346">
      <c r="A346" s="10" t="str">
        <f>IFNA(VLOOKUP(pts_sub!$A346,sub!$B$2:$E1000,4,FALSE),"")</f>
        <v/>
      </c>
      <c r="B346" s="10"/>
      <c r="C346" s="10"/>
      <c r="D346" s="10" t="str">
        <f>IFNA(VLOOKUP(pts_sub!$D346,FIX!$A$2:$D1000,4, FALSE),"")</f>
        <v/>
      </c>
      <c r="E346" s="10"/>
      <c r="F346" s="10"/>
      <c r="G346" s="10"/>
      <c r="H346" s="10"/>
      <c r="I346" s="10"/>
      <c r="J346" s="10"/>
      <c r="K346" s="10"/>
    </row>
    <row r="347">
      <c r="A347" s="10" t="str">
        <f>IFNA(VLOOKUP(pts_sub!$A347,sub!$B$2:$E1000,4,FALSE),"")</f>
        <v/>
      </c>
      <c r="B347" s="10"/>
      <c r="C347" s="10"/>
      <c r="D347" s="10" t="str">
        <f>IFNA(VLOOKUP(pts_sub!$D347,FIX!$A$2:$D1000,4, FALSE),"")</f>
        <v/>
      </c>
      <c r="E347" s="10"/>
      <c r="F347" s="10"/>
      <c r="G347" s="10"/>
      <c r="H347" s="10"/>
      <c r="I347" s="10"/>
      <c r="J347" s="10"/>
      <c r="K347" s="10"/>
    </row>
    <row r="348">
      <c r="A348" s="10" t="str">
        <f>IFNA(VLOOKUP(pts_sub!$A348,sub!$B$2:$E1000,4,FALSE),"")</f>
        <v/>
      </c>
      <c r="B348" s="10"/>
      <c r="C348" s="10"/>
      <c r="D348" s="10" t="str">
        <f>IFNA(VLOOKUP(pts_sub!$D348,FIX!$A$2:$D1000,4, FALSE),"")</f>
        <v/>
      </c>
      <c r="E348" s="10"/>
      <c r="F348" s="10"/>
      <c r="G348" s="10"/>
      <c r="H348" s="10"/>
      <c r="I348" s="10"/>
      <c r="J348" s="10"/>
      <c r="K348" s="10"/>
    </row>
    <row r="349">
      <c r="A349" s="10" t="str">
        <f>IFNA(VLOOKUP(pts_sub!$A349,sub!$B$2:$E1000,4,FALSE),"")</f>
        <v/>
      </c>
      <c r="B349" s="10"/>
      <c r="C349" s="10"/>
      <c r="D349" s="10" t="str">
        <f>IFNA(VLOOKUP(pts_sub!$D349,FIX!$A$2:$D1000,4, FALSE),"")</f>
        <v/>
      </c>
      <c r="E349" s="10"/>
      <c r="F349" s="10"/>
      <c r="G349" s="10"/>
      <c r="H349" s="10"/>
      <c r="I349" s="10"/>
      <c r="J349" s="10"/>
      <c r="K349" s="10"/>
    </row>
    <row r="350">
      <c r="A350" s="10" t="str">
        <f>IFNA(VLOOKUP(pts_sub!$A350,sub!$B$2:$E1000,4,FALSE),"")</f>
        <v/>
      </c>
      <c r="B350" s="10"/>
      <c r="C350" s="10"/>
      <c r="D350" s="10" t="str">
        <f>IFNA(VLOOKUP(pts_sub!$D350,FIX!$A$2:$D1000,4, FALSE),"")</f>
        <v/>
      </c>
      <c r="E350" s="10"/>
      <c r="F350" s="10"/>
      <c r="G350" s="10"/>
      <c r="H350" s="10"/>
      <c r="I350" s="10"/>
      <c r="J350" s="10"/>
      <c r="K350" s="10"/>
    </row>
    <row r="351">
      <c r="A351" s="10" t="str">
        <f>IFNA(VLOOKUP(pts_sub!$A351,sub!$B$2:$E1000,4,FALSE),"")</f>
        <v/>
      </c>
      <c r="B351" s="10"/>
      <c r="C351" s="10"/>
      <c r="D351" s="10" t="str">
        <f>IFNA(VLOOKUP(pts_sub!$D351,FIX!$A$2:$D1000,4, FALSE),"")</f>
        <v/>
      </c>
      <c r="E351" s="10"/>
      <c r="F351" s="10"/>
      <c r="G351" s="10"/>
      <c r="H351" s="10"/>
      <c r="I351" s="10"/>
      <c r="J351" s="10"/>
      <c r="K351" s="10"/>
    </row>
    <row r="352">
      <c r="A352" s="10" t="str">
        <f>IFNA(VLOOKUP(pts_sub!$A352,sub!$B$2:$E1000,4,FALSE),"")</f>
        <v/>
      </c>
      <c r="B352" s="10"/>
      <c r="C352" s="10"/>
      <c r="D352" s="10" t="str">
        <f>IFNA(VLOOKUP(pts_sub!$D352,FIX!$A$2:$D1000,4, FALSE),"")</f>
        <v/>
      </c>
      <c r="E352" s="10"/>
      <c r="F352" s="10"/>
      <c r="G352" s="10"/>
      <c r="H352" s="10"/>
      <c r="I352" s="10"/>
      <c r="J352" s="10"/>
      <c r="K352" s="10"/>
    </row>
    <row r="353">
      <c r="A353" s="10" t="str">
        <f>IFNA(VLOOKUP(pts_sub!$A353,sub!$B$2:$E1000,4,FALSE),"")</f>
        <v/>
      </c>
      <c r="B353" s="10"/>
      <c r="C353" s="10"/>
      <c r="D353" s="10" t="str">
        <f>IFNA(VLOOKUP(pts_sub!$D353,FIX!$A$2:$D1000,4, FALSE),"")</f>
        <v/>
      </c>
      <c r="E353" s="10"/>
      <c r="F353" s="10"/>
      <c r="G353" s="10"/>
      <c r="H353" s="10"/>
      <c r="I353" s="10"/>
      <c r="J353" s="10"/>
      <c r="K353" s="10"/>
    </row>
    <row r="354">
      <c r="A354" s="10" t="str">
        <f>IFNA(VLOOKUP(pts_sub!$A354,sub!$B$2:$E1000,4,FALSE),"")</f>
        <v/>
      </c>
      <c r="B354" s="10"/>
      <c r="C354" s="10"/>
      <c r="D354" s="10" t="str">
        <f>IFNA(VLOOKUP(pts_sub!$D354,FIX!$A$2:$D1000,4, FALSE),"")</f>
        <v/>
      </c>
      <c r="E354" s="10"/>
      <c r="F354" s="10"/>
      <c r="G354" s="10"/>
      <c r="H354" s="10"/>
      <c r="I354" s="10"/>
      <c r="J354" s="10"/>
      <c r="K354" s="10"/>
    </row>
    <row r="355">
      <c r="A355" s="10" t="str">
        <f>IFNA(VLOOKUP(pts_sub!$A355,sub!$B$2:$E1000,4,FALSE),"")</f>
        <v/>
      </c>
      <c r="B355" s="10"/>
      <c r="C355" s="10"/>
      <c r="D355" s="10" t="str">
        <f>IFNA(VLOOKUP(pts_sub!$D355,FIX!$A$2:$D1000,4, FALSE),"")</f>
        <v/>
      </c>
      <c r="E355" s="10"/>
      <c r="F355" s="10"/>
      <c r="G355" s="10"/>
      <c r="H355" s="10"/>
      <c r="I355" s="10"/>
      <c r="J355" s="10"/>
      <c r="K355" s="10"/>
    </row>
    <row r="356">
      <c r="A356" s="10" t="str">
        <f>IFNA(VLOOKUP(pts_sub!$A356,sub!$B$2:$E1000,4,FALSE),"")</f>
        <v/>
      </c>
      <c r="B356" s="10"/>
      <c r="C356" s="10"/>
      <c r="D356" s="10" t="str">
        <f>IFNA(VLOOKUP(pts_sub!$D356,FIX!$A$2:$D1000,4, FALSE),"")</f>
        <v/>
      </c>
      <c r="E356" s="10"/>
      <c r="F356" s="10"/>
      <c r="G356" s="10"/>
      <c r="H356" s="10"/>
      <c r="I356" s="10"/>
      <c r="J356" s="10"/>
      <c r="K356" s="10"/>
    </row>
    <row r="357">
      <c r="A357" s="10" t="str">
        <f>IFNA(VLOOKUP(pts_sub!$A357,sub!$B$2:$E1000,4,FALSE),"")</f>
        <v/>
      </c>
      <c r="B357" s="10"/>
      <c r="C357" s="10"/>
      <c r="D357" s="10" t="str">
        <f>IFNA(VLOOKUP(pts_sub!$D357,FIX!$A$2:$D1000,4, FALSE),"")</f>
        <v/>
      </c>
      <c r="E357" s="10"/>
      <c r="F357" s="10"/>
      <c r="G357" s="10"/>
      <c r="H357" s="10"/>
      <c r="I357" s="10"/>
      <c r="J357" s="10"/>
      <c r="K357" s="10"/>
    </row>
    <row r="358">
      <c r="A358" s="10" t="str">
        <f>IFNA(VLOOKUP(pts_sub!$A358,sub!$B$2:$E1000,4,FALSE),"")</f>
        <v/>
      </c>
      <c r="B358" s="10"/>
      <c r="C358" s="10"/>
      <c r="D358" s="10" t="str">
        <f>IFNA(VLOOKUP(pts_sub!$D358,FIX!$A$2:$D1000,4, FALSE),"")</f>
        <v/>
      </c>
      <c r="E358" s="10"/>
      <c r="F358" s="10"/>
      <c r="G358" s="10"/>
      <c r="H358" s="10"/>
      <c r="I358" s="10"/>
      <c r="J358" s="10"/>
      <c r="K358" s="10"/>
    </row>
    <row r="359">
      <c r="A359" s="10" t="str">
        <f>IFNA(VLOOKUP(pts_sub!$A359,sub!$B$2:$E1000,4,FALSE),"")</f>
        <v/>
      </c>
      <c r="B359" s="10"/>
      <c r="C359" s="10"/>
      <c r="D359" s="10" t="str">
        <f>IFNA(VLOOKUP(pts_sub!$D359,FIX!$A$2:$D1000,4, FALSE),"")</f>
        <v/>
      </c>
      <c r="E359" s="10"/>
      <c r="F359" s="10"/>
      <c r="G359" s="10"/>
      <c r="H359" s="10"/>
      <c r="I359" s="10"/>
      <c r="J359" s="10"/>
      <c r="K359" s="10"/>
    </row>
    <row r="360">
      <c r="A360" s="10" t="str">
        <f>IFNA(VLOOKUP(pts_sub!$A360,sub!$B$2:$E1000,4,FALSE),"")</f>
        <v/>
      </c>
      <c r="B360" s="10"/>
      <c r="C360" s="10"/>
      <c r="D360" s="10" t="str">
        <f>IFNA(VLOOKUP(pts_sub!$D360,FIX!$A$2:$D1000,4, FALSE),"")</f>
        <v/>
      </c>
      <c r="E360" s="10"/>
      <c r="F360" s="10"/>
      <c r="G360" s="10"/>
      <c r="H360" s="10"/>
      <c r="I360" s="10"/>
      <c r="J360" s="10"/>
      <c r="K360" s="10"/>
    </row>
    <row r="361">
      <c r="A361" s="10" t="str">
        <f>IFNA(VLOOKUP(pts_sub!$A361,sub!$B$2:$E1000,4,FALSE),"")</f>
        <v/>
      </c>
      <c r="B361" s="10"/>
      <c r="C361" s="10"/>
      <c r="D361" s="10" t="str">
        <f>IFNA(VLOOKUP(pts_sub!$D361,FIX!$A$2:$D1000,4, FALSE),"")</f>
        <v/>
      </c>
      <c r="E361" s="10"/>
      <c r="F361" s="10"/>
      <c r="G361" s="10"/>
      <c r="H361" s="10"/>
      <c r="I361" s="10"/>
      <c r="J361" s="10"/>
      <c r="K361" s="10"/>
    </row>
    <row r="362">
      <c r="A362" s="10" t="str">
        <f>IFNA(VLOOKUP(pts_sub!$A362,sub!$B$2:$E1000,4,FALSE),"")</f>
        <v/>
      </c>
      <c r="B362" s="10"/>
      <c r="C362" s="10"/>
      <c r="D362" s="10" t="str">
        <f>IFNA(VLOOKUP(pts_sub!$D362,FIX!$A$2:$D1000,4, FALSE),"")</f>
        <v/>
      </c>
      <c r="E362" s="10"/>
      <c r="F362" s="10"/>
      <c r="G362" s="10"/>
      <c r="H362" s="10"/>
      <c r="I362" s="10"/>
      <c r="J362" s="10"/>
      <c r="K362" s="10"/>
    </row>
    <row r="363">
      <c r="A363" s="10" t="str">
        <f>IFNA(VLOOKUP(pts_sub!$A363,sub!$B$2:$E1000,4,FALSE),"")</f>
        <v/>
      </c>
      <c r="B363" s="10"/>
      <c r="C363" s="10"/>
      <c r="D363" s="10" t="str">
        <f>IFNA(VLOOKUP(pts_sub!$D363,FIX!$A$2:$D1000,4, FALSE),"")</f>
        <v/>
      </c>
      <c r="E363" s="10"/>
      <c r="F363" s="10"/>
      <c r="G363" s="10"/>
      <c r="H363" s="10"/>
      <c r="I363" s="10"/>
      <c r="J363" s="10"/>
      <c r="K363" s="10"/>
    </row>
    <row r="364">
      <c r="A364" s="10" t="str">
        <f>IFNA(VLOOKUP(pts_sub!$A364,sub!$B$2:$E1000,4,FALSE),"")</f>
        <v/>
      </c>
      <c r="B364" s="10"/>
      <c r="C364" s="10"/>
      <c r="D364" s="10" t="str">
        <f>IFNA(VLOOKUP(pts_sub!$D364,FIX!$A$2:$D1000,4, FALSE),"")</f>
        <v/>
      </c>
      <c r="E364" s="10"/>
      <c r="F364" s="10"/>
      <c r="G364" s="10"/>
      <c r="H364" s="10"/>
      <c r="I364" s="10"/>
      <c r="J364" s="10"/>
      <c r="K364" s="10"/>
    </row>
    <row r="365">
      <c r="A365" s="10" t="str">
        <f>IFNA(VLOOKUP(pts_sub!$A365,sub!$B$2:$E1000,4,FALSE),"")</f>
        <v/>
      </c>
      <c r="B365" s="10"/>
      <c r="C365" s="10"/>
      <c r="D365" s="10" t="str">
        <f>IFNA(VLOOKUP(pts_sub!$D365,FIX!$A$2:$D1000,4, FALSE),"")</f>
        <v/>
      </c>
      <c r="E365" s="10"/>
      <c r="F365" s="10"/>
      <c r="G365" s="10"/>
      <c r="H365" s="10"/>
      <c r="I365" s="10"/>
      <c r="J365" s="10"/>
      <c r="K365" s="10"/>
    </row>
    <row r="366">
      <c r="A366" s="10" t="str">
        <f>IFNA(VLOOKUP(pts_sub!$A366,sub!$B$2:$E1000,4,FALSE),"")</f>
        <v/>
      </c>
      <c r="B366" s="10"/>
      <c r="C366" s="10"/>
      <c r="D366" s="10" t="str">
        <f>IFNA(VLOOKUP(pts_sub!$D366,FIX!$A$2:$D1000,4, FALSE),"")</f>
        <v/>
      </c>
      <c r="E366" s="10"/>
      <c r="F366" s="10"/>
      <c r="G366" s="10"/>
      <c r="H366" s="10"/>
      <c r="I366" s="10"/>
      <c r="J366" s="10"/>
      <c r="K366" s="10"/>
    </row>
    <row r="367">
      <c r="A367" s="10" t="str">
        <f>IFNA(VLOOKUP(pts_sub!$A367,sub!$B$2:$E1000,4,FALSE),"")</f>
        <v/>
      </c>
      <c r="B367" s="10"/>
      <c r="C367" s="10"/>
      <c r="D367" s="10" t="str">
        <f>IFNA(VLOOKUP(pts_sub!$D367,FIX!$A$2:$D1000,4, FALSE),"")</f>
        <v/>
      </c>
      <c r="E367" s="10"/>
      <c r="F367" s="10"/>
      <c r="G367" s="10"/>
      <c r="H367" s="10"/>
      <c r="I367" s="10"/>
      <c r="J367" s="10"/>
      <c r="K367" s="10"/>
    </row>
    <row r="368">
      <c r="A368" s="10" t="str">
        <f>IFNA(VLOOKUP(pts_sub!$A368,sub!$B$2:$E1000,4,FALSE),"")</f>
        <v/>
      </c>
      <c r="B368" s="10"/>
      <c r="C368" s="10"/>
      <c r="D368" s="10" t="str">
        <f>IFNA(VLOOKUP(pts_sub!$D368,FIX!$A$2:$D1000,4, FALSE),"")</f>
        <v/>
      </c>
      <c r="E368" s="10"/>
      <c r="F368" s="10"/>
      <c r="G368" s="10"/>
      <c r="H368" s="10"/>
      <c r="I368" s="10"/>
      <c r="J368" s="10"/>
      <c r="K368" s="10"/>
    </row>
    <row r="369">
      <c r="A369" s="10" t="str">
        <f>IFNA(VLOOKUP(pts_sub!$A369,sub!$B$2:$E1000,4,FALSE),"")</f>
        <v/>
      </c>
      <c r="B369" s="10"/>
      <c r="C369" s="10"/>
      <c r="D369" s="10" t="str">
        <f>IFNA(VLOOKUP(pts_sub!$D369,FIX!$A$2:$D1000,4, FALSE),"")</f>
        <v/>
      </c>
      <c r="E369" s="10"/>
      <c r="F369" s="10"/>
      <c r="G369" s="10"/>
      <c r="H369" s="10"/>
      <c r="I369" s="10"/>
      <c r="J369" s="10"/>
      <c r="K369" s="10"/>
    </row>
    <row r="370">
      <c r="A370" s="10" t="str">
        <f>IFNA(VLOOKUP(pts_sub!$A370,sub!$B$2:$E1000,4,FALSE),"")</f>
        <v/>
      </c>
      <c r="B370" s="10"/>
      <c r="C370" s="10"/>
      <c r="D370" s="10" t="str">
        <f>IFNA(VLOOKUP(pts_sub!$D370,FIX!$A$2:$D1000,4, FALSE),"")</f>
        <v/>
      </c>
      <c r="E370" s="10"/>
      <c r="F370" s="10"/>
      <c r="G370" s="10"/>
      <c r="H370" s="10"/>
      <c r="I370" s="10"/>
      <c r="J370" s="10"/>
      <c r="K370" s="10"/>
    </row>
    <row r="371">
      <c r="A371" s="10" t="str">
        <f>IFNA(VLOOKUP(pts_sub!$A371,sub!$B$2:$E1000,4,FALSE),"")</f>
        <v/>
      </c>
      <c r="B371" s="10"/>
      <c r="C371" s="10"/>
      <c r="D371" s="10" t="str">
        <f>IFNA(VLOOKUP(pts_sub!$D371,FIX!$A$2:$D1000,4, FALSE),"")</f>
        <v/>
      </c>
      <c r="E371" s="10"/>
      <c r="F371" s="10"/>
      <c r="G371" s="10"/>
      <c r="H371" s="10"/>
      <c r="I371" s="10"/>
      <c r="J371" s="10"/>
      <c r="K371" s="10"/>
    </row>
    <row r="372">
      <c r="A372" s="10" t="str">
        <f>IFNA(VLOOKUP(pts_sub!$A372,sub!$B$2:$E1000,4,FALSE),"")</f>
        <v/>
      </c>
      <c r="B372" s="10"/>
      <c r="C372" s="10"/>
      <c r="D372" s="10" t="str">
        <f>IFNA(VLOOKUP(pts_sub!$D372,FIX!$A$2:$D1000,4, FALSE),"")</f>
        <v/>
      </c>
      <c r="E372" s="10"/>
      <c r="F372" s="10"/>
      <c r="G372" s="10"/>
      <c r="H372" s="10"/>
      <c r="I372" s="10"/>
      <c r="J372" s="10"/>
      <c r="K372" s="10"/>
    </row>
    <row r="373">
      <c r="A373" s="10" t="str">
        <f>IFNA(VLOOKUP(pts_sub!$A373,sub!$B$2:$E1000,4,FALSE),"")</f>
        <v/>
      </c>
      <c r="B373" s="10"/>
      <c r="C373" s="10"/>
      <c r="D373" s="10" t="str">
        <f>IFNA(VLOOKUP(pts_sub!$D373,FIX!$A$2:$D1000,4, FALSE),"")</f>
        <v/>
      </c>
      <c r="E373" s="10"/>
      <c r="F373" s="10"/>
      <c r="G373" s="10"/>
      <c r="H373" s="10"/>
      <c r="I373" s="10"/>
      <c r="J373" s="10"/>
      <c r="K373" s="10"/>
    </row>
    <row r="374">
      <c r="A374" s="10" t="str">
        <f>IFNA(VLOOKUP(pts_sub!$A374,sub!$B$2:$E1000,4,FALSE),"")</f>
        <v/>
      </c>
      <c r="B374" s="10"/>
      <c r="C374" s="10"/>
      <c r="D374" s="10" t="str">
        <f>IFNA(VLOOKUP(pts_sub!$D374,FIX!$A$2:$D1000,4, FALSE),"")</f>
        <v/>
      </c>
      <c r="E374" s="10"/>
      <c r="F374" s="10"/>
      <c r="G374" s="10"/>
      <c r="H374" s="10"/>
      <c r="I374" s="10"/>
      <c r="J374" s="10"/>
      <c r="K374" s="10"/>
    </row>
    <row r="375">
      <c r="A375" s="10" t="str">
        <f>IFNA(VLOOKUP(pts_sub!$A375,sub!$B$2:$E1000,4,FALSE),"")</f>
        <v/>
      </c>
      <c r="B375" s="10"/>
      <c r="C375" s="10"/>
      <c r="D375" s="10" t="str">
        <f>IFNA(VLOOKUP(pts_sub!$D375,FIX!$A$2:$D1000,4, FALSE),"")</f>
        <v/>
      </c>
      <c r="E375" s="10"/>
      <c r="F375" s="10"/>
      <c r="G375" s="10"/>
      <c r="H375" s="10"/>
      <c r="I375" s="10"/>
      <c r="J375" s="10"/>
      <c r="K375" s="10"/>
    </row>
    <row r="376">
      <c r="A376" s="10" t="str">
        <f>IFNA(VLOOKUP(pts_sub!$A376,sub!$B$2:$E1000,4,FALSE),"")</f>
        <v/>
      </c>
      <c r="B376" s="10"/>
      <c r="C376" s="10"/>
      <c r="D376" s="10" t="str">
        <f>IFNA(VLOOKUP(pts_sub!$D376,FIX!$A$2:$D1000,4, FALSE),"")</f>
        <v/>
      </c>
      <c r="E376" s="10"/>
      <c r="F376" s="10"/>
      <c r="G376" s="10"/>
      <c r="H376" s="10"/>
      <c r="I376" s="10"/>
      <c r="J376" s="10"/>
      <c r="K376" s="10"/>
    </row>
    <row r="377">
      <c r="A377" s="10" t="str">
        <f>IFNA(VLOOKUP(pts_sub!$A377,sub!$B$2:$E1000,4,FALSE),"")</f>
        <v/>
      </c>
      <c r="B377" s="10"/>
      <c r="C377" s="10"/>
      <c r="D377" s="10" t="str">
        <f>IFNA(VLOOKUP(pts_sub!$D377,FIX!$A$2:$D1000,4, FALSE),"")</f>
        <v/>
      </c>
      <c r="E377" s="10"/>
      <c r="F377" s="10"/>
      <c r="G377" s="10"/>
      <c r="H377" s="10"/>
      <c r="I377" s="10"/>
      <c r="J377" s="10"/>
      <c r="K377" s="10"/>
    </row>
    <row r="378">
      <c r="A378" s="10" t="str">
        <f>IFNA(VLOOKUP(pts_sub!$A378,sub!$B$2:$E1000,4,FALSE),"")</f>
        <v/>
      </c>
      <c r="B378" s="10"/>
      <c r="C378" s="10"/>
      <c r="D378" s="10" t="str">
        <f>IFNA(VLOOKUP(pts_sub!$D378,FIX!$A$2:$D1000,4, FALSE),"")</f>
        <v/>
      </c>
      <c r="E378" s="10"/>
      <c r="F378" s="10"/>
      <c r="G378" s="10"/>
      <c r="H378" s="10"/>
      <c r="I378" s="10"/>
      <c r="J378" s="10"/>
      <c r="K378" s="10"/>
    </row>
    <row r="379">
      <c r="A379" s="10" t="str">
        <f>IFNA(VLOOKUP(pts_sub!$A379,sub!$B$2:$E1000,4,FALSE),"")</f>
        <v/>
      </c>
      <c r="B379" s="10"/>
      <c r="C379" s="10"/>
      <c r="D379" s="10" t="str">
        <f>IFNA(VLOOKUP(pts_sub!$D379,FIX!$A$2:$D1000,4, FALSE),"")</f>
        <v/>
      </c>
      <c r="E379" s="10"/>
      <c r="F379" s="10"/>
      <c r="G379" s="10"/>
      <c r="H379" s="10"/>
      <c r="I379" s="10"/>
      <c r="J379" s="10"/>
      <c r="K379" s="10"/>
    </row>
    <row r="380">
      <c r="A380" s="10" t="str">
        <f>IFNA(VLOOKUP(pts_sub!$A380,sub!$B$2:$E1000,4,FALSE),"")</f>
        <v/>
      </c>
      <c r="B380" s="10"/>
      <c r="C380" s="10"/>
      <c r="D380" s="10" t="str">
        <f>IFNA(VLOOKUP(pts_sub!$D380,FIX!$A$2:$D1000,4, FALSE),"")</f>
        <v/>
      </c>
      <c r="E380" s="10"/>
      <c r="F380" s="10"/>
      <c r="G380" s="10"/>
      <c r="H380" s="10"/>
      <c r="I380" s="10"/>
      <c r="J380" s="10"/>
      <c r="K380" s="10"/>
    </row>
    <row r="381">
      <c r="A381" s="10" t="str">
        <f>IFNA(VLOOKUP(pts_sub!$A381,sub!$B$2:$E1000,4,FALSE),"")</f>
        <v/>
      </c>
      <c r="B381" s="10"/>
      <c r="C381" s="10"/>
      <c r="D381" s="10" t="str">
        <f>IFNA(VLOOKUP(pts_sub!$D381,FIX!$A$2:$D1000,4, FALSE),"")</f>
        <v/>
      </c>
      <c r="E381" s="10"/>
      <c r="F381" s="10"/>
      <c r="G381" s="10"/>
      <c r="H381" s="10"/>
      <c r="I381" s="10"/>
      <c r="J381" s="10"/>
      <c r="K381" s="10"/>
    </row>
    <row r="382">
      <c r="A382" s="10" t="str">
        <f>IFNA(VLOOKUP(pts_sub!$A382,sub!$B$2:$E1000,4,FALSE),"")</f>
        <v/>
      </c>
      <c r="B382" s="10"/>
      <c r="C382" s="10"/>
      <c r="D382" s="10" t="str">
        <f>IFNA(VLOOKUP(pts_sub!$D382,FIX!$A$2:$D1000,4, FALSE),"")</f>
        <v/>
      </c>
      <c r="E382" s="10"/>
      <c r="F382" s="10"/>
      <c r="G382" s="10"/>
      <c r="H382" s="10"/>
      <c r="I382" s="10"/>
      <c r="J382" s="10"/>
      <c r="K382" s="10"/>
    </row>
    <row r="383">
      <c r="A383" s="10" t="str">
        <f>IFNA(VLOOKUP(pts_sub!$A383,sub!$B$2:$E1000,4,FALSE),"")</f>
        <v/>
      </c>
      <c r="B383" s="10"/>
      <c r="C383" s="10"/>
      <c r="D383" s="10" t="str">
        <f>IFNA(VLOOKUP(pts_sub!$D383,FIX!$A$2:$D1000,4, FALSE),"")</f>
        <v/>
      </c>
      <c r="E383" s="10"/>
      <c r="F383" s="10"/>
      <c r="G383" s="10"/>
      <c r="H383" s="10"/>
      <c r="I383" s="10"/>
      <c r="J383" s="10"/>
      <c r="K383" s="10"/>
    </row>
    <row r="384">
      <c r="A384" s="10" t="str">
        <f>IFNA(VLOOKUP(pts_sub!$A384,sub!$B$2:$E1000,4,FALSE),"")</f>
        <v/>
      </c>
      <c r="B384" s="10"/>
      <c r="C384" s="10"/>
      <c r="D384" s="10" t="str">
        <f>IFNA(VLOOKUP(pts_sub!$D384,FIX!$A$2:$D1000,4, FALSE),"")</f>
        <v/>
      </c>
      <c r="E384" s="10"/>
      <c r="F384" s="10"/>
      <c r="G384" s="10"/>
      <c r="H384" s="10"/>
      <c r="I384" s="10"/>
      <c r="J384" s="10"/>
      <c r="K384" s="10"/>
    </row>
    <row r="385">
      <c r="A385" s="10" t="str">
        <f>IFNA(VLOOKUP(pts_sub!$A385,sub!$B$2:$E1000,4,FALSE),"")</f>
        <v/>
      </c>
      <c r="B385" s="10"/>
      <c r="C385" s="10"/>
      <c r="D385" s="10" t="str">
        <f>IFNA(VLOOKUP(pts_sub!$D385,FIX!$A$2:$D1000,4, FALSE),"")</f>
        <v/>
      </c>
      <c r="E385" s="10"/>
      <c r="F385" s="10"/>
      <c r="G385" s="10"/>
      <c r="H385" s="10"/>
      <c r="I385" s="10"/>
      <c r="J385" s="10"/>
      <c r="K385" s="10"/>
    </row>
    <row r="386">
      <c r="A386" s="10" t="str">
        <f>IFNA(VLOOKUP(pts_sub!$A386,sub!$B$2:$E1000,4,FALSE),"")</f>
        <v/>
      </c>
      <c r="B386" s="10"/>
      <c r="C386" s="10"/>
      <c r="D386" s="10" t="str">
        <f>IFNA(VLOOKUP(pts_sub!$D386,FIX!$A$2:$D1000,4, FALSE),"")</f>
        <v/>
      </c>
      <c r="E386" s="10"/>
      <c r="F386" s="10"/>
      <c r="G386" s="10"/>
      <c r="H386" s="10"/>
      <c r="I386" s="10"/>
      <c r="J386" s="10"/>
      <c r="K386" s="10"/>
    </row>
    <row r="387">
      <c r="A387" s="10" t="str">
        <f>IFNA(VLOOKUP(pts_sub!$A387,sub!$B$2:$E1000,4,FALSE),"")</f>
        <v/>
      </c>
      <c r="B387" s="10"/>
      <c r="C387" s="10"/>
      <c r="D387" s="10" t="str">
        <f>IFNA(VLOOKUP(pts_sub!$D387,FIX!$A$2:$D1000,4, FALSE),"")</f>
        <v/>
      </c>
      <c r="E387" s="10"/>
      <c r="F387" s="10"/>
      <c r="G387" s="10"/>
      <c r="H387" s="10"/>
      <c r="I387" s="10"/>
      <c r="J387" s="10"/>
      <c r="K387" s="10"/>
    </row>
    <row r="388">
      <c r="A388" s="10" t="str">
        <f>IFNA(VLOOKUP(pts_sub!$A388,sub!$B$2:$E1000,4,FALSE),"")</f>
        <v/>
      </c>
      <c r="B388" s="10"/>
      <c r="C388" s="10"/>
      <c r="D388" s="10" t="str">
        <f>IFNA(VLOOKUP(pts_sub!$D388,FIX!$A$2:$D1000,4, FALSE),"")</f>
        <v/>
      </c>
      <c r="E388" s="10"/>
      <c r="F388" s="10"/>
      <c r="G388" s="10"/>
      <c r="H388" s="10"/>
      <c r="I388" s="10"/>
      <c r="J388" s="10"/>
      <c r="K388" s="10"/>
    </row>
    <row r="389">
      <c r="A389" s="10" t="str">
        <f>IFNA(VLOOKUP(pts_sub!$A389,sub!$B$2:$E1000,4,FALSE),"")</f>
        <v/>
      </c>
      <c r="B389" s="10"/>
      <c r="C389" s="10"/>
      <c r="D389" s="10" t="str">
        <f>IFNA(VLOOKUP(pts_sub!$D389,FIX!$A$2:$D1000,4, FALSE),"")</f>
        <v/>
      </c>
      <c r="E389" s="10"/>
      <c r="F389" s="10"/>
      <c r="G389" s="10"/>
      <c r="H389" s="10"/>
      <c r="I389" s="10"/>
      <c r="J389" s="10"/>
      <c r="K389" s="10"/>
    </row>
    <row r="390">
      <c r="A390" s="10" t="str">
        <f>IFNA(VLOOKUP(pts_sub!$A390,sub!$B$2:$E1000,4,FALSE),"")</f>
        <v/>
      </c>
      <c r="B390" s="10"/>
      <c r="C390" s="10"/>
      <c r="D390" s="10" t="str">
        <f>IFNA(VLOOKUP(pts_sub!$D390,FIX!$A$2:$D1000,4, FALSE),"")</f>
        <v/>
      </c>
      <c r="E390" s="10"/>
      <c r="F390" s="10"/>
      <c r="G390" s="10"/>
      <c r="H390" s="10"/>
      <c r="I390" s="10"/>
      <c r="J390" s="10"/>
      <c r="K390" s="10"/>
    </row>
    <row r="391">
      <c r="A391" s="10" t="str">
        <f>IFNA(VLOOKUP(pts_sub!$A391,sub!$B$2:$E1000,4,FALSE),"")</f>
        <v/>
      </c>
      <c r="B391" s="10"/>
      <c r="C391" s="10"/>
      <c r="D391" s="10" t="str">
        <f>IFNA(VLOOKUP(pts_sub!$D391,FIX!$A$2:$D1000,4, FALSE),"")</f>
        <v/>
      </c>
      <c r="E391" s="10"/>
      <c r="F391" s="10"/>
      <c r="G391" s="10"/>
      <c r="H391" s="10"/>
      <c r="I391" s="10"/>
      <c r="J391" s="10"/>
      <c r="K391" s="10"/>
    </row>
    <row r="392">
      <c r="A392" s="10" t="str">
        <f>IFNA(VLOOKUP(pts_sub!$A392,sub!$B$2:$E1000,4,FALSE),"")</f>
        <v/>
      </c>
      <c r="B392" s="10"/>
      <c r="C392" s="10"/>
      <c r="D392" s="10" t="str">
        <f>IFNA(VLOOKUP(pts_sub!$D392,FIX!$A$2:$D1000,4, FALSE),"")</f>
        <v/>
      </c>
      <c r="E392" s="10"/>
      <c r="F392" s="10"/>
      <c r="G392" s="10"/>
      <c r="H392" s="10"/>
      <c r="I392" s="10"/>
      <c r="J392" s="10"/>
      <c r="K392" s="10"/>
    </row>
    <row r="393">
      <c r="A393" s="10" t="str">
        <f>IFNA(VLOOKUP(pts_sub!$A393,sub!$B$2:$E1000,4,FALSE),"")</f>
        <v/>
      </c>
      <c r="B393" s="10"/>
      <c r="C393" s="10"/>
      <c r="D393" s="10" t="str">
        <f>IFNA(VLOOKUP(pts_sub!$D393,FIX!$A$2:$D1000,4, FALSE),"")</f>
        <v/>
      </c>
      <c r="E393" s="10"/>
      <c r="F393" s="10"/>
      <c r="G393" s="10"/>
      <c r="H393" s="10"/>
      <c r="I393" s="10"/>
      <c r="J393" s="10"/>
      <c r="K393" s="10"/>
    </row>
    <row r="394">
      <c r="A394" s="10" t="str">
        <f>IFNA(VLOOKUP(pts_sub!$A394,sub!$B$2:$E1000,4,FALSE),"")</f>
        <v/>
      </c>
      <c r="B394" s="10"/>
      <c r="C394" s="10"/>
      <c r="D394" s="10" t="str">
        <f>IFNA(VLOOKUP(pts_sub!$D394,FIX!$A$2:$D1000,4, FALSE),"")</f>
        <v/>
      </c>
      <c r="E394" s="10"/>
      <c r="F394" s="10"/>
      <c r="G394" s="10"/>
      <c r="H394" s="10"/>
      <c r="I394" s="10"/>
      <c r="J394" s="10"/>
      <c r="K394" s="10"/>
    </row>
    <row r="395">
      <c r="A395" s="10" t="str">
        <f>IFNA(VLOOKUP(pts_sub!$A395,sub!$B$2:$E1000,4,FALSE),"")</f>
        <v/>
      </c>
      <c r="B395" s="10"/>
      <c r="C395" s="10"/>
      <c r="D395" s="10" t="str">
        <f>IFNA(VLOOKUP(pts_sub!$D395,FIX!$A$2:$D1000,4, FALSE),"")</f>
        <v/>
      </c>
      <c r="E395" s="10"/>
      <c r="F395" s="10"/>
      <c r="G395" s="10"/>
      <c r="H395" s="10"/>
      <c r="I395" s="10"/>
      <c r="J395" s="10"/>
      <c r="K395" s="10"/>
    </row>
    <row r="396">
      <c r="A396" s="10" t="str">
        <f>IFNA(VLOOKUP(pts_sub!$A396,sub!$B$2:$E1000,4,FALSE),"")</f>
        <v/>
      </c>
      <c r="B396" s="10"/>
      <c r="C396" s="10"/>
      <c r="D396" s="10" t="str">
        <f>IFNA(VLOOKUP(pts_sub!$D396,FIX!$A$2:$D1000,4, FALSE),"")</f>
        <v/>
      </c>
      <c r="E396" s="10"/>
      <c r="F396" s="10"/>
      <c r="G396" s="10"/>
      <c r="H396" s="10"/>
      <c r="I396" s="10"/>
      <c r="J396" s="10"/>
      <c r="K396" s="10"/>
    </row>
    <row r="397">
      <c r="A397" s="10" t="str">
        <f>IFNA(VLOOKUP(pts_sub!$A397,sub!$B$2:$E1000,4,FALSE),"")</f>
        <v/>
      </c>
      <c r="B397" s="10"/>
      <c r="C397" s="10"/>
      <c r="D397" s="10" t="str">
        <f>IFNA(VLOOKUP(pts_sub!$D397,FIX!$A$2:$D1000,4, FALSE),"")</f>
        <v/>
      </c>
      <c r="E397" s="10"/>
      <c r="F397" s="10"/>
      <c r="G397" s="10"/>
      <c r="H397" s="10"/>
      <c r="I397" s="10"/>
      <c r="J397" s="10"/>
      <c r="K397" s="10"/>
    </row>
    <row r="398">
      <c r="A398" s="10" t="str">
        <f>IFNA(VLOOKUP(pts_sub!$A398,sub!$B$2:$E1000,4,FALSE),"")</f>
        <v/>
      </c>
      <c r="B398" s="10"/>
      <c r="C398" s="10"/>
      <c r="D398" s="10" t="str">
        <f>IFNA(VLOOKUP(pts_sub!$D398,FIX!$A$2:$D1000,4, FALSE),"")</f>
        <v/>
      </c>
      <c r="E398" s="10"/>
      <c r="F398" s="10"/>
      <c r="G398" s="10"/>
      <c r="H398" s="10"/>
      <c r="I398" s="10"/>
      <c r="J398" s="10"/>
      <c r="K398" s="10"/>
    </row>
    <row r="399">
      <c r="A399" s="10" t="str">
        <f>IFNA(VLOOKUP(pts_sub!$A399,sub!$B$2:$E1000,4,FALSE),"")</f>
        <v/>
      </c>
      <c r="B399" s="10"/>
      <c r="C399" s="10"/>
      <c r="D399" s="10" t="str">
        <f>IFNA(VLOOKUP(pts_sub!$D399,FIX!$A$2:$D1000,4, FALSE),"")</f>
        <v/>
      </c>
      <c r="E399" s="10"/>
      <c r="F399" s="10"/>
      <c r="G399" s="10"/>
      <c r="H399" s="10"/>
      <c r="I399" s="10"/>
      <c r="J399" s="10"/>
      <c r="K399" s="10"/>
    </row>
    <row r="400">
      <c r="A400" s="10" t="str">
        <f>IFNA(VLOOKUP(pts_sub!$A400,sub!$B$2:$E1000,4,FALSE),"")</f>
        <v/>
      </c>
      <c r="B400" s="10"/>
      <c r="C400" s="10"/>
      <c r="D400" s="10" t="str">
        <f>IFNA(VLOOKUP(pts_sub!$D400,FIX!$A$2:$D1000,4, FALSE),"")</f>
        <v/>
      </c>
      <c r="E400" s="10"/>
      <c r="F400" s="10"/>
      <c r="G400" s="10"/>
      <c r="H400" s="10"/>
      <c r="I400" s="10"/>
      <c r="J400" s="10"/>
      <c r="K400" s="10"/>
    </row>
    <row r="401">
      <c r="A401" s="10" t="str">
        <f>IFNA(VLOOKUP(pts_sub!$A401,sub!$B$2:$E1000,4,FALSE),"")</f>
        <v/>
      </c>
      <c r="B401" s="10"/>
      <c r="C401" s="10"/>
      <c r="D401" s="10" t="str">
        <f>IFNA(VLOOKUP(pts_sub!$D401,FIX!$A$2:$D1000,4, FALSE),"")</f>
        <v/>
      </c>
      <c r="E401" s="10"/>
      <c r="F401" s="10"/>
      <c r="G401" s="10"/>
      <c r="H401" s="10"/>
      <c r="I401" s="10"/>
      <c r="J401" s="10"/>
      <c r="K401" s="10"/>
    </row>
    <row r="402">
      <c r="A402" s="10" t="str">
        <f>IFNA(VLOOKUP(pts_sub!$A402,sub!$B$2:$E1000,4,FALSE),"")</f>
        <v/>
      </c>
      <c r="B402" s="10"/>
      <c r="C402" s="10"/>
      <c r="D402" s="10" t="str">
        <f>IFNA(VLOOKUP(pts_sub!$D402,FIX!$A$2:$D1000,4, FALSE),"")</f>
        <v/>
      </c>
      <c r="E402" s="10"/>
      <c r="F402" s="10"/>
      <c r="G402" s="10"/>
      <c r="H402" s="10"/>
      <c r="I402" s="10"/>
      <c r="J402" s="10"/>
      <c r="K402" s="10"/>
    </row>
    <row r="403">
      <c r="A403" s="10" t="str">
        <f>IFNA(VLOOKUP(pts_sub!$A403,sub!$B$2:$E1000,4,FALSE),"")</f>
        <v/>
      </c>
      <c r="B403" s="10"/>
      <c r="C403" s="10"/>
      <c r="D403" s="10" t="str">
        <f>IFNA(VLOOKUP(pts_sub!$D403,FIX!$A$2:$D1000,4, FALSE),"")</f>
        <v/>
      </c>
      <c r="E403" s="10"/>
      <c r="F403" s="10"/>
      <c r="G403" s="10"/>
      <c r="H403" s="10"/>
      <c r="I403" s="10"/>
      <c r="J403" s="10"/>
      <c r="K403" s="10"/>
    </row>
    <row r="404">
      <c r="A404" s="10" t="str">
        <f>IFNA(VLOOKUP(pts_sub!$A404,sub!$B$2:$E1000,4,FALSE),"")</f>
        <v/>
      </c>
      <c r="B404" s="10"/>
      <c r="C404" s="10"/>
      <c r="D404" s="10" t="str">
        <f>IFNA(VLOOKUP(pts_sub!$D404,FIX!$A$2:$D1000,4, FALSE),"")</f>
        <v/>
      </c>
      <c r="E404" s="10"/>
      <c r="F404" s="10"/>
      <c r="G404" s="10"/>
      <c r="H404" s="10"/>
      <c r="I404" s="10"/>
      <c r="J404" s="10"/>
      <c r="K404" s="10"/>
    </row>
    <row r="405">
      <c r="A405" s="10" t="str">
        <f>IFNA(VLOOKUP(pts_sub!$A405,sub!$B$2:$E1000,4,FALSE),"")</f>
        <v/>
      </c>
      <c r="B405" s="10"/>
      <c r="C405" s="10"/>
      <c r="D405" s="10" t="str">
        <f>IFNA(VLOOKUP(pts_sub!$D405,FIX!$A$2:$D1000,4, FALSE),"")</f>
        <v/>
      </c>
      <c r="E405" s="10"/>
      <c r="F405" s="10"/>
      <c r="G405" s="10"/>
      <c r="H405" s="10"/>
      <c r="I405" s="10"/>
      <c r="J405" s="10"/>
      <c r="K405" s="10"/>
    </row>
    <row r="406">
      <c r="A406" s="10" t="str">
        <f>IFNA(VLOOKUP(pts_sub!$A406,sub!$B$2:$E1000,4,FALSE),"")</f>
        <v/>
      </c>
      <c r="B406" s="10"/>
      <c r="C406" s="10"/>
      <c r="D406" s="10" t="str">
        <f>IFNA(VLOOKUP(pts_sub!$D406,FIX!$A$2:$D1000,4, FALSE),"")</f>
        <v/>
      </c>
      <c r="E406" s="10"/>
      <c r="F406" s="10"/>
      <c r="G406" s="10"/>
      <c r="H406" s="10"/>
      <c r="I406" s="10"/>
      <c r="J406" s="10"/>
      <c r="K406" s="10"/>
    </row>
    <row r="407">
      <c r="A407" s="10" t="str">
        <f>IFNA(VLOOKUP(pts_sub!$A407,sub!$B$2:$E1000,4,FALSE),"")</f>
        <v/>
      </c>
      <c r="B407" s="10"/>
      <c r="C407" s="10"/>
      <c r="D407" s="10" t="str">
        <f>IFNA(VLOOKUP(pts_sub!$D407,FIX!$A$2:$D1000,4, FALSE),"")</f>
        <v/>
      </c>
      <c r="E407" s="10"/>
      <c r="F407" s="10"/>
      <c r="G407" s="10"/>
      <c r="H407" s="10"/>
      <c r="I407" s="10"/>
      <c r="J407" s="10"/>
      <c r="K407" s="10"/>
    </row>
    <row r="408">
      <c r="A408" s="10" t="str">
        <f>IFNA(VLOOKUP(pts_sub!$A408,sub!$B$2:$E1000,4,FALSE),"")</f>
        <v/>
      </c>
      <c r="B408" s="10"/>
      <c r="C408" s="10"/>
      <c r="D408" s="10" t="str">
        <f>IFNA(VLOOKUP(pts_sub!$D408,FIX!$A$2:$D1000,4, FALSE),"")</f>
        <v/>
      </c>
      <c r="E408" s="10"/>
      <c r="F408" s="10"/>
      <c r="G408" s="10"/>
      <c r="H408" s="10"/>
      <c r="I408" s="10"/>
      <c r="J408" s="10"/>
      <c r="K408" s="10"/>
    </row>
    <row r="409">
      <c r="A409" s="10" t="str">
        <f>IFNA(VLOOKUP(pts_sub!$A409,sub!$B$2:$E1000,4,FALSE),"")</f>
        <v/>
      </c>
      <c r="B409" s="10"/>
      <c r="C409" s="10"/>
      <c r="D409" s="10" t="str">
        <f>IFNA(VLOOKUP(pts_sub!$D409,FIX!$A$2:$D1000,4, FALSE),"")</f>
        <v/>
      </c>
      <c r="E409" s="10"/>
      <c r="F409" s="10"/>
      <c r="G409" s="10"/>
      <c r="H409" s="10"/>
      <c r="I409" s="10"/>
      <c r="J409" s="10"/>
      <c r="K409" s="10"/>
    </row>
    <row r="410">
      <c r="A410" s="10" t="str">
        <f>IFNA(VLOOKUP(pts_sub!$A410,sub!$B$2:$E1000,4,FALSE),"")</f>
        <v/>
      </c>
      <c r="B410" s="10"/>
      <c r="C410" s="10"/>
      <c r="D410" s="10" t="str">
        <f>IFNA(VLOOKUP(pts_sub!$D410,FIX!$A$2:$D1000,4, FALSE),"")</f>
        <v/>
      </c>
      <c r="E410" s="10"/>
      <c r="F410" s="10"/>
      <c r="G410" s="10"/>
      <c r="H410" s="10"/>
      <c r="I410" s="10"/>
      <c r="J410" s="10"/>
      <c r="K410" s="10"/>
    </row>
    <row r="411">
      <c r="A411" s="10" t="str">
        <f>IFNA(VLOOKUP(pts_sub!$A411,sub!$B$2:$E1000,4,FALSE),"")</f>
        <v/>
      </c>
      <c r="B411" s="10"/>
      <c r="C411" s="10"/>
      <c r="D411" s="10" t="str">
        <f>IFNA(VLOOKUP(pts_sub!$D411,FIX!$A$2:$D1000,4, FALSE),"")</f>
        <v/>
      </c>
      <c r="E411" s="10"/>
      <c r="F411" s="10"/>
      <c r="G411" s="10"/>
      <c r="H411" s="10"/>
      <c r="I411" s="10"/>
      <c r="J411" s="10"/>
      <c r="K411" s="10"/>
    </row>
    <row r="412">
      <c r="A412" s="10" t="str">
        <f>IFNA(VLOOKUP(pts_sub!$A412,sub!$B$2:$E1000,4,FALSE),"")</f>
        <v/>
      </c>
      <c r="B412" s="10"/>
      <c r="C412" s="10"/>
      <c r="D412" s="10" t="str">
        <f>IFNA(VLOOKUP(pts_sub!$D412,FIX!$A$2:$D1000,4, FALSE),"")</f>
        <v/>
      </c>
      <c r="E412" s="10"/>
      <c r="F412" s="10"/>
      <c r="G412" s="10"/>
      <c r="H412" s="10"/>
      <c r="I412" s="10"/>
      <c r="J412" s="10"/>
      <c r="K412" s="10"/>
    </row>
    <row r="413">
      <c r="A413" s="10" t="str">
        <f>IFNA(VLOOKUP(pts_sub!$A413,sub!$B$2:$E1000,4,FALSE),"")</f>
        <v/>
      </c>
      <c r="B413" s="10"/>
      <c r="C413" s="10"/>
      <c r="D413" s="10" t="str">
        <f>IFNA(VLOOKUP(pts_sub!$D413,FIX!$A$2:$D1000,4, FALSE),"")</f>
        <v/>
      </c>
      <c r="E413" s="10"/>
      <c r="F413" s="10"/>
      <c r="G413" s="10"/>
      <c r="H413" s="10"/>
      <c r="I413" s="10"/>
      <c r="J413" s="10"/>
      <c r="K413" s="10"/>
    </row>
    <row r="414">
      <c r="A414" s="10" t="str">
        <f>IFNA(VLOOKUP(pts_sub!$A414,sub!$B$2:$E1000,4,FALSE),"")</f>
        <v/>
      </c>
      <c r="B414" s="10"/>
      <c r="C414" s="10"/>
      <c r="D414" s="10" t="str">
        <f>IFNA(VLOOKUP(pts_sub!$D414,FIX!$A$2:$D1000,4, FALSE),"")</f>
        <v/>
      </c>
      <c r="E414" s="10"/>
      <c r="F414" s="10"/>
      <c r="G414" s="10"/>
      <c r="H414" s="10"/>
      <c r="I414" s="10"/>
      <c r="J414" s="10"/>
      <c r="K414" s="10"/>
    </row>
    <row r="415">
      <c r="A415" s="10" t="str">
        <f>IFNA(VLOOKUP(pts_sub!$A415,sub!$B$2:$E1000,4,FALSE),"")</f>
        <v/>
      </c>
      <c r="B415" s="10"/>
      <c r="C415" s="10"/>
      <c r="D415" s="10" t="str">
        <f>IFNA(VLOOKUP(pts_sub!$D415,FIX!$A$2:$D1000,4, FALSE),"")</f>
        <v/>
      </c>
      <c r="E415" s="10"/>
      <c r="F415" s="10"/>
      <c r="G415" s="10"/>
      <c r="H415" s="10"/>
      <c r="I415" s="10"/>
      <c r="J415" s="10"/>
      <c r="K415" s="10"/>
    </row>
    <row r="416">
      <c r="A416" s="10" t="str">
        <f>IFNA(VLOOKUP(pts_sub!$A416,sub!$B$2:$E1000,4,FALSE),"")</f>
        <v/>
      </c>
      <c r="B416" s="10"/>
      <c r="C416" s="10"/>
      <c r="D416" s="10" t="str">
        <f>IFNA(VLOOKUP(pts_sub!$D416,FIX!$A$2:$D1000,4, FALSE),"")</f>
        <v/>
      </c>
      <c r="E416" s="10"/>
      <c r="F416" s="10"/>
      <c r="G416" s="10"/>
      <c r="H416" s="10"/>
      <c r="I416" s="10"/>
      <c r="J416" s="10"/>
      <c r="K416" s="10"/>
    </row>
    <row r="417">
      <c r="A417" s="10" t="str">
        <f>IFNA(VLOOKUP(pts_sub!$A417,sub!$B$2:$E1000,4,FALSE),"")</f>
        <v/>
      </c>
      <c r="B417" s="10"/>
      <c r="C417" s="10"/>
      <c r="D417" s="10" t="str">
        <f>IFNA(VLOOKUP(pts_sub!$D417,FIX!$A$2:$D1000,4, FALSE),"")</f>
        <v/>
      </c>
      <c r="E417" s="10"/>
      <c r="F417" s="10"/>
      <c r="G417" s="10"/>
      <c r="H417" s="10"/>
      <c r="I417" s="10"/>
      <c r="J417" s="10"/>
      <c r="K417" s="10"/>
    </row>
    <row r="418">
      <c r="A418" s="10" t="str">
        <f>IFNA(VLOOKUP(pts_sub!$A418,sub!$B$2:$E1000,4,FALSE),"")</f>
        <v/>
      </c>
      <c r="B418" s="10"/>
      <c r="C418" s="10"/>
      <c r="D418" s="10" t="str">
        <f>IFNA(VLOOKUP(pts_sub!$D418,FIX!$A$2:$D1000,4, FALSE),"")</f>
        <v/>
      </c>
      <c r="E418" s="10"/>
      <c r="F418" s="10"/>
      <c r="G418" s="10"/>
      <c r="H418" s="10"/>
      <c r="I418" s="10"/>
      <c r="J418" s="10"/>
      <c r="K418" s="10"/>
    </row>
    <row r="419">
      <c r="A419" s="10" t="str">
        <f>IFNA(VLOOKUP(pts_sub!$A419,sub!$B$2:$E1000,4,FALSE),"")</f>
        <v/>
      </c>
      <c r="B419" s="10"/>
      <c r="C419" s="10"/>
      <c r="D419" s="10" t="str">
        <f>IFNA(VLOOKUP(pts_sub!$D419,FIX!$A$2:$D1000,4, FALSE),"")</f>
        <v/>
      </c>
      <c r="E419" s="10"/>
      <c r="F419" s="10"/>
      <c r="G419" s="10"/>
      <c r="H419" s="10"/>
      <c r="I419" s="10"/>
      <c r="J419" s="10"/>
      <c r="K419" s="10"/>
    </row>
    <row r="420">
      <c r="A420" s="10" t="str">
        <f>IFNA(VLOOKUP(pts_sub!$A420,sub!$B$2:$E1000,4,FALSE),"")</f>
        <v/>
      </c>
      <c r="B420" s="10"/>
      <c r="C420" s="10"/>
      <c r="D420" s="10" t="str">
        <f>IFNA(VLOOKUP(pts_sub!$D420,FIX!$A$2:$D1000,4, FALSE),"")</f>
        <v/>
      </c>
      <c r="E420" s="10"/>
      <c r="F420" s="10"/>
      <c r="G420" s="10"/>
      <c r="H420" s="10"/>
      <c r="I420" s="10"/>
      <c r="J420" s="10"/>
      <c r="K420" s="10"/>
    </row>
    <row r="421">
      <c r="A421" s="10" t="str">
        <f>IFNA(VLOOKUP(pts_sub!$A421,sub!$B$2:$E1000,4,FALSE),"")</f>
        <v/>
      </c>
      <c r="B421" s="10"/>
      <c r="C421" s="10"/>
      <c r="D421" s="10" t="str">
        <f>IFNA(VLOOKUP(pts_sub!$D421,FIX!$A$2:$D1000,4, FALSE),"")</f>
        <v/>
      </c>
      <c r="E421" s="10"/>
      <c r="F421" s="10"/>
      <c r="G421" s="10"/>
      <c r="H421" s="10"/>
      <c r="I421" s="10"/>
      <c r="J421" s="10"/>
      <c r="K421" s="10"/>
    </row>
    <row r="422">
      <c r="A422" s="10" t="str">
        <f>IFNA(VLOOKUP(pts_sub!$A422,sub!$B$2:$E1000,4,FALSE),"")</f>
        <v/>
      </c>
      <c r="B422" s="10"/>
      <c r="C422" s="10"/>
      <c r="D422" s="10" t="str">
        <f>IFNA(VLOOKUP(pts_sub!$D422,FIX!$A$2:$D1000,4, FALSE),"")</f>
        <v/>
      </c>
      <c r="E422" s="10"/>
      <c r="F422" s="10"/>
      <c r="G422" s="10"/>
      <c r="H422" s="10"/>
      <c r="I422" s="10"/>
      <c r="J422" s="10"/>
      <c r="K422" s="10"/>
    </row>
    <row r="423">
      <c r="A423" s="10" t="str">
        <f>IFNA(VLOOKUP(pts_sub!$A423,sub!$B$2:$E1000,4,FALSE),"")</f>
        <v/>
      </c>
      <c r="B423" s="10"/>
      <c r="C423" s="10"/>
      <c r="D423" s="10" t="str">
        <f>IFNA(VLOOKUP(pts_sub!$D423,FIX!$A$2:$D1000,4, FALSE),"")</f>
        <v/>
      </c>
      <c r="E423" s="10"/>
      <c r="F423" s="10"/>
      <c r="G423" s="10"/>
      <c r="H423" s="10"/>
      <c r="I423" s="10"/>
      <c r="J423" s="10"/>
      <c r="K423" s="10"/>
    </row>
    <row r="424">
      <c r="A424" s="10" t="str">
        <f>IFNA(VLOOKUP(pts_sub!$A424,sub!$B$2:$E1000,4,FALSE),"")</f>
        <v/>
      </c>
      <c r="B424" s="10"/>
      <c r="C424" s="10"/>
      <c r="D424" s="10" t="str">
        <f>IFNA(VLOOKUP(pts_sub!$D424,FIX!$A$2:$D1000,4, FALSE),"")</f>
        <v/>
      </c>
      <c r="E424" s="10"/>
      <c r="F424" s="10"/>
      <c r="G424" s="10"/>
      <c r="H424" s="10"/>
      <c r="I424" s="10"/>
      <c r="J424" s="10"/>
      <c r="K424" s="10"/>
    </row>
    <row r="425">
      <c r="A425" s="10" t="str">
        <f>IFNA(VLOOKUP(pts_sub!$A425,sub!$B$2:$E1000,4,FALSE),"")</f>
        <v/>
      </c>
      <c r="B425" s="10"/>
      <c r="C425" s="10"/>
      <c r="D425" s="10" t="str">
        <f>IFNA(VLOOKUP(pts_sub!$D425,FIX!$A$2:$D1000,4, FALSE),"")</f>
        <v/>
      </c>
      <c r="E425" s="10"/>
      <c r="F425" s="10"/>
      <c r="G425" s="10"/>
      <c r="H425" s="10"/>
      <c r="I425" s="10"/>
      <c r="J425" s="10"/>
      <c r="K425" s="10"/>
    </row>
    <row r="426">
      <c r="A426" s="10" t="str">
        <f>IFNA(VLOOKUP(pts_sub!$A426,sub!$B$2:$E1000,4,FALSE),"")</f>
        <v/>
      </c>
      <c r="B426" s="10"/>
      <c r="C426" s="10"/>
      <c r="D426" s="10" t="str">
        <f>IFNA(VLOOKUP(pts_sub!$D426,FIX!$A$2:$D1000,4, FALSE),"")</f>
        <v/>
      </c>
      <c r="E426" s="10"/>
      <c r="F426" s="10"/>
      <c r="G426" s="10"/>
      <c r="H426" s="10"/>
      <c r="I426" s="10"/>
      <c r="J426" s="10"/>
      <c r="K426" s="10"/>
    </row>
    <row r="427">
      <c r="A427" s="10" t="str">
        <f>IFNA(VLOOKUP(pts_sub!$A427,sub!$B$2:$E1000,4,FALSE),"")</f>
        <v/>
      </c>
      <c r="B427" s="10"/>
      <c r="C427" s="10"/>
      <c r="D427" s="10" t="str">
        <f>IFNA(VLOOKUP(pts_sub!$D427,FIX!$A$2:$D1000,4, FALSE),"")</f>
        <v/>
      </c>
      <c r="E427" s="10"/>
      <c r="F427" s="10"/>
      <c r="G427" s="10"/>
      <c r="H427" s="10"/>
      <c r="I427" s="10"/>
      <c r="J427" s="10"/>
      <c r="K427" s="10"/>
    </row>
    <row r="428">
      <c r="A428" s="10" t="str">
        <f>IFNA(VLOOKUP(pts_sub!$A428,sub!$B$2:$E1000,4,FALSE),"")</f>
        <v/>
      </c>
      <c r="B428" s="10"/>
      <c r="C428" s="10"/>
      <c r="D428" s="10" t="str">
        <f>IFNA(VLOOKUP(pts_sub!$D428,FIX!$A$2:$D1000,4, FALSE),"")</f>
        <v/>
      </c>
      <c r="E428" s="10"/>
      <c r="F428" s="10"/>
      <c r="G428" s="10"/>
      <c r="H428" s="10"/>
      <c r="I428" s="10"/>
      <c r="J428" s="10"/>
      <c r="K428" s="10"/>
    </row>
    <row r="429">
      <c r="A429" s="10" t="str">
        <f>IFNA(VLOOKUP(pts_sub!$A429,sub!$B$2:$E1000,4,FALSE),"")</f>
        <v/>
      </c>
      <c r="B429" s="10"/>
      <c r="C429" s="10"/>
      <c r="D429" s="10" t="str">
        <f>IFNA(VLOOKUP(pts_sub!$D429,FIX!$A$2:$D1000,4, FALSE),"")</f>
        <v/>
      </c>
      <c r="E429" s="10"/>
      <c r="F429" s="10"/>
      <c r="G429" s="10"/>
      <c r="H429" s="10"/>
      <c r="I429" s="10"/>
      <c r="J429" s="10"/>
      <c r="K429" s="10"/>
    </row>
    <row r="430">
      <c r="A430" s="10" t="str">
        <f>IFNA(VLOOKUP(pts_sub!$A430,sub!$B$2:$E1000,4,FALSE),"")</f>
        <v/>
      </c>
      <c r="B430" s="10"/>
      <c r="C430" s="10"/>
      <c r="D430" s="10" t="str">
        <f>IFNA(VLOOKUP(pts_sub!$D430,FIX!$A$2:$D1000,4, FALSE),"")</f>
        <v/>
      </c>
      <c r="E430" s="10"/>
      <c r="F430" s="10"/>
      <c r="G430" s="10"/>
      <c r="H430" s="10"/>
      <c r="I430" s="10"/>
      <c r="J430" s="10"/>
      <c r="K430" s="10"/>
    </row>
    <row r="431">
      <c r="A431" s="10" t="str">
        <f>IFNA(VLOOKUP(pts_sub!$A431,sub!$B$2:$E1000,4,FALSE),"")</f>
        <v/>
      </c>
      <c r="B431" s="10"/>
      <c r="C431" s="10"/>
      <c r="D431" s="10" t="str">
        <f>IFNA(VLOOKUP(pts_sub!$D431,FIX!$A$2:$D1000,4, FALSE),"")</f>
        <v/>
      </c>
      <c r="E431" s="10"/>
      <c r="F431" s="10"/>
      <c r="G431" s="10"/>
      <c r="H431" s="10"/>
      <c r="I431" s="10"/>
      <c r="J431" s="10"/>
      <c r="K431" s="10"/>
    </row>
    <row r="432">
      <c r="A432" s="10" t="str">
        <f>IFNA(VLOOKUP(pts_sub!$A432,sub!$B$2:$E1000,4,FALSE),"")</f>
        <v/>
      </c>
      <c r="B432" s="10"/>
      <c r="C432" s="10"/>
      <c r="D432" s="10" t="str">
        <f>IFNA(VLOOKUP(pts_sub!$D432,FIX!$A$2:$D1000,4, FALSE),"")</f>
        <v/>
      </c>
      <c r="E432" s="10"/>
      <c r="F432" s="10"/>
      <c r="G432" s="10"/>
      <c r="H432" s="10"/>
      <c r="I432" s="10"/>
      <c r="J432" s="10"/>
      <c r="K432" s="10"/>
    </row>
    <row r="433">
      <c r="A433" s="10" t="str">
        <f>IFNA(VLOOKUP(pts_sub!$A433,sub!$B$2:$E1000,4,FALSE),"")</f>
        <v/>
      </c>
      <c r="B433" s="10"/>
      <c r="C433" s="10"/>
      <c r="D433" s="10" t="str">
        <f>IFNA(VLOOKUP(pts_sub!$D433,FIX!$A$2:$D1000,4, FALSE),"")</f>
        <v/>
      </c>
      <c r="E433" s="10"/>
      <c r="F433" s="10"/>
      <c r="G433" s="10"/>
      <c r="H433" s="10"/>
      <c r="I433" s="10"/>
      <c r="J433" s="10"/>
      <c r="K433" s="10"/>
    </row>
    <row r="434">
      <c r="A434" s="10" t="str">
        <f>IFNA(VLOOKUP(pts_sub!$A434,sub!$B$2:$E1000,4,FALSE),"")</f>
        <v/>
      </c>
      <c r="B434" s="10"/>
      <c r="C434" s="10"/>
      <c r="D434" s="10" t="str">
        <f>IFNA(VLOOKUP(pts_sub!$D434,FIX!$A$2:$D1000,4, FALSE),"")</f>
        <v/>
      </c>
      <c r="E434" s="10"/>
      <c r="F434" s="10"/>
      <c r="G434" s="10"/>
      <c r="H434" s="10"/>
      <c r="I434" s="10"/>
      <c r="J434" s="10"/>
      <c r="K434" s="10"/>
    </row>
    <row r="435">
      <c r="A435" s="10" t="str">
        <f>IFNA(VLOOKUP(pts_sub!$A435,sub!$B$2:$E1000,4,FALSE),"")</f>
        <v/>
      </c>
      <c r="B435" s="10"/>
      <c r="C435" s="10"/>
      <c r="D435" s="10" t="str">
        <f>IFNA(VLOOKUP(pts_sub!$D435,FIX!$A$2:$D1000,4, FALSE),"")</f>
        <v/>
      </c>
      <c r="E435" s="10"/>
      <c r="F435" s="10"/>
      <c r="G435" s="10"/>
      <c r="H435" s="10"/>
      <c r="I435" s="10"/>
      <c r="J435" s="10"/>
      <c r="K435" s="10"/>
    </row>
    <row r="436">
      <c r="A436" s="10" t="str">
        <f>IFNA(VLOOKUP(pts_sub!$A436,sub!$B$2:$E1000,4,FALSE),"")</f>
        <v/>
      </c>
      <c r="B436" s="10"/>
      <c r="C436" s="10"/>
      <c r="D436" s="10" t="str">
        <f>IFNA(VLOOKUP(pts_sub!$D436,FIX!$A$2:$D1000,4, FALSE),"")</f>
        <v/>
      </c>
      <c r="E436" s="10"/>
      <c r="F436" s="10"/>
      <c r="G436" s="10"/>
      <c r="H436" s="10"/>
      <c r="I436" s="10"/>
      <c r="J436" s="10"/>
      <c r="K436" s="10"/>
    </row>
    <row r="437">
      <c r="A437" s="10" t="str">
        <f>IFNA(VLOOKUP(pts_sub!$A437,sub!$B$2:$E1000,4,FALSE),"")</f>
        <v/>
      </c>
      <c r="B437" s="10"/>
      <c r="C437" s="10"/>
      <c r="D437" s="10" t="str">
        <f>IFNA(VLOOKUP(pts_sub!$D437,FIX!$A$2:$D1000,4, FALSE),"")</f>
        <v/>
      </c>
      <c r="E437" s="10"/>
      <c r="F437" s="10"/>
      <c r="G437" s="10"/>
      <c r="H437" s="10"/>
      <c r="I437" s="10"/>
      <c r="J437" s="10"/>
      <c r="K437" s="10"/>
    </row>
    <row r="438">
      <c r="A438" s="10" t="str">
        <f>IFNA(VLOOKUP(pts_sub!$A438,sub!$B$2:$E1000,4,FALSE),"")</f>
        <v/>
      </c>
      <c r="B438" s="10"/>
      <c r="C438" s="10"/>
      <c r="D438" s="10" t="str">
        <f>IFNA(VLOOKUP(pts_sub!$D438,FIX!$A$2:$D1000,4, FALSE),"")</f>
        <v/>
      </c>
      <c r="E438" s="10"/>
      <c r="F438" s="10"/>
      <c r="G438" s="10"/>
      <c r="H438" s="10"/>
      <c r="I438" s="10"/>
      <c r="J438" s="10"/>
      <c r="K438" s="10"/>
    </row>
    <row r="439">
      <c r="A439" s="10" t="str">
        <f>IFNA(VLOOKUP(pts_sub!$A439,sub!$B$2:$E1000,4,FALSE),"")</f>
        <v/>
      </c>
      <c r="B439" s="10"/>
      <c r="C439" s="10"/>
      <c r="D439" s="10" t="str">
        <f>IFNA(VLOOKUP(pts_sub!$D439,FIX!$A$2:$D1000,4, FALSE),"")</f>
        <v/>
      </c>
      <c r="E439" s="10"/>
      <c r="F439" s="10"/>
      <c r="G439" s="10"/>
      <c r="H439" s="10"/>
      <c r="I439" s="10"/>
      <c r="J439" s="10"/>
      <c r="K439" s="10"/>
    </row>
    <row r="440">
      <c r="A440" s="10" t="str">
        <f>IFNA(VLOOKUP(pts_sub!$A440,sub!$B$2:$E1000,4,FALSE),"")</f>
        <v/>
      </c>
      <c r="B440" s="10"/>
      <c r="C440" s="10"/>
      <c r="D440" s="10" t="str">
        <f>IFNA(VLOOKUP(pts_sub!$D440,FIX!$A$2:$D1000,4, FALSE),"")</f>
        <v/>
      </c>
      <c r="E440" s="10"/>
      <c r="F440" s="10"/>
      <c r="G440" s="10"/>
      <c r="H440" s="10"/>
      <c r="I440" s="10"/>
      <c r="J440" s="10"/>
      <c r="K440" s="10"/>
    </row>
    <row r="441">
      <c r="A441" s="10" t="str">
        <f>IFNA(VLOOKUP(pts_sub!$A441,sub!$B$2:$E1000,4,FALSE),"")</f>
        <v/>
      </c>
      <c r="B441" s="10"/>
      <c r="C441" s="10"/>
      <c r="D441" s="10" t="str">
        <f>IFNA(VLOOKUP(pts_sub!$D441,FIX!$A$2:$D1000,4, FALSE),"")</f>
        <v/>
      </c>
      <c r="E441" s="10"/>
      <c r="F441" s="10"/>
      <c r="G441" s="10"/>
      <c r="H441" s="10"/>
      <c r="I441" s="10"/>
      <c r="J441" s="10"/>
      <c r="K441" s="10"/>
    </row>
    <row r="442">
      <c r="A442" s="10" t="str">
        <f>IFNA(VLOOKUP(pts_sub!$A442,sub!$B$2:$E1000,4,FALSE),"")</f>
        <v/>
      </c>
      <c r="B442" s="10"/>
      <c r="C442" s="10"/>
      <c r="D442" s="10" t="str">
        <f>IFNA(VLOOKUP(pts_sub!$D442,FIX!$A$2:$D1000,4, FALSE),"")</f>
        <v/>
      </c>
      <c r="E442" s="10"/>
      <c r="F442" s="10"/>
      <c r="G442" s="10"/>
      <c r="H442" s="10"/>
      <c r="I442" s="10"/>
      <c r="J442" s="10"/>
      <c r="K442" s="10"/>
    </row>
    <row r="443">
      <c r="A443" s="10" t="str">
        <f>IFNA(VLOOKUP(pts_sub!$A443,sub!$B$2:$E1000,4,FALSE),"")</f>
        <v/>
      </c>
      <c r="B443" s="10"/>
      <c r="C443" s="10"/>
      <c r="D443" s="10" t="str">
        <f>IFNA(VLOOKUP(pts_sub!$D443,FIX!$A$2:$D1000,4, FALSE),"")</f>
        <v/>
      </c>
      <c r="E443" s="10"/>
      <c r="F443" s="10"/>
      <c r="G443" s="10"/>
      <c r="H443" s="10"/>
      <c r="I443" s="10"/>
      <c r="J443" s="10"/>
      <c r="K443" s="10"/>
    </row>
    <row r="444">
      <c r="A444" s="10" t="str">
        <f>IFNA(VLOOKUP(pts_sub!$A444,sub!$B$2:$E1000,4,FALSE),"")</f>
        <v/>
      </c>
      <c r="B444" s="10"/>
      <c r="C444" s="10"/>
      <c r="D444" s="10" t="str">
        <f>IFNA(VLOOKUP(pts_sub!$D444,FIX!$A$2:$D1000,4, FALSE),"")</f>
        <v/>
      </c>
      <c r="E444" s="10"/>
      <c r="F444" s="10"/>
      <c r="G444" s="10"/>
      <c r="H444" s="10"/>
      <c r="I444" s="10"/>
      <c r="J444" s="10"/>
      <c r="K444" s="10"/>
    </row>
    <row r="445">
      <c r="A445" s="10" t="str">
        <f>IFNA(VLOOKUP(pts_sub!$A445,sub!$B$2:$E1000,4,FALSE),"")</f>
        <v/>
      </c>
      <c r="B445" s="10"/>
      <c r="C445" s="10"/>
      <c r="D445" s="10" t="str">
        <f>IFNA(VLOOKUP(pts_sub!$D445,FIX!$A$2:$D1000,4, FALSE),"")</f>
        <v/>
      </c>
      <c r="E445" s="10"/>
      <c r="F445" s="10"/>
      <c r="G445" s="10"/>
      <c r="H445" s="10"/>
      <c r="I445" s="10"/>
      <c r="J445" s="10"/>
      <c r="K445" s="10"/>
    </row>
    <row r="446">
      <c r="A446" s="10" t="str">
        <f>IFNA(VLOOKUP(pts_sub!$A446,sub!$B$2:$E1000,4,FALSE),"")</f>
        <v/>
      </c>
      <c r="B446" s="10"/>
      <c r="C446" s="10"/>
      <c r="D446" s="10" t="str">
        <f>IFNA(VLOOKUP(pts_sub!$D446,FIX!$A$2:$D1000,4, FALSE),"")</f>
        <v/>
      </c>
      <c r="E446" s="10"/>
      <c r="F446" s="10"/>
      <c r="G446" s="10"/>
      <c r="H446" s="10"/>
      <c r="I446" s="10"/>
      <c r="J446" s="10"/>
      <c r="K446" s="10"/>
    </row>
    <row r="447">
      <c r="A447" s="10" t="str">
        <f>IFNA(VLOOKUP(pts_sub!$A447,sub!$B$2:$E1000,4,FALSE),"")</f>
        <v/>
      </c>
      <c r="B447" s="10"/>
      <c r="C447" s="10"/>
      <c r="D447" s="10" t="str">
        <f>IFNA(VLOOKUP(pts_sub!$D447,FIX!$A$2:$D1000,4, FALSE),"")</f>
        <v/>
      </c>
      <c r="E447" s="10"/>
      <c r="F447" s="10"/>
      <c r="G447" s="10"/>
      <c r="H447" s="10"/>
      <c r="I447" s="10"/>
      <c r="J447" s="10"/>
      <c r="K447" s="10"/>
    </row>
    <row r="448">
      <c r="A448" s="10" t="str">
        <f>IFNA(VLOOKUP(pts_sub!$A448,sub!$B$2:$E1000,4,FALSE),"")</f>
        <v/>
      </c>
      <c r="B448" s="10"/>
      <c r="C448" s="10"/>
      <c r="D448" s="10" t="str">
        <f>IFNA(VLOOKUP(pts_sub!$D448,FIX!$A$2:$D1000,4, FALSE),"")</f>
        <v/>
      </c>
      <c r="E448" s="10"/>
      <c r="F448" s="10"/>
      <c r="G448" s="10"/>
      <c r="H448" s="10"/>
      <c r="I448" s="10"/>
      <c r="J448" s="10"/>
      <c r="K448" s="10"/>
    </row>
    <row r="449">
      <c r="A449" s="10" t="str">
        <f>IFNA(VLOOKUP(pts_sub!$A449,sub!$B$2:$E1000,4,FALSE),"")</f>
        <v/>
      </c>
      <c r="B449" s="10"/>
      <c r="C449" s="10"/>
      <c r="D449" s="10" t="str">
        <f>IFNA(VLOOKUP(pts_sub!$D449,FIX!$A$2:$D1000,4, FALSE),"")</f>
        <v/>
      </c>
      <c r="E449" s="10"/>
      <c r="F449" s="10"/>
      <c r="G449" s="10"/>
      <c r="H449" s="10"/>
      <c r="I449" s="10"/>
      <c r="J449" s="10"/>
      <c r="K449" s="10"/>
    </row>
    <row r="450">
      <c r="A450" s="10" t="str">
        <f>IFNA(VLOOKUP(pts_sub!$A450,sub!$B$2:$E1000,4,FALSE),"")</f>
        <v/>
      </c>
      <c r="B450" s="10"/>
      <c r="C450" s="10"/>
      <c r="D450" s="10" t="str">
        <f>IFNA(VLOOKUP(pts_sub!$D450,FIX!$A$2:$D1000,4, FALSE),"")</f>
        <v/>
      </c>
      <c r="E450" s="10"/>
      <c r="F450" s="10"/>
      <c r="G450" s="10"/>
      <c r="H450" s="10"/>
      <c r="I450" s="10"/>
      <c r="J450" s="10"/>
      <c r="K450" s="10"/>
    </row>
    <row r="451">
      <c r="A451" s="10" t="str">
        <f>IFNA(VLOOKUP(pts_sub!$A451,sub!$B$2:$E1000,4,FALSE),"")</f>
        <v/>
      </c>
      <c r="B451" s="10"/>
      <c r="C451" s="10"/>
      <c r="D451" s="10" t="str">
        <f>IFNA(VLOOKUP(pts_sub!$D451,FIX!$A$2:$D1000,4, FALSE),"")</f>
        <v/>
      </c>
      <c r="E451" s="10"/>
      <c r="F451" s="10"/>
      <c r="G451" s="10"/>
      <c r="H451" s="10"/>
      <c r="I451" s="10"/>
      <c r="J451" s="10"/>
      <c r="K451" s="10"/>
    </row>
    <row r="452">
      <c r="A452" s="10" t="str">
        <f>IFNA(VLOOKUP(pts_sub!$A452,sub!$B$2:$E1000,4,FALSE),"")</f>
        <v/>
      </c>
      <c r="B452" s="10"/>
      <c r="C452" s="10"/>
      <c r="D452" s="10" t="str">
        <f>IFNA(VLOOKUP(pts_sub!$D452,FIX!$A$2:$D1000,4, FALSE),"")</f>
        <v/>
      </c>
      <c r="E452" s="10"/>
      <c r="F452" s="10"/>
      <c r="G452" s="10"/>
      <c r="H452" s="10"/>
      <c r="I452" s="10"/>
      <c r="J452" s="10"/>
      <c r="K452" s="10"/>
    </row>
    <row r="453">
      <c r="A453" s="10" t="str">
        <f>IFNA(VLOOKUP(pts_sub!$A453,sub!$B$2:$E1000,4,FALSE),"")</f>
        <v/>
      </c>
      <c r="B453" s="10"/>
      <c r="C453" s="10"/>
      <c r="D453" s="10" t="str">
        <f>IFNA(VLOOKUP(pts_sub!$D453,FIX!$A$2:$D1000,4, FALSE),"")</f>
        <v/>
      </c>
      <c r="E453" s="10"/>
      <c r="F453" s="10"/>
      <c r="G453" s="10"/>
      <c r="H453" s="10"/>
      <c r="I453" s="10"/>
      <c r="J453" s="10"/>
      <c r="K453" s="10"/>
    </row>
    <row r="454">
      <c r="A454" s="10" t="str">
        <f>IFNA(VLOOKUP(pts_sub!$A454,sub!$B$2:$E1000,4,FALSE),"")</f>
        <v/>
      </c>
      <c r="B454" s="10"/>
      <c r="C454" s="10"/>
      <c r="D454" s="10" t="str">
        <f>IFNA(VLOOKUP(pts_sub!$D454,FIX!$A$2:$D1000,4, FALSE),"")</f>
        <v/>
      </c>
      <c r="E454" s="10"/>
      <c r="F454" s="10"/>
      <c r="G454" s="10"/>
      <c r="H454" s="10"/>
      <c r="I454" s="10"/>
      <c r="J454" s="10"/>
      <c r="K454" s="10"/>
    </row>
    <row r="455">
      <c r="A455" s="10" t="str">
        <f>IFNA(VLOOKUP(pts_sub!$A455,sub!$B$2:$E1000,4,FALSE),"")</f>
        <v/>
      </c>
      <c r="B455" s="10"/>
      <c r="C455" s="10"/>
      <c r="D455" s="10" t="str">
        <f>IFNA(VLOOKUP(pts_sub!$D455,FIX!$A$2:$D1000,4, FALSE),"")</f>
        <v/>
      </c>
      <c r="E455" s="10"/>
      <c r="F455" s="10"/>
      <c r="G455" s="10"/>
      <c r="H455" s="10"/>
      <c r="I455" s="10"/>
      <c r="J455" s="10"/>
      <c r="K455" s="10"/>
    </row>
    <row r="456">
      <c r="A456" s="10" t="str">
        <f>IFNA(VLOOKUP(pts_sub!$A456,sub!$B$2:$E1000,4,FALSE),"")</f>
        <v/>
      </c>
      <c r="B456" s="10"/>
      <c r="C456" s="10"/>
      <c r="D456" s="10" t="str">
        <f>IFNA(VLOOKUP(pts_sub!$D456,FIX!$A$2:$D1000,4, FALSE),"")</f>
        <v/>
      </c>
      <c r="E456" s="10"/>
      <c r="F456" s="10"/>
      <c r="G456" s="10"/>
      <c r="H456" s="10"/>
      <c r="I456" s="10"/>
      <c r="J456" s="10"/>
      <c r="K456" s="10"/>
    </row>
    <row r="457">
      <c r="A457" s="10" t="str">
        <f>IFNA(VLOOKUP(pts_sub!$A457,sub!$B$2:$E1000,4,FALSE),"")</f>
        <v/>
      </c>
      <c r="B457" s="10"/>
      <c r="C457" s="10"/>
      <c r="D457" s="10" t="str">
        <f>IFNA(VLOOKUP(pts_sub!$D457,FIX!$A$2:$D1000,4, FALSE),"")</f>
        <v/>
      </c>
      <c r="E457" s="10"/>
      <c r="F457" s="10"/>
      <c r="G457" s="10"/>
      <c r="H457" s="10"/>
      <c r="I457" s="10"/>
      <c r="J457" s="10"/>
      <c r="K457" s="10"/>
    </row>
    <row r="458">
      <c r="A458" s="10" t="str">
        <f>IFNA(VLOOKUP(pts_sub!$A458,sub!$B$2:$E1000,4,FALSE),"")</f>
        <v/>
      </c>
      <c r="B458" s="10"/>
      <c r="C458" s="10"/>
      <c r="D458" s="10" t="str">
        <f>IFNA(VLOOKUP(pts_sub!$D458,FIX!$A$2:$D1000,4, FALSE),"")</f>
        <v/>
      </c>
      <c r="E458" s="10"/>
      <c r="F458" s="10"/>
      <c r="G458" s="10"/>
      <c r="H458" s="10"/>
      <c r="I458" s="10"/>
      <c r="J458" s="10"/>
      <c r="K458" s="10"/>
    </row>
    <row r="459">
      <c r="A459" s="10" t="str">
        <f>IFNA(VLOOKUP(pts_sub!$A459,sub!$B$2:$E1000,4,FALSE),"")</f>
        <v/>
      </c>
      <c r="B459" s="10"/>
      <c r="C459" s="10"/>
      <c r="D459" s="10" t="str">
        <f>IFNA(VLOOKUP(pts_sub!$D459,FIX!$A$2:$D1000,4, FALSE),"")</f>
        <v/>
      </c>
      <c r="E459" s="10"/>
      <c r="F459" s="10"/>
      <c r="G459" s="10"/>
      <c r="H459" s="10"/>
      <c r="I459" s="10"/>
      <c r="J459" s="10"/>
      <c r="K459" s="10"/>
    </row>
    <row r="460">
      <c r="A460" s="10" t="str">
        <f>IFNA(VLOOKUP(pts_sub!$A460,sub!$B$2:$E1000,4,FALSE),"")</f>
        <v/>
      </c>
      <c r="B460" s="10"/>
      <c r="C460" s="10"/>
      <c r="D460" s="10" t="str">
        <f>IFNA(VLOOKUP(pts_sub!$D460,FIX!$A$2:$D1000,4, FALSE),"")</f>
        <v/>
      </c>
      <c r="E460" s="10"/>
      <c r="F460" s="10"/>
      <c r="G460" s="10"/>
      <c r="H460" s="10"/>
      <c r="I460" s="10"/>
      <c r="J460" s="10"/>
      <c r="K460" s="10"/>
    </row>
    <row r="461">
      <c r="A461" s="10" t="str">
        <f>IFNA(VLOOKUP(pts_sub!$A461,sub!$B$2:$E1000,4,FALSE),"")</f>
        <v/>
      </c>
      <c r="B461" s="10"/>
      <c r="C461" s="10"/>
      <c r="D461" s="10" t="str">
        <f>IFNA(VLOOKUP(pts_sub!$D461,FIX!$A$2:$D1000,4, FALSE),"")</f>
        <v/>
      </c>
      <c r="E461" s="10"/>
      <c r="F461" s="10"/>
      <c r="G461" s="10"/>
      <c r="H461" s="10"/>
      <c r="I461" s="10"/>
      <c r="J461" s="10"/>
      <c r="K461" s="10"/>
    </row>
    <row r="462">
      <c r="A462" s="10" t="str">
        <f>IFNA(VLOOKUP(pts_sub!$A462,sub!$B$2:$E1000,4,FALSE),"")</f>
        <v/>
      </c>
      <c r="B462" s="10"/>
      <c r="C462" s="10"/>
      <c r="D462" s="10" t="str">
        <f>IFNA(VLOOKUP(pts_sub!$D462,FIX!$A$2:$D1000,4, FALSE),"")</f>
        <v/>
      </c>
      <c r="E462" s="10"/>
      <c r="F462" s="10"/>
      <c r="G462" s="10"/>
      <c r="H462" s="10"/>
      <c r="I462" s="10"/>
      <c r="J462" s="10"/>
      <c r="K462" s="10"/>
    </row>
    <row r="463">
      <c r="A463" s="10" t="str">
        <f>IFNA(VLOOKUP(pts_sub!$A463,sub!$B$2:$E1000,4,FALSE),"")</f>
        <v/>
      </c>
      <c r="B463" s="10"/>
      <c r="C463" s="10"/>
      <c r="D463" s="10" t="str">
        <f>IFNA(VLOOKUP(pts_sub!$D463,FIX!$A$2:$D1000,4, FALSE),"")</f>
        <v/>
      </c>
      <c r="E463" s="10"/>
      <c r="F463" s="10"/>
      <c r="G463" s="10"/>
      <c r="H463" s="10"/>
      <c r="I463" s="10"/>
      <c r="J463" s="10"/>
      <c r="K463" s="10"/>
    </row>
    <row r="464">
      <c r="A464" s="10" t="str">
        <f>IFNA(VLOOKUP(pts_sub!$A464,sub!$B$2:$E1000,4,FALSE),"")</f>
        <v/>
      </c>
      <c r="B464" s="10"/>
      <c r="C464" s="10"/>
      <c r="D464" s="10" t="str">
        <f>IFNA(VLOOKUP(pts_sub!$D464,FIX!$A$2:$D1000,4, FALSE),"")</f>
        <v/>
      </c>
      <c r="E464" s="10"/>
      <c r="F464" s="10"/>
      <c r="G464" s="10"/>
      <c r="H464" s="10"/>
      <c r="I464" s="10"/>
      <c r="J464" s="10"/>
      <c r="K464" s="10"/>
    </row>
    <row r="465">
      <c r="A465" s="10" t="str">
        <f>IFNA(VLOOKUP(pts_sub!$A465,sub!$B$2:$E1000,4,FALSE),"")</f>
        <v/>
      </c>
      <c r="B465" s="10"/>
      <c r="C465" s="10"/>
      <c r="D465" s="10" t="str">
        <f>IFNA(VLOOKUP(pts_sub!$D465,FIX!$A$2:$D1000,4, FALSE),"")</f>
        <v/>
      </c>
      <c r="E465" s="10"/>
      <c r="F465" s="10"/>
      <c r="G465" s="10"/>
      <c r="H465" s="10"/>
      <c r="I465" s="10"/>
      <c r="J465" s="10"/>
      <c r="K465" s="10"/>
    </row>
    <row r="466">
      <c r="A466" s="10" t="str">
        <f>IFNA(VLOOKUP(pts_sub!$A466,sub!$B$2:$E1000,4,FALSE),"")</f>
        <v/>
      </c>
      <c r="B466" s="10"/>
      <c r="C466" s="10"/>
      <c r="D466" s="10" t="str">
        <f>IFNA(VLOOKUP(pts_sub!$D466,FIX!$A$2:$D1000,4, FALSE),"")</f>
        <v/>
      </c>
      <c r="E466" s="10"/>
      <c r="F466" s="10"/>
      <c r="G466" s="10"/>
      <c r="H466" s="10"/>
      <c r="I466" s="10"/>
      <c r="J466" s="10"/>
      <c r="K466" s="10"/>
    </row>
    <row r="467">
      <c r="A467" s="10" t="str">
        <f>IFNA(VLOOKUP(pts_sub!$A467,sub!$B$2:$E1000,4,FALSE),"")</f>
        <v/>
      </c>
      <c r="B467" s="10"/>
      <c r="C467" s="10"/>
      <c r="D467" s="10" t="str">
        <f>IFNA(VLOOKUP(pts_sub!$D467,FIX!$A$2:$D1000,4, FALSE),"")</f>
        <v/>
      </c>
      <c r="E467" s="10"/>
      <c r="F467" s="10"/>
      <c r="G467" s="10"/>
      <c r="H467" s="10"/>
      <c r="I467" s="10"/>
      <c r="J467" s="10"/>
      <c r="K467" s="10"/>
    </row>
    <row r="468">
      <c r="A468" s="10" t="str">
        <f>IFNA(VLOOKUP(pts_sub!$A468,sub!$B$2:$E1000,4,FALSE),"")</f>
        <v/>
      </c>
      <c r="B468" s="10"/>
      <c r="C468" s="10"/>
      <c r="D468" s="10" t="str">
        <f>IFNA(VLOOKUP(pts_sub!$D468,FIX!$A$2:$D1000,4, FALSE),"")</f>
        <v/>
      </c>
      <c r="E468" s="10"/>
      <c r="F468" s="10"/>
      <c r="G468" s="10"/>
      <c r="H468" s="10"/>
      <c r="I468" s="10"/>
      <c r="J468" s="10"/>
      <c r="K468" s="10"/>
    </row>
    <row r="469">
      <c r="A469" s="10" t="str">
        <f>IFNA(VLOOKUP(pts_sub!$A469,sub!$B$2:$E1000,4,FALSE),"")</f>
        <v/>
      </c>
      <c r="B469" s="10"/>
      <c r="C469" s="10"/>
      <c r="D469" s="10" t="str">
        <f>IFNA(VLOOKUP(pts_sub!$D469,FIX!$A$2:$D1000,4, FALSE),"")</f>
        <v/>
      </c>
      <c r="E469" s="10"/>
      <c r="F469" s="10"/>
      <c r="G469" s="10"/>
      <c r="H469" s="10"/>
      <c r="I469" s="10"/>
      <c r="J469" s="10"/>
      <c r="K469" s="10"/>
    </row>
    <row r="470">
      <c r="A470" s="10" t="str">
        <f>IFNA(VLOOKUP(pts_sub!$A470,sub!$B$2:$E1000,4,FALSE),"")</f>
        <v/>
      </c>
      <c r="B470" s="10"/>
      <c r="C470" s="10"/>
      <c r="D470" s="10" t="str">
        <f>IFNA(VLOOKUP(pts_sub!$D470,FIX!$A$2:$D1000,4, FALSE),"")</f>
        <v/>
      </c>
      <c r="E470" s="10"/>
      <c r="F470" s="10"/>
      <c r="G470" s="10"/>
      <c r="H470" s="10"/>
      <c r="I470" s="10"/>
      <c r="J470" s="10"/>
      <c r="K470" s="10"/>
    </row>
    <row r="471">
      <c r="A471" s="10" t="str">
        <f>IFNA(VLOOKUP(pts_sub!$A471,sub!$B$2:$E1000,4,FALSE),"")</f>
        <v/>
      </c>
      <c r="B471" s="10"/>
      <c r="C471" s="10"/>
      <c r="D471" s="10" t="str">
        <f>IFNA(VLOOKUP(pts_sub!$D471,FIX!$A$2:$D1000,4, FALSE),"")</f>
        <v/>
      </c>
      <c r="E471" s="10"/>
      <c r="F471" s="10"/>
      <c r="G471" s="10"/>
      <c r="H471" s="10"/>
      <c r="I471" s="10"/>
      <c r="J471" s="10"/>
      <c r="K471" s="10"/>
    </row>
    <row r="472">
      <c r="A472" s="10" t="str">
        <f>IFNA(VLOOKUP(pts_sub!$A472,sub!$B$2:$E1000,4,FALSE),"")</f>
        <v/>
      </c>
      <c r="B472" s="10"/>
      <c r="C472" s="10"/>
      <c r="D472" s="10" t="str">
        <f>IFNA(VLOOKUP(pts_sub!$D472,FIX!$A$2:$D1000,4, FALSE),"")</f>
        <v/>
      </c>
      <c r="E472" s="10"/>
      <c r="F472" s="10"/>
      <c r="G472" s="10"/>
      <c r="H472" s="10"/>
      <c r="I472" s="10"/>
      <c r="J472" s="10"/>
      <c r="K472" s="10"/>
    </row>
    <row r="473">
      <c r="A473" s="10" t="str">
        <f>IFNA(VLOOKUP(pts_sub!$A473,sub!$B$2:$E1000,4,FALSE),"")</f>
        <v/>
      </c>
      <c r="B473" s="10"/>
      <c r="C473" s="10"/>
      <c r="D473" s="10" t="str">
        <f>IFNA(VLOOKUP(pts_sub!$D473,FIX!$A$2:$D1000,4, FALSE),"")</f>
        <v/>
      </c>
      <c r="E473" s="10"/>
      <c r="F473" s="10"/>
      <c r="G473" s="10"/>
      <c r="H473" s="10"/>
      <c r="I473" s="10"/>
      <c r="J473" s="10"/>
      <c r="K473" s="10"/>
    </row>
    <row r="474">
      <c r="A474" s="10" t="str">
        <f>IFNA(VLOOKUP(pts_sub!$A474,sub!$B$2:$E1000,4,FALSE),"")</f>
        <v/>
      </c>
      <c r="B474" s="10"/>
      <c r="C474" s="10"/>
      <c r="D474" s="10" t="str">
        <f>IFNA(VLOOKUP(pts_sub!$D474,FIX!$A$2:$D1000,4, FALSE),"")</f>
        <v/>
      </c>
      <c r="E474" s="10"/>
      <c r="F474" s="10"/>
      <c r="G474" s="10"/>
      <c r="H474" s="10"/>
      <c r="I474" s="10"/>
      <c r="J474" s="10"/>
      <c r="K474" s="10"/>
    </row>
    <row r="475">
      <c r="A475" s="10" t="str">
        <f>IFNA(VLOOKUP(pts_sub!$A475,sub!$B$2:$E1000,4,FALSE),"")</f>
        <v/>
      </c>
      <c r="B475" s="10"/>
      <c r="C475" s="10"/>
      <c r="D475" s="10" t="str">
        <f>IFNA(VLOOKUP(pts_sub!$D475,FIX!$A$2:$D1000,4, FALSE),"")</f>
        <v/>
      </c>
      <c r="E475" s="10"/>
      <c r="F475" s="10"/>
      <c r="G475" s="10"/>
      <c r="H475" s="10"/>
      <c r="I475" s="10"/>
      <c r="J475" s="10"/>
      <c r="K475" s="10"/>
    </row>
    <row r="476">
      <c r="A476" s="10" t="str">
        <f>IFNA(VLOOKUP(pts_sub!$A476,sub!$B$2:$E1000,4,FALSE),"")</f>
        <v/>
      </c>
      <c r="B476" s="10"/>
      <c r="C476" s="10"/>
      <c r="D476" s="10" t="str">
        <f>IFNA(VLOOKUP(pts_sub!$D476,FIX!$A$2:$D1000,4, FALSE),"")</f>
        <v/>
      </c>
      <c r="E476" s="10"/>
      <c r="F476" s="10"/>
      <c r="G476" s="10"/>
      <c r="H476" s="10"/>
      <c r="I476" s="10"/>
      <c r="J476" s="10"/>
      <c r="K476" s="10"/>
    </row>
    <row r="477">
      <c r="A477" s="10" t="str">
        <f>IFNA(VLOOKUP(pts_sub!$A477,sub!$B$2:$E1000,4,FALSE),"")</f>
        <v/>
      </c>
      <c r="B477" s="10"/>
      <c r="C477" s="10"/>
      <c r="D477" s="10" t="str">
        <f>IFNA(VLOOKUP(pts_sub!$D477,FIX!$A$2:$D1000,4, FALSE),"")</f>
        <v/>
      </c>
      <c r="E477" s="10"/>
      <c r="F477" s="10"/>
      <c r="G477" s="10"/>
      <c r="H477" s="10"/>
      <c r="I477" s="10"/>
      <c r="J477" s="10"/>
      <c r="K477" s="10"/>
    </row>
    <row r="478">
      <c r="A478" s="10" t="str">
        <f>IFNA(VLOOKUP(pts_sub!$A478,sub!$B$2:$E1000,4,FALSE),"")</f>
        <v/>
      </c>
      <c r="B478" s="10"/>
      <c r="C478" s="10"/>
      <c r="D478" s="10" t="str">
        <f>IFNA(VLOOKUP(pts_sub!$D478,FIX!$A$2:$D1000,4, FALSE),"")</f>
        <v/>
      </c>
      <c r="E478" s="10"/>
      <c r="F478" s="10"/>
      <c r="G478" s="10"/>
      <c r="H478" s="10"/>
      <c r="I478" s="10"/>
      <c r="J478" s="10"/>
      <c r="K478" s="10"/>
    </row>
    <row r="479">
      <c r="A479" s="10" t="str">
        <f>IFNA(VLOOKUP(pts_sub!$A479,sub!$B$2:$E1000,4,FALSE),"")</f>
        <v/>
      </c>
      <c r="B479" s="10"/>
      <c r="C479" s="10"/>
      <c r="D479" s="10" t="str">
        <f>IFNA(VLOOKUP(pts_sub!$D479,FIX!$A$2:$D1000,4, FALSE),"")</f>
        <v/>
      </c>
      <c r="E479" s="10"/>
      <c r="F479" s="10"/>
      <c r="G479" s="10"/>
      <c r="H479" s="10"/>
      <c r="I479" s="10"/>
      <c r="J479" s="10"/>
      <c r="K479" s="10"/>
    </row>
    <row r="480">
      <c r="A480" s="10" t="str">
        <f>IFNA(VLOOKUP(pts_sub!$A480,sub!$B$2:$E1000,4,FALSE),"")</f>
        <v/>
      </c>
      <c r="B480" s="10"/>
      <c r="C480" s="10"/>
      <c r="D480" s="10" t="str">
        <f>IFNA(VLOOKUP(pts_sub!$D480,FIX!$A$2:$D1000,4, FALSE),"")</f>
        <v/>
      </c>
      <c r="E480" s="10"/>
      <c r="F480" s="10"/>
      <c r="G480" s="10"/>
      <c r="H480" s="10"/>
      <c r="I480" s="10"/>
      <c r="J480" s="10"/>
      <c r="K480" s="10"/>
    </row>
    <row r="481">
      <c r="A481" s="10" t="str">
        <f>IFNA(VLOOKUP(pts_sub!$A481,sub!$B$2:$E1000,4,FALSE),"")</f>
        <v/>
      </c>
      <c r="B481" s="10"/>
      <c r="C481" s="10"/>
      <c r="D481" s="10" t="str">
        <f>IFNA(VLOOKUP(pts_sub!$D481,FIX!$A$2:$D1000,4, FALSE),"")</f>
        <v/>
      </c>
      <c r="E481" s="10"/>
      <c r="F481" s="10"/>
      <c r="G481" s="10"/>
      <c r="H481" s="10"/>
      <c r="I481" s="10"/>
      <c r="J481" s="10"/>
      <c r="K481" s="10"/>
    </row>
    <row r="482">
      <c r="A482" s="10" t="str">
        <f>IFNA(VLOOKUP(pts_sub!$A482,sub!$B$2:$E1000,4,FALSE),"")</f>
        <v/>
      </c>
      <c r="B482" s="10"/>
      <c r="C482" s="10"/>
      <c r="D482" s="10" t="str">
        <f>IFNA(VLOOKUP(pts_sub!$D482,FIX!$A$2:$D1000,4, FALSE),"")</f>
        <v/>
      </c>
      <c r="E482" s="10"/>
      <c r="F482" s="10"/>
      <c r="G482" s="10"/>
      <c r="H482" s="10"/>
      <c r="I482" s="10"/>
      <c r="J482" s="10"/>
      <c r="K482" s="10"/>
    </row>
    <row r="483">
      <c r="A483" s="10" t="str">
        <f>IFNA(VLOOKUP(pts_sub!$A483,sub!$B$2:$E1000,4,FALSE),"")</f>
        <v/>
      </c>
      <c r="B483" s="10"/>
      <c r="C483" s="10"/>
      <c r="D483" s="10" t="str">
        <f>IFNA(VLOOKUP(pts_sub!$D483,FIX!$A$2:$D1000,4, FALSE),"")</f>
        <v/>
      </c>
      <c r="E483" s="10"/>
      <c r="F483" s="10"/>
      <c r="G483" s="10"/>
      <c r="H483" s="10"/>
      <c r="I483" s="10"/>
      <c r="J483" s="10"/>
      <c r="K483" s="10"/>
    </row>
    <row r="484">
      <c r="A484" s="10" t="str">
        <f>IFNA(VLOOKUP(pts_sub!$A484,sub!$B$2:$E1000,4,FALSE),"")</f>
        <v/>
      </c>
      <c r="B484" s="10"/>
      <c r="C484" s="10"/>
      <c r="D484" s="10" t="str">
        <f>IFNA(VLOOKUP(pts_sub!$D484,FIX!$A$2:$D1000,4, FALSE),"")</f>
        <v/>
      </c>
      <c r="E484" s="10"/>
      <c r="F484" s="10"/>
      <c r="G484" s="10"/>
      <c r="H484" s="10"/>
      <c r="I484" s="10"/>
      <c r="J484" s="10"/>
      <c r="K484" s="10"/>
    </row>
    <row r="485">
      <c r="A485" s="10" t="str">
        <f>IFNA(VLOOKUP(pts_sub!$A485,sub!$B$2:$E1000,4,FALSE),"")</f>
        <v/>
      </c>
      <c r="B485" s="10"/>
      <c r="C485" s="10"/>
      <c r="D485" s="10" t="str">
        <f>IFNA(VLOOKUP(pts_sub!$D485,FIX!$A$2:$D1000,4, FALSE),"")</f>
        <v/>
      </c>
      <c r="E485" s="10"/>
      <c r="F485" s="10"/>
      <c r="G485" s="10"/>
      <c r="H485" s="10"/>
      <c r="I485" s="10"/>
      <c r="J485" s="10"/>
      <c r="K485" s="10"/>
    </row>
    <row r="486">
      <c r="A486" s="10" t="str">
        <f>IFNA(VLOOKUP(pts_sub!$A486,sub!$B$2:$E1000,4,FALSE),"")</f>
        <v/>
      </c>
      <c r="B486" s="10"/>
      <c r="C486" s="10"/>
      <c r="D486" s="10" t="str">
        <f>IFNA(VLOOKUP(pts_sub!$D486,FIX!$A$2:$D1000,4, FALSE),"")</f>
        <v/>
      </c>
      <c r="E486" s="10"/>
      <c r="F486" s="10"/>
      <c r="G486" s="10"/>
      <c r="H486" s="10"/>
      <c r="I486" s="10"/>
      <c r="J486" s="10"/>
      <c r="K486" s="10"/>
    </row>
    <row r="487">
      <c r="A487" s="10" t="str">
        <f>IFNA(VLOOKUP(pts_sub!$A487,sub!$B$2:$E1000,4,FALSE),"")</f>
        <v/>
      </c>
      <c r="B487" s="10"/>
      <c r="C487" s="10"/>
      <c r="D487" s="10" t="str">
        <f>IFNA(VLOOKUP(pts_sub!$D487,FIX!$A$2:$D1000,4, FALSE),"")</f>
        <v/>
      </c>
      <c r="E487" s="10"/>
      <c r="F487" s="10"/>
      <c r="G487" s="10"/>
      <c r="H487" s="10"/>
      <c r="I487" s="10"/>
      <c r="J487" s="10"/>
      <c r="K487" s="10"/>
    </row>
    <row r="488">
      <c r="A488" s="10" t="str">
        <f>IFNA(VLOOKUP(pts_sub!$A488,sub!$B$2:$E1000,4,FALSE),"")</f>
        <v/>
      </c>
      <c r="B488" s="10"/>
      <c r="C488" s="10"/>
      <c r="D488" s="10" t="str">
        <f>IFNA(VLOOKUP(pts_sub!$D488,FIX!$A$2:$D1000,4, FALSE),"")</f>
        <v/>
      </c>
      <c r="E488" s="10"/>
      <c r="F488" s="10"/>
      <c r="G488" s="10"/>
      <c r="H488" s="10"/>
      <c r="I488" s="10"/>
      <c r="J488" s="10"/>
      <c r="K488" s="10"/>
    </row>
    <row r="489">
      <c r="A489" s="10" t="str">
        <f>IFNA(VLOOKUP(pts_sub!$A489,sub!$B$2:$E1000,4,FALSE),"")</f>
        <v/>
      </c>
      <c r="B489" s="10"/>
      <c r="C489" s="10"/>
      <c r="D489" s="10" t="str">
        <f>IFNA(VLOOKUP(pts_sub!$D489,FIX!$A$2:$D1000,4, FALSE),"")</f>
        <v/>
      </c>
      <c r="E489" s="10"/>
      <c r="F489" s="10"/>
      <c r="G489" s="10"/>
      <c r="H489" s="10"/>
      <c r="I489" s="10"/>
      <c r="J489" s="10"/>
      <c r="K489" s="10"/>
    </row>
    <row r="490">
      <c r="A490" s="10" t="str">
        <f>IFNA(VLOOKUP(pts_sub!$A490,sub!$B$2:$E1000,4,FALSE),"")</f>
        <v/>
      </c>
      <c r="B490" s="10"/>
      <c r="C490" s="10"/>
      <c r="D490" s="10" t="str">
        <f>IFNA(VLOOKUP(pts_sub!$D490,FIX!$A$2:$D1000,4, FALSE),"")</f>
        <v/>
      </c>
      <c r="E490" s="10"/>
      <c r="F490" s="10"/>
      <c r="G490" s="10"/>
      <c r="H490" s="10"/>
      <c r="I490" s="10"/>
      <c r="J490" s="10"/>
      <c r="K490" s="10"/>
    </row>
    <row r="491">
      <c r="A491" s="10" t="str">
        <f>IFNA(VLOOKUP(pts_sub!$A491,sub!$B$2:$E1000,4,FALSE),"")</f>
        <v/>
      </c>
      <c r="B491" s="10"/>
      <c r="C491" s="10"/>
      <c r="D491" s="10" t="str">
        <f>IFNA(VLOOKUP(pts_sub!$D491,FIX!$A$2:$D1000,4, FALSE),"")</f>
        <v/>
      </c>
      <c r="E491" s="10"/>
      <c r="F491" s="10"/>
      <c r="G491" s="10"/>
      <c r="H491" s="10"/>
      <c r="I491" s="10"/>
      <c r="J491" s="10"/>
      <c r="K491" s="10"/>
    </row>
    <row r="492">
      <c r="A492" s="10" t="str">
        <f>IFNA(VLOOKUP(pts_sub!$A492,sub!$B$2:$E1000,4,FALSE),"")</f>
        <v/>
      </c>
      <c r="B492" s="10"/>
      <c r="C492" s="10"/>
      <c r="D492" s="10" t="str">
        <f>IFNA(VLOOKUP(pts_sub!$D492,FIX!$A$2:$D1000,4, FALSE),"")</f>
        <v/>
      </c>
      <c r="E492" s="10"/>
      <c r="F492" s="10"/>
      <c r="G492" s="10"/>
      <c r="H492" s="10"/>
      <c r="I492" s="10"/>
      <c r="J492" s="10"/>
      <c r="K492" s="10"/>
    </row>
    <row r="493">
      <c r="A493" s="10" t="str">
        <f>IFNA(VLOOKUP(pts_sub!$A493,sub!$B$2:$E1000,4,FALSE),"")</f>
        <v/>
      </c>
      <c r="B493" s="10"/>
      <c r="C493" s="10"/>
      <c r="D493" s="10" t="str">
        <f>IFNA(VLOOKUP(pts_sub!$D493,FIX!$A$2:$D1000,4, FALSE),"")</f>
        <v/>
      </c>
      <c r="E493" s="10"/>
      <c r="F493" s="10"/>
      <c r="G493" s="10"/>
      <c r="H493" s="10"/>
      <c r="I493" s="10"/>
      <c r="J493" s="10"/>
      <c r="K493" s="10"/>
    </row>
    <row r="494">
      <c r="A494" s="10" t="str">
        <f>IFNA(VLOOKUP(pts_sub!$A494,sub!$B$2:$E1000,4,FALSE),"")</f>
        <v/>
      </c>
      <c r="B494" s="10"/>
      <c r="C494" s="10"/>
      <c r="D494" s="10" t="str">
        <f>IFNA(VLOOKUP(pts_sub!$D494,FIX!$A$2:$D1000,4, FALSE),"")</f>
        <v/>
      </c>
      <c r="E494" s="10"/>
      <c r="F494" s="10"/>
      <c r="G494" s="10"/>
      <c r="H494" s="10"/>
      <c r="I494" s="10"/>
      <c r="J494" s="10"/>
      <c r="K494" s="10"/>
    </row>
    <row r="495">
      <c r="A495" s="10" t="str">
        <f>IFNA(VLOOKUP(pts_sub!$A495,sub!$B$2:$E1000,4,FALSE),"")</f>
        <v/>
      </c>
      <c r="B495" s="10"/>
      <c r="C495" s="10"/>
      <c r="D495" s="10" t="str">
        <f>IFNA(VLOOKUP(pts_sub!$D495,FIX!$A$2:$D1000,4, FALSE),"")</f>
        <v/>
      </c>
      <c r="E495" s="10"/>
      <c r="F495" s="10"/>
      <c r="G495" s="10"/>
      <c r="H495" s="10"/>
      <c r="I495" s="10"/>
      <c r="J495" s="10"/>
      <c r="K495" s="10"/>
    </row>
    <row r="496">
      <c r="A496" s="10" t="str">
        <f>IFNA(VLOOKUP(pts_sub!$A496,sub!$B$2:$E1000,4,FALSE),"")</f>
        <v/>
      </c>
      <c r="B496" s="10"/>
      <c r="C496" s="10"/>
      <c r="D496" s="10" t="str">
        <f>IFNA(VLOOKUP(pts_sub!$D496,FIX!$A$2:$D1000,4, FALSE),"")</f>
        <v/>
      </c>
      <c r="E496" s="10"/>
      <c r="F496" s="10"/>
      <c r="G496" s="10"/>
      <c r="H496" s="10"/>
      <c r="I496" s="10"/>
      <c r="J496" s="10"/>
      <c r="K496" s="10"/>
    </row>
    <row r="497">
      <c r="A497" s="10" t="str">
        <f>IFNA(VLOOKUP(pts_sub!$A497,sub!$B$2:$E1000,4,FALSE),"")</f>
        <v/>
      </c>
      <c r="B497" s="10"/>
      <c r="C497" s="10"/>
      <c r="D497" s="10" t="str">
        <f>IFNA(VLOOKUP(pts_sub!$D497,FIX!$A$2:$D1000,4, FALSE),"")</f>
        <v/>
      </c>
      <c r="E497" s="10"/>
      <c r="F497" s="10"/>
      <c r="G497" s="10"/>
      <c r="H497" s="10"/>
      <c r="I497" s="10"/>
      <c r="J497" s="10"/>
      <c r="K497" s="10"/>
    </row>
    <row r="498">
      <c r="A498" s="10" t="str">
        <f>IFNA(VLOOKUP(pts_sub!$A498,sub!$B$2:$E1000,4,FALSE),"")</f>
        <v/>
      </c>
      <c r="B498" s="10"/>
      <c r="C498" s="10"/>
      <c r="D498" s="10" t="str">
        <f>IFNA(VLOOKUP(pts_sub!$D498,FIX!$A$2:$D1000,4, FALSE),"")</f>
        <v/>
      </c>
      <c r="E498" s="10"/>
      <c r="F498" s="10"/>
      <c r="G498" s="10"/>
      <c r="H498" s="10"/>
      <c r="I498" s="10"/>
      <c r="J498" s="10"/>
      <c r="K498" s="10"/>
    </row>
    <row r="499">
      <c r="A499" s="10" t="str">
        <f>IFNA(VLOOKUP(pts_sub!$A499,sub!$B$2:$E1000,4,FALSE),"")</f>
        <v/>
      </c>
      <c r="B499" s="10"/>
      <c r="C499" s="10"/>
      <c r="D499" s="10" t="str">
        <f>IFNA(VLOOKUP(pts_sub!$D499,FIX!$A$2:$D1000,4, FALSE),"")</f>
        <v/>
      </c>
      <c r="E499" s="10"/>
      <c r="F499" s="10"/>
      <c r="G499" s="10"/>
      <c r="H499" s="10"/>
      <c r="I499" s="10"/>
      <c r="J499" s="10"/>
      <c r="K499" s="10"/>
    </row>
    <row r="500">
      <c r="A500" s="10" t="str">
        <f>IFNA(VLOOKUP(pts_sub!$A500,sub!$B$2:$E1000,4,FALSE),"")</f>
        <v/>
      </c>
      <c r="B500" s="10"/>
      <c r="C500" s="10"/>
      <c r="D500" s="10" t="str">
        <f>IFNA(VLOOKUP(pts_sub!$D500,FIX!$A$2:$D1000,4, FALSE),"")</f>
        <v/>
      </c>
      <c r="E500" s="10"/>
      <c r="F500" s="10"/>
      <c r="G500" s="10"/>
      <c r="H500" s="10"/>
      <c r="I500" s="10"/>
      <c r="J500" s="10"/>
      <c r="K500" s="10"/>
    </row>
    <row r="501">
      <c r="A501" s="10" t="str">
        <f>IFNA(VLOOKUP(pts_sub!$A501,sub!$B$2:$E1000,4,FALSE),"")</f>
        <v/>
      </c>
      <c r="B501" s="10"/>
      <c r="C501" s="10"/>
      <c r="D501" s="10" t="str">
        <f>IFNA(VLOOKUP(pts_sub!$D501,FIX!$A$2:$D1000,4, FALSE),"")</f>
        <v/>
      </c>
      <c r="E501" s="10"/>
      <c r="F501" s="10"/>
      <c r="G501" s="10"/>
      <c r="H501" s="10"/>
      <c r="I501" s="10"/>
      <c r="J501" s="10"/>
      <c r="K501" s="10"/>
    </row>
    <row r="502">
      <c r="A502" s="10" t="str">
        <f>IFNA(VLOOKUP(pts_sub!$A502,sub!$B$2:$E1000,4,FALSE),"")</f>
        <v/>
      </c>
      <c r="B502" s="10"/>
      <c r="C502" s="10"/>
      <c r="D502" s="10" t="str">
        <f>IFNA(VLOOKUP(pts_sub!$D502,FIX!$A$2:$D1000,4, FALSE),"")</f>
        <v/>
      </c>
      <c r="E502" s="10"/>
      <c r="F502" s="10"/>
      <c r="G502" s="10"/>
      <c r="H502" s="10"/>
      <c r="I502" s="10"/>
      <c r="J502" s="10"/>
      <c r="K502" s="10"/>
    </row>
    <row r="503">
      <c r="A503" s="10" t="str">
        <f>IFNA(VLOOKUP(pts_sub!$A503,sub!$B$2:$E1000,4,FALSE),"")</f>
        <v/>
      </c>
      <c r="B503" s="10"/>
      <c r="C503" s="10"/>
      <c r="D503" s="10" t="str">
        <f>IFNA(VLOOKUP(pts_sub!$D503,FIX!$A$2:$D1000,4, FALSE),"")</f>
        <v/>
      </c>
      <c r="E503" s="10"/>
      <c r="F503" s="10"/>
      <c r="G503" s="10"/>
      <c r="H503" s="10"/>
      <c r="I503" s="10"/>
      <c r="J503" s="10"/>
      <c r="K503" s="10"/>
    </row>
    <row r="504">
      <c r="A504" s="10" t="str">
        <f>IFNA(VLOOKUP(pts_sub!$A504,sub!$B$2:$E1000,4,FALSE),"")</f>
        <v/>
      </c>
      <c r="B504" s="10"/>
      <c r="C504" s="10"/>
      <c r="D504" s="10" t="str">
        <f>IFNA(VLOOKUP(pts_sub!$D504,FIX!$A$2:$D1000,4, FALSE),"")</f>
        <v/>
      </c>
      <c r="E504" s="10"/>
      <c r="F504" s="10"/>
      <c r="G504" s="10"/>
      <c r="H504" s="10"/>
      <c r="I504" s="10"/>
      <c r="J504" s="10"/>
      <c r="K504" s="10"/>
    </row>
    <row r="505">
      <c r="A505" s="10" t="str">
        <f>IFNA(VLOOKUP(pts_sub!$A505,sub!$B$2:$E1000,4,FALSE),"")</f>
        <v/>
      </c>
      <c r="B505" s="10"/>
      <c r="C505" s="10"/>
      <c r="D505" s="10" t="str">
        <f>IFNA(VLOOKUP(pts_sub!$D505,FIX!$A$2:$D1000,4, FALSE),"")</f>
        <v/>
      </c>
      <c r="E505" s="10"/>
      <c r="F505" s="10"/>
      <c r="G505" s="10"/>
      <c r="H505" s="10"/>
      <c r="I505" s="10"/>
      <c r="J505" s="10"/>
      <c r="K505" s="10"/>
    </row>
    <row r="506">
      <c r="A506" s="10" t="str">
        <f>IFNA(VLOOKUP(pts_sub!$A506,sub!$B$2:$E1000,4,FALSE),"")</f>
        <v/>
      </c>
      <c r="B506" s="10"/>
      <c r="C506" s="10"/>
      <c r="D506" s="10" t="str">
        <f>IFNA(VLOOKUP(pts_sub!$D506,FIX!$A$2:$D1000,4, FALSE),"")</f>
        <v/>
      </c>
      <c r="E506" s="10"/>
      <c r="F506" s="10"/>
      <c r="G506" s="10"/>
      <c r="H506" s="10"/>
      <c r="I506" s="10"/>
      <c r="J506" s="10"/>
      <c r="K506" s="10"/>
    </row>
    <row r="507">
      <c r="A507" s="10" t="str">
        <f>IFNA(VLOOKUP(pts_sub!$A507,sub!$B$2:$E1000,4,FALSE),"")</f>
        <v/>
      </c>
      <c r="B507" s="10"/>
      <c r="C507" s="10"/>
      <c r="D507" s="10" t="str">
        <f>IFNA(VLOOKUP(pts_sub!$D507,FIX!$A$2:$D1000,4, FALSE),"")</f>
        <v/>
      </c>
      <c r="E507" s="10"/>
      <c r="F507" s="10"/>
      <c r="G507" s="10"/>
      <c r="H507" s="10"/>
      <c r="I507" s="10"/>
      <c r="J507" s="10"/>
      <c r="K507" s="10"/>
    </row>
    <row r="508">
      <c r="A508" s="10" t="str">
        <f>IFNA(VLOOKUP(pts_sub!$A508,sub!$B$2:$E1000,4,FALSE),"")</f>
        <v/>
      </c>
      <c r="B508" s="10"/>
      <c r="C508" s="10"/>
      <c r="D508" s="10" t="str">
        <f>IFNA(VLOOKUP(pts_sub!$D508,FIX!$A$2:$D1000,4, FALSE),"")</f>
        <v/>
      </c>
      <c r="E508" s="10"/>
      <c r="F508" s="10"/>
      <c r="G508" s="10"/>
      <c r="H508" s="10"/>
      <c r="I508" s="10"/>
      <c r="J508" s="10"/>
      <c r="K508" s="10"/>
    </row>
    <row r="509">
      <c r="A509" s="10" t="str">
        <f>IFNA(VLOOKUP(pts_sub!$A509,sub!$B$2:$E1000,4,FALSE),"")</f>
        <v/>
      </c>
      <c r="B509" s="10"/>
      <c r="C509" s="10"/>
      <c r="D509" s="10" t="str">
        <f>IFNA(VLOOKUP(pts_sub!$D509,FIX!$A$2:$D1000,4, FALSE),"")</f>
        <v/>
      </c>
      <c r="E509" s="10"/>
      <c r="F509" s="10"/>
      <c r="G509" s="10"/>
      <c r="H509" s="10"/>
      <c r="I509" s="10"/>
      <c r="J509" s="10"/>
      <c r="K509" s="10"/>
    </row>
    <row r="510">
      <c r="A510" s="10" t="str">
        <f>IFNA(VLOOKUP(pts_sub!$A510,sub!$B$2:$E1000,4,FALSE),"")</f>
        <v/>
      </c>
      <c r="B510" s="10"/>
      <c r="C510" s="10"/>
      <c r="D510" s="10" t="str">
        <f>IFNA(VLOOKUP(pts_sub!$D510,FIX!$A$2:$D1000,4, FALSE),"")</f>
        <v/>
      </c>
      <c r="E510" s="10"/>
      <c r="F510" s="10"/>
      <c r="G510" s="10"/>
      <c r="H510" s="10"/>
      <c r="I510" s="10"/>
      <c r="J510" s="10"/>
      <c r="K510" s="10"/>
    </row>
    <row r="511">
      <c r="A511" s="10" t="str">
        <f>IFNA(VLOOKUP(pts_sub!$A511,sub!$B$2:$E1000,4,FALSE),"")</f>
        <v/>
      </c>
      <c r="B511" s="10"/>
      <c r="C511" s="10"/>
      <c r="D511" s="10" t="str">
        <f>IFNA(VLOOKUP(pts_sub!$D511,FIX!$A$2:$D1000,4, FALSE),"")</f>
        <v/>
      </c>
      <c r="E511" s="10"/>
      <c r="F511" s="10"/>
      <c r="G511" s="10"/>
      <c r="H511" s="10"/>
      <c r="I511" s="10"/>
      <c r="J511" s="10"/>
      <c r="K511" s="10"/>
    </row>
    <row r="512">
      <c r="A512" s="10" t="str">
        <f>IFNA(VLOOKUP(pts_sub!$A512,sub!$B$2:$E1000,4,FALSE),"")</f>
        <v/>
      </c>
      <c r="B512" s="10"/>
      <c r="C512" s="10"/>
      <c r="D512" s="10" t="str">
        <f>IFNA(VLOOKUP(pts_sub!$D512,FIX!$A$2:$D1000,4, FALSE),"")</f>
        <v/>
      </c>
      <c r="E512" s="10"/>
      <c r="F512" s="10"/>
      <c r="G512" s="10"/>
      <c r="H512" s="10"/>
      <c r="I512" s="10"/>
      <c r="J512" s="10"/>
      <c r="K512" s="10"/>
    </row>
    <row r="513">
      <c r="A513" s="10" t="str">
        <f>IFNA(VLOOKUP(pts_sub!$A513,sub!$B$2:$E1000,4,FALSE),"")</f>
        <v/>
      </c>
      <c r="B513" s="10"/>
      <c r="C513" s="10"/>
      <c r="D513" s="10" t="str">
        <f>IFNA(VLOOKUP(pts_sub!$D513,FIX!$A$2:$D1000,4, FALSE),"")</f>
        <v/>
      </c>
      <c r="E513" s="10"/>
      <c r="F513" s="10"/>
      <c r="G513" s="10"/>
      <c r="H513" s="10"/>
      <c r="I513" s="10"/>
      <c r="J513" s="10"/>
      <c r="K513" s="10"/>
    </row>
    <row r="514">
      <c r="A514" s="10" t="str">
        <f>IFNA(VLOOKUP(pts_sub!$A514,sub!$B$2:$E1000,4,FALSE),"")</f>
        <v/>
      </c>
      <c r="B514" s="10"/>
      <c r="C514" s="10"/>
      <c r="D514" s="10" t="str">
        <f>IFNA(VLOOKUP(pts_sub!$D514,FIX!$A$2:$D1000,4, FALSE),"")</f>
        <v/>
      </c>
      <c r="E514" s="10"/>
      <c r="F514" s="10"/>
      <c r="G514" s="10"/>
      <c r="H514" s="10"/>
      <c r="I514" s="10"/>
      <c r="J514" s="10"/>
      <c r="K514" s="10"/>
    </row>
    <row r="515">
      <c r="A515" s="10" t="str">
        <f>IFNA(VLOOKUP(pts_sub!$A515,sub!$B$2:$E1000,4,FALSE),"")</f>
        <v/>
      </c>
      <c r="B515" s="10"/>
      <c r="C515" s="10"/>
      <c r="D515" s="10" t="str">
        <f>IFNA(VLOOKUP(pts_sub!$D515,FIX!$A$2:$D1000,4, FALSE),"")</f>
        <v/>
      </c>
      <c r="E515" s="10"/>
      <c r="F515" s="10"/>
      <c r="G515" s="10"/>
      <c r="H515" s="10"/>
      <c r="I515" s="10"/>
      <c r="J515" s="10"/>
      <c r="K515" s="10"/>
    </row>
    <row r="516">
      <c r="A516" s="10" t="str">
        <f>IFNA(VLOOKUP(pts_sub!$A516,sub!$B$2:$E1000,4,FALSE),"")</f>
        <v/>
      </c>
      <c r="B516" s="10"/>
      <c r="C516" s="10"/>
      <c r="D516" s="10" t="str">
        <f>IFNA(VLOOKUP(pts_sub!$D516,FIX!$A$2:$D1000,4, FALSE),"")</f>
        <v/>
      </c>
      <c r="E516" s="10"/>
      <c r="F516" s="10"/>
      <c r="G516" s="10"/>
      <c r="H516" s="10"/>
      <c r="I516" s="10"/>
      <c r="J516" s="10"/>
      <c r="K516" s="10"/>
    </row>
    <row r="517">
      <c r="A517" s="10" t="str">
        <f>IFNA(VLOOKUP(pts_sub!$A517,sub!$B$2:$E1000,4,FALSE),"")</f>
        <v/>
      </c>
      <c r="B517" s="10"/>
      <c r="C517" s="10"/>
      <c r="D517" s="10" t="str">
        <f>IFNA(VLOOKUP(pts_sub!$D517,FIX!$A$2:$D1000,4, FALSE),"")</f>
        <v/>
      </c>
      <c r="E517" s="10"/>
      <c r="F517" s="10"/>
      <c r="G517" s="10"/>
      <c r="H517" s="10"/>
      <c r="I517" s="10"/>
      <c r="J517" s="10"/>
      <c r="K517" s="10"/>
    </row>
    <row r="518">
      <c r="A518" s="10" t="str">
        <f>IFNA(VLOOKUP(pts_sub!$A518,sub!$B$2:$E1000,4,FALSE),"")</f>
        <v/>
      </c>
      <c r="B518" s="10"/>
      <c r="C518" s="10"/>
      <c r="D518" s="10" t="str">
        <f>IFNA(VLOOKUP(pts_sub!$D518,FIX!$A$2:$D1000,4, FALSE),"")</f>
        <v/>
      </c>
      <c r="E518" s="10"/>
      <c r="F518" s="10"/>
      <c r="G518" s="10"/>
      <c r="H518" s="10"/>
      <c r="I518" s="10"/>
      <c r="J518" s="10"/>
      <c r="K518" s="10"/>
    </row>
    <row r="519">
      <c r="A519" s="10" t="str">
        <f>IFNA(VLOOKUP(pts_sub!$A519,sub!$B$2:$E1000,4,FALSE),"")</f>
        <v/>
      </c>
      <c r="B519" s="10"/>
      <c r="C519" s="10"/>
      <c r="D519" s="10" t="str">
        <f>IFNA(VLOOKUP(pts_sub!$D519,FIX!$A$2:$D1000,4, FALSE),"")</f>
        <v/>
      </c>
      <c r="E519" s="10"/>
      <c r="F519" s="10"/>
      <c r="G519" s="10"/>
      <c r="H519" s="10"/>
      <c r="I519" s="10"/>
      <c r="J519" s="10"/>
      <c r="K519" s="10"/>
    </row>
    <row r="520">
      <c r="A520" s="10" t="str">
        <f>IFNA(VLOOKUP(pts_sub!$A520,sub!$B$2:$E1000,4,FALSE),"")</f>
        <v/>
      </c>
      <c r="B520" s="10"/>
      <c r="C520" s="10"/>
      <c r="D520" s="10" t="str">
        <f>IFNA(VLOOKUP(pts_sub!$D520,FIX!$A$2:$D1000,4, FALSE),"")</f>
        <v/>
      </c>
      <c r="E520" s="10"/>
      <c r="F520" s="10"/>
      <c r="G520" s="10"/>
      <c r="H520" s="10"/>
      <c r="I520" s="10"/>
      <c r="J520" s="10"/>
      <c r="K520" s="10"/>
    </row>
    <row r="521">
      <c r="A521" s="10" t="str">
        <f>IFNA(VLOOKUP(pts_sub!$A521,sub!$B$2:$E1000,4,FALSE),"")</f>
        <v/>
      </c>
      <c r="B521" s="10"/>
      <c r="C521" s="10"/>
      <c r="D521" s="10" t="str">
        <f>IFNA(VLOOKUP(pts_sub!$D521,FIX!$A$2:$D1000,4, FALSE),"")</f>
        <v/>
      </c>
      <c r="E521" s="10"/>
      <c r="F521" s="10"/>
      <c r="G521" s="10"/>
      <c r="H521" s="10"/>
      <c r="I521" s="10"/>
      <c r="J521" s="10"/>
      <c r="K521" s="10"/>
    </row>
    <row r="522">
      <c r="A522" s="10" t="str">
        <f>IFNA(VLOOKUP(pts_sub!$A522,sub!$B$2:$E1000,4,FALSE),"")</f>
        <v/>
      </c>
      <c r="B522" s="10"/>
      <c r="C522" s="10"/>
      <c r="D522" s="10" t="str">
        <f>IFNA(VLOOKUP(pts_sub!$D522,FIX!$A$2:$D1000,4, FALSE),"")</f>
        <v/>
      </c>
      <c r="E522" s="10"/>
      <c r="F522" s="10"/>
      <c r="G522" s="10"/>
      <c r="H522" s="10"/>
      <c r="I522" s="10"/>
      <c r="J522" s="10"/>
      <c r="K522" s="10"/>
    </row>
    <row r="523">
      <c r="A523" s="10" t="str">
        <f>IFNA(VLOOKUP(pts_sub!$A523,sub!$B$2:$E1000,4,FALSE),"")</f>
        <v/>
      </c>
      <c r="B523" s="10"/>
      <c r="C523" s="10"/>
      <c r="D523" s="10" t="str">
        <f>IFNA(VLOOKUP(pts_sub!$D523,FIX!$A$2:$D1000,4, FALSE),"")</f>
        <v/>
      </c>
      <c r="E523" s="10"/>
      <c r="F523" s="10"/>
      <c r="G523" s="10"/>
      <c r="H523" s="10"/>
      <c r="I523" s="10"/>
      <c r="J523" s="10"/>
      <c r="K523" s="10"/>
    </row>
    <row r="524">
      <c r="A524" s="10" t="str">
        <f>IFNA(VLOOKUP(pts_sub!$A524,sub!$B$2:$E1000,4,FALSE),"")</f>
        <v/>
      </c>
      <c r="B524" s="10"/>
      <c r="C524" s="10"/>
      <c r="D524" s="10" t="str">
        <f>IFNA(VLOOKUP(pts_sub!$D524,FIX!$A$2:$D1000,4, FALSE),"")</f>
        <v/>
      </c>
      <c r="E524" s="10"/>
      <c r="F524" s="10"/>
      <c r="G524" s="10"/>
      <c r="H524" s="10"/>
      <c r="I524" s="10"/>
      <c r="J524" s="10"/>
      <c r="K524" s="10"/>
    </row>
    <row r="525">
      <c r="A525" s="10" t="str">
        <f>IFNA(VLOOKUP(pts_sub!$A525,sub!$B$2:$E1000,4,FALSE),"")</f>
        <v/>
      </c>
      <c r="B525" s="10"/>
      <c r="C525" s="10"/>
      <c r="D525" s="10" t="str">
        <f>IFNA(VLOOKUP(pts_sub!$D525,FIX!$A$2:$D1000,4, FALSE),"")</f>
        <v/>
      </c>
      <c r="E525" s="10"/>
      <c r="F525" s="10"/>
      <c r="G525" s="10"/>
      <c r="H525" s="10"/>
      <c r="I525" s="10"/>
      <c r="J525" s="10"/>
      <c r="K525" s="10"/>
    </row>
    <row r="526">
      <c r="A526" s="10" t="str">
        <f>IFNA(VLOOKUP(pts_sub!$A526,sub!$B$2:$E1000,4,FALSE),"")</f>
        <v/>
      </c>
      <c r="B526" s="10"/>
      <c r="C526" s="10"/>
      <c r="D526" s="10" t="str">
        <f>IFNA(VLOOKUP(pts_sub!$D526,FIX!$A$2:$D1000,4, FALSE),"")</f>
        <v/>
      </c>
      <c r="E526" s="10"/>
      <c r="F526" s="10"/>
      <c r="G526" s="10"/>
      <c r="H526" s="10"/>
      <c r="I526" s="10"/>
      <c r="J526" s="10"/>
      <c r="K526" s="10"/>
    </row>
    <row r="527">
      <c r="A527" s="10" t="str">
        <f>IFNA(VLOOKUP(pts_sub!$A527,sub!$B$2:$E1000,4,FALSE),"")</f>
        <v/>
      </c>
      <c r="B527" s="10"/>
      <c r="C527" s="10"/>
      <c r="D527" s="10" t="str">
        <f>IFNA(VLOOKUP(pts_sub!$D527,FIX!$A$2:$D1000,4, FALSE),"")</f>
        <v/>
      </c>
      <c r="E527" s="10"/>
      <c r="F527" s="10"/>
      <c r="G527" s="10"/>
      <c r="H527" s="10"/>
      <c r="I527" s="10"/>
      <c r="J527" s="10"/>
      <c r="K527" s="10"/>
    </row>
    <row r="528">
      <c r="A528" s="10" t="str">
        <f>IFNA(VLOOKUP(pts_sub!$A528,sub!$B$2:$E1000,4,FALSE),"")</f>
        <v/>
      </c>
      <c r="B528" s="10"/>
      <c r="C528" s="10"/>
      <c r="D528" s="10" t="str">
        <f>IFNA(VLOOKUP(pts_sub!$D528,FIX!$A$2:$D1000,4, FALSE),"")</f>
        <v/>
      </c>
      <c r="E528" s="10"/>
      <c r="F528" s="10"/>
      <c r="G528" s="10"/>
      <c r="H528" s="10"/>
      <c r="I528" s="10"/>
      <c r="J528" s="10"/>
      <c r="K528" s="10"/>
    </row>
    <row r="529">
      <c r="A529" s="10" t="str">
        <f>IFNA(VLOOKUP(pts_sub!$A529,sub!$B$2:$E1000,4,FALSE),"")</f>
        <v/>
      </c>
      <c r="B529" s="10"/>
      <c r="C529" s="10"/>
      <c r="D529" s="10" t="str">
        <f>IFNA(VLOOKUP(pts_sub!$D529,FIX!$A$2:$D1000,4, FALSE),"")</f>
        <v/>
      </c>
      <c r="E529" s="10"/>
      <c r="F529" s="10"/>
      <c r="G529" s="10"/>
      <c r="H529" s="10"/>
      <c r="I529" s="10"/>
      <c r="J529" s="10"/>
      <c r="K529" s="10"/>
    </row>
    <row r="530">
      <c r="A530" s="10" t="str">
        <f>IFNA(VLOOKUP(pts_sub!$A530,sub!$B$2:$E1000,4,FALSE),"")</f>
        <v/>
      </c>
      <c r="B530" s="10"/>
      <c r="C530" s="10"/>
      <c r="D530" s="10" t="str">
        <f>IFNA(VLOOKUP(pts_sub!$D530,FIX!$A$2:$D1000,4, FALSE),"")</f>
        <v/>
      </c>
      <c r="E530" s="10"/>
      <c r="F530" s="10"/>
      <c r="G530" s="10"/>
      <c r="H530" s="10"/>
      <c r="I530" s="10"/>
      <c r="J530" s="10"/>
      <c r="K530" s="10"/>
    </row>
    <row r="531">
      <c r="A531" s="10" t="str">
        <f>IFNA(VLOOKUP(pts_sub!$A531,sub!$B$2:$E1000,4,FALSE),"")</f>
        <v/>
      </c>
      <c r="B531" s="10"/>
      <c r="C531" s="10"/>
      <c r="D531" s="10" t="str">
        <f>IFNA(VLOOKUP(pts_sub!$D531,FIX!$A$2:$D1000,4, FALSE),"")</f>
        <v/>
      </c>
      <c r="E531" s="10"/>
      <c r="F531" s="10"/>
      <c r="G531" s="10"/>
      <c r="H531" s="10"/>
      <c r="I531" s="10"/>
      <c r="J531" s="10"/>
      <c r="K531" s="10"/>
    </row>
    <row r="532">
      <c r="A532" s="10" t="str">
        <f>IFNA(VLOOKUP(pts_sub!$A532,sub!$B$2:$E1000,4,FALSE),"")</f>
        <v/>
      </c>
      <c r="B532" s="10"/>
      <c r="C532" s="10"/>
      <c r="D532" s="10" t="str">
        <f>IFNA(VLOOKUP(pts_sub!$D532,FIX!$A$2:$D1000,4, FALSE),"")</f>
        <v/>
      </c>
      <c r="E532" s="10"/>
      <c r="F532" s="10"/>
      <c r="G532" s="10"/>
      <c r="H532" s="10"/>
      <c r="I532" s="10"/>
      <c r="J532" s="10"/>
      <c r="K532" s="10"/>
    </row>
    <row r="533">
      <c r="A533" s="10" t="str">
        <f>IFNA(VLOOKUP(pts_sub!$A533,sub!$B$2:$E1000,4,FALSE),"")</f>
        <v/>
      </c>
      <c r="B533" s="10"/>
      <c r="C533" s="10"/>
      <c r="D533" s="10" t="str">
        <f>IFNA(VLOOKUP(pts_sub!$D533,FIX!$A$2:$D1000,4, FALSE),"")</f>
        <v/>
      </c>
      <c r="E533" s="10"/>
      <c r="F533" s="10"/>
      <c r="G533" s="10"/>
      <c r="H533" s="10"/>
      <c r="I533" s="10"/>
      <c r="J533" s="10"/>
      <c r="K533" s="10"/>
    </row>
    <row r="534">
      <c r="A534" s="10" t="str">
        <f>IFNA(VLOOKUP(pts_sub!$A534,sub!$B$2:$E1000,4,FALSE),"")</f>
        <v/>
      </c>
      <c r="B534" s="10"/>
      <c r="C534" s="10"/>
      <c r="D534" s="10" t="str">
        <f>IFNA(VLOOKUP(pts_sub!$D534,FIX!$A$2:$D1000,4, FALSE),"")</f>
        <v/>
      </c>
      <c r="E534" s="10"/>
      <c r="F534" s="10"/>
      <c r="G534" s="10"/>
      <c r="H534" s="10"/>
      <c r="I534" s="10"/>
      <c r="J534" s="10"/>
      <c r="K534" s="10"/>
    </row>
    <row r="535">
      <c r="A535" s="10" t="str">
        <f>IFNA(VLOOKUP(pts_sub!$A535,sub!$B$2:$E1000,4,FALSE),"")</f>
        <v/>
      </c>
      <c r="B535" s="10"/>
      <c r="C535" s="10"/>
      <c r="D535" s="10" t="str">
        <f>IFNA(VLOOKUP(pts_sub!$D535,FIX!$A$2:$D1000,4, FALSE),"")</f>
        <v/>
      </c>
      <c r="E535" s="10"/>
      <c r="F535" s="10"/>
      <c r="G535" s="10"/>
      <c r="H535" s="10"/>
      <c r="I535" s="10"/>
      <c r="J535" s="10"/>
      <c r="K535" s="10"/>
    </row>
    <row r="536">
      <c r="A536" s="10" t="str">
        <f>IFNA(VLOOKUP(pts_sub!$A536,sub!$B$2:$E1000,4,FALSE),"")</f>
        <v/>
      </c>
      <c r="B536" s="10"/>
      <c r="C536" s="10"/>
      <c r="D536" s="10" t="str">
        <f>IFNA(VLOOKUP(pts_sub!$D536,FIX!$A$2:$D1000,4, FALSE),"")</f>
        <v/>
      </c>
      <c r="E536" s="10"/>
      <c r="F536" s="10"/>
      <c r="G536" s="10"/>
      <c r="H536" s="10"/>
      <c r="I536" s="10"/>
      <c r="J536" s="10"/>
      <c r="K536" s="10"/>
    </row>
    <row r="537">
      <c r="A537" s="10" t="str">
        <f>IFNA(VLOOKUP(pts_sub!$A537,sub!$B$2:$E1000,4,FALSE),"")</f>
        <v/>
      </c>
      <c r="B537" s="10"/>
      <c r="C537" s="10"/>
      <c r="D537" s="10" t="str">
        <f>IFNA(VLOOKUP(pts_sub!$D537,FIX!$A$2:$D1000,4, FALSE),"")</f>
        <v/>
      </c>
      <c r="E537" s="10"/>
      <c r="F537" s="10"/>
      <c r="G537" s="10"/>
      <c r="H537" s="10"/>
      <c r="I537" s="10"/>
      <c r="J537" s="10"/>
      <c r="K537" s="10"/>
    </row>
    <row r="538">
      <c r="A538" s="10" t="str">
        <f>IFNA(VLOOKUP(pts_sub!$A538,sub!$B$2:$E1000,4,FALSE),"")</f>
        <v/>
      </c>
      <c r="B538" s="10"/>
      <c r="C538" s="10"/>
      <c r="D538" s="10" t="str">
        <f>IFNA(VLOOKUP(pts_sub!$D538,FIX!$A$2:$D1000,4, FALSE),"")</f>
        <v/>
      </c>
      <c r="E538" s="10"/>
      <c r="F538" s="10"/>
      <c r="G538" s="10"/>
      <c r="H538" s="10"/>
      <c r="I538" s="10"/>
      <c r="J538" s="10"/>
      <c r="K538" s="10"/>
    </row>
    <row r="539">
      <c r="A539" s="10" t="str">
        <f>IFNA(VLOOKUP(pts_sub!$A539,sub!$B$2:$E1000,4,FALSE),"")</f>
        <v/>
      </c>
      <c r="B539" s="10"/>
      <c r="C539" s="10"/>
      <c r="D539" s="10" t="str">
        <f>IFNA(VLOOKUP(pts_sub!$D539,FIX!$A$2:$D1000,4, FALSE),"")</f>
        <v/>
      </c>
      <c r="E539" s="10"/>
      <c r="F539" s="10"/>
      <c r="G539" s="10"/>
      <c r="H539" s="10"/>
      <c r="I539" s="10"/>
      <c r="J539" s="10"/>
      <c r="K539" s="10"/>
    </row>
    <row r="540">
      <c r="A540" s="10" t="str">
        <f>IFNA(VLOOKUP(pts_sub!$A540,sub!$B$2:$E1000,4,FALSE),"")</f>
        <v/>
      </c>
      <c r="B540" s="10"/>
      <c r="C540" s="10"/>
      <c r="D540" s="10" t="str">
        <f>IFNA(VLOOKUP(pts_sub!$D540,FIX!$A$2:$D1000,4, FALSE),"")</f>
        <v/>
      </c>
      <c r="E540" s="10"/>
      <c r="F540" s="10"/>
      <c r="G540" s="10"/>
      <c r="H540" s="10"/>
      <c r="I540" s="10"/>
      <c r="J540" s="10"/>
      <c r="K540" s="10"/>
    </row>
    <row r="541">
      <c r="A541" s="10" t="str">
        <f>IFNA(VLOOKUP(pts_sub!$A541,sub!$B$2:$E1000,4,FALSE),"")</f>
        <v/>
      </c>
      <c r="B541" s="10"/>
      <c r="C541" s="10"/>
      <c r="D541" s="10" t="str">
        <f>IFNA(VLOOKUP(pts_sub!$D541,FIX!$A$2:$D1000,4, FALSE),"")</f>
        <v/>
      </c>
      <c r="E541" s="10"/>
      <c r="F541" s="10"/>
      <c r="G541" s="10"/>
      <c r="H541" s="10"/>
      <c r="I541" s="10"/>
      <c r="J541" s="10"/>
      <c r="K541" s="10"/>
    </row>
    <row r="542">
      <c r="A542" s="10" t="str">
        <f>IFNA(VLOOKUP(pts_sub!$A542,sub!$B$2:$E1000,4,FALSE),"")</f>
        <v/>
      </c>
      <c r="B542" s="10"/>
      <c r="C542" s="10"/>
      <c r="D542" s="10" t="str">
        <f>IFNA(VLOOKUP(pts_sub!$D542,FIX!$A$2:$D1000,4, FALSE),"")</f>
        <v/>
      </c>
      <c r="E542" s="10"/>
      <c r="F542" s="10"/>
      <c r="G542" s="10"/>
      <c r="H542" s="10"/>
      <c r="I542" s="10"/>
      <c r="J542" s="10"/>
      <c r="K542" s="10"/>
    </row>
    <row r="543">
      <c r="A543" s="10" t="str">
        <f>IFNA(VLOOKUP(pts_sub!$A543,sub!$B$2:$E1000,4,FALSE),"")</f>
        <v/>
      </c>
      <c r="B543" s="10"/>
      <c r="C543" s="10"/>
      <c r="D543" s="10" t="str">
        <f>IFNA(VLOOKUP(pts_sub!$D543,FIX!$A$2:$D1000,4, FALSE),"")</f>
        <v/>
      </c>
      <c r="E543" s="10"/>
      <c r="F543" s="10"/>
      <c r="G543" s="10"/>
      <c r="H543" s="10"/>
      <c r="I543" s="10"/>
      <c r="J543" s="10"/>
      <c r="K543" s="10"/>
    </row>
    <row r="544">
      <c r="A544" s="10" t="str">
        <f>IFNA(VLOOKUP(pts_sub!$A544,sub!$B$2:$E1000,4,FALSE),"")</f>
        <v/>
      </c>
      <c r="B544" s="10"/>
      <c r="C544" s="10"/>
      <c r="D544" s="10" t="str">
        <f>IFNA(VLOOKUP(pts_sub!$D544,FIX!$A$2:$D1000,4, FALSE),"")</f>
        <v/>
      </c>
      <c r="E544" s="10"/>
      <c r="F544" s="10"/>
      <c r="G544" s="10"/>
      <c r="H544" s="10"/>
      <c r="I544" s="10"/>
      <c r="J544" s="10"/>
      <c r="K544" s="10"/>
    </row>
    <row r="545">
      <c r="A545" s="10" t="str">
        <f>IFNA(VLOOKUP(pts_sub!$A545,sub!$B$2:$E1000,4,FALSE),"")</f>
        <v/>
      </c>
      <c r="B545" s="10"/>
      <c r="C545" s="10"/>
      <c r="D545" s="10" t="str">
        <f>IFNA(VLOOKUP(pts_sub!$D545,FIX!$A$2:$D1000,4, FALSE),"")</f>
        <v/>
      </c>
      <c r="E545" s="10"/>
      <c r="F545" s="10"/>
      <c r="G545" s="10"/>
      <c r="H545" s="10"/>
      <c r="I545" s="10"/>
      <c r="J545" s="10"/>
      <c r="K545" s="10"/>
    </row>
    <row r="546">
      <c r="A546" s="10" t="str">
        <f>IFNA(VLOOKUP(pts_sub!$A546,sub!$B$2:$E1000,4,FALSE),"")</f>
        <v/>
      </c>
      <c r="B546" s="10"/>
      <c r="C546" s="10"/>
      <c r="D546" s="10" t="str">
        <f>IFNA(VLOOKUP(pts_sub!$D546,FIX!$A$2:$D1000,4, FALSE),"")</f>
        <v/>
      </c>
      <c r="E546" s="10"/>
      <c r="F546" s="10"/>
      <c r="G546" s="10"/>
      <c r="H546" s="10"/>
      <c r="I546" s="10"/>
      <c r="J546" s="10"/>
      <c r="K546" s="10"/>
    </row>
    <row r="547">
      <c r="A547" s="10" t="str">
        <f>IFNA(VLOOKUP(pts_sub!$A547,sub!$B$2:$E1000,4,FALSE),"")</f>
        <v/>
      </c>
      <c r="B547" s="10"/>
      <c r="C547" s="10"/>
      <c r="D547" s="10" t="str">
        <f>IFNA(VLOOKUP(pts_sub!$D547,FIX!$A$2:$D1000,4, FALSE),"")</f>
        <v/>
      </c>
      <c r="E547" s="10"/>
      <c r="F547" s="10"/>
      <c r="G547" s="10"/>
      <c r="H547" s="10"/>
      <c r="I547" s="10"/>
      <c r="J547" s="10"/>
      <c r="K547" s="10"/>
    </row>
    <row r="548">
      <c r="A548" s="10" t="str">
        <f>IFNA(VLOOKUP(pts_sub!$A548,sub!$B$2:$E1000,4,FALSE),"")</f>
        <v/>
      </c>
      <c r="B548" s="10"/>
      <c r="C548" s="10"/>
      <c r="D548" s="10" t="str">
        <f>IFNA(VLOOKUP(pts_sub!$D548,FIX!$A$2:$D1000,4, FALSE),"")</f>
        <v/>
      </c>
      <c r="E548" s="10"/>
      <c r="F548" s="10"/>
      <c r="G548" s="10"/>
      <c r="H548" s="10"/>
      <c r="I548" s="10"/>
      <c r="J548" s="10"/>
      <c r="K548" s="10"/>
    </row>
    <row r="549">
      <c r="A549" s="10" t="str">
        <f>IFNA(VLOOKUP(pts_sub!$A549,sub!$B$2:$E1000,4,FALSE),"")</f>
        <v/>
      </c>
      <c r="B549" s="10"/>
      <c r="C549" s="10"/>
      <c r="D549" s="10" t="str">
        <f>IFNA(VLOOKUP(pts_sub!$D549,FIX!$A$2:$D1000,4, FALSE),"")</f>
        <v/>
      </c>
      <c r="E549" s="10"/>
      <c r="F549" s="10"/>
      <c r="G549" s="10"/>
      <c r="H549" s="10"/>
      <c r="I549" s="10"/>
      <c r="J549" s="10"/>
      <c r="K549" s="10"/>
    </row>
    <row r="550">
      <c r="A550" s="10" t="str">
        <f>IFNA(VLOOKUP(pts_sub!$A550,sub!$B$2:$E1000,4,FALSE),"")</f>
        <v/>
      </c>
      <c r="B550" s="10"/>
      <c r="C550" s="10"/>
      <c r="D550" s="10" t="str">
        <f>IFNA(VLOOKUP(pts_sub!$D550,FIX!$A$2:$D1000,4, FALSE),"")</f>
        <v/>
      </c>
      <c r="E550" s="10"/>
      <c r="F550" s="10"/>
      <c r="G550" s="10"/>
      <c r="H550" s="10"/>
      <c r="I550" s="10"/>
      <c r="J550" s="10"/>
      <c r="K550" s="10"/>
    </row>
    <row r="551">
      <c r="A551" s="10" t="str">
        <f>IFNA(VLOOKUP(pts_sub!$A551,sub!$B$2:$E1000,4,FALSE),"")</f>
        <v/>
      </c>
      <c r="B551" s="10"/>
      <c r="C551" s="10"/>
      <c r="D551" s="10" t="str">
        <f>IFNA(VLOOKUP(pts_sub!$D551,FIX!$A$2:$D1000,4, FALSE),"")</f>
        <v/>
      </c>
      <c r="E551" s="10"/>
      <c r="F551" s="10"/>
      <c r="G551" s="10"/>
      <c r="H551" s="10"/>
      <c r="I551" s="10"/>
      <c r="J551" s="10"/>
      <c r="K551" s="10"/>
    </row>
    <row r="552">
      <c r="A552" s="10" t="str">
        <f>IFNA(VLOOKUP(pts_sub!$A552,sub!$B$2:$E1000,4,FALSE),"")</f>
        <v/>
      </c>
      <c r="B552" s="10"/>
      <c r="C552" s="10"/>
      <c r="D552" s="10" t="str">
        <f>IFNA(VLOOKUP(pts_sub!$D552,FIX!$A$2:$D1000,4, FALSE),"")</f>
        <v/>
      </c>
      <c r="E552" s="10"/>
      <c r="F552" s="10"/>
      <c r="G552" s="10"/>
      <c r="H552" s="10"/>
      <c r="I552" s="10"/>
      <c r="J552" s="10"/>
      <c r="K552" s="10"/>
    </row>
    <row r="553">
      <c r="A553" s="10" t="str">
        <f>IFNA(VLOOKUP(pts_sub!$A553,sub!$B$2:$E1000,4,FALSE),"")</f>
        <v/>
      </c>
      <c r="B553" s="10"/>
      <c r="C553" s="10"/>
      <c r="D553" s="10" t="str">
        <f>IFNA(VLOOKUP(pts_sub!$D553,FIX!$A$2:$D1000,4, FALSE),"")</f>
        <v/>
      </c>
      <c r="E553" s="10"/>
      <c r="F553" s="10"/>
      <c r="G553" s="10"/>
      <c r="H553" s="10"/>
      <c r="I553" s="10"/>
      <c r="J553" s="10"/>
      <c r="K553" s="10"/>
    </row>
    <row r="554">
      <c r="A554" s="10" t="str">
        <f>IFNA(VLOOKUP(pts_sub!$A554,sub!$B$2:$E1000,4,FALSE),"")</f>
        <v/>
      </c>
      <c r="B554" s="10"/>
      <c r="C554" s="10"/>
      <c r="D554" s="10" t="str">
        <f>IFNA(VLOOKUP(pts_sub!$D554,FIX!$A$2:$D1000,4, FALSE),"")</f>
        <v/>
      </c>
      <c r="E554" s="10"/>
      <c r="F554" s="10"/>
      <c r="G554" s="10"/>
      <c r="H554" s="10"/>
      <c r="I554" s="10"/>
      <c r="J554" s="10"/>
      <c r="K554" s="10"/>
    </row>
    <row r="555">
      <c r="A555" s="10" t="str">
        <f>IFNA(VLOOKUP(pts_sub!$A555,sub!$B$2:$E1000,4,FALSE),"")</f>
        <v/>
      </c>
      <c r="B555" s="10"/>
      <c r="C555" s="10"/>
      <c r="D555" s="10" t="str">
        <f>IFNA(VLOOKUP(pts_sub!$D555,FIX!$A$2:$D1000,4, FALSE),"")</f>
        <v/>
      </c>
      <c r="E555" s="10"/>
      <c r="F555" s="10"/>
      <c r="G555" s="10"/>
      <c r="H555" s="10"/>
      <c r="I555" s="10"/>
      <c r="J555" s="10"/>
      <c r="K555" s="10"/>
    </row>
    <row r="556">
      <c r="A556" s="10" t="str">
        <f>IFNA(VLOOKUP(pts_sub!$A556,sub!$B$2:$E1000,4,FALSE),"")</f>
        <v/>
      </c>
      <c r="B556" s="10"/>
      <c r="C556" s="10"/>
      <c r="D556" s="10" t="str">
        <f>IFNA(VLOOKUP(pts_sub!$D556,FIX!$A$2:$D1000,4, FALSE),"")</f>
        <v/>
      </c>
      <c r="E556" s="10"/>
      <c r="F556" s="10"/>
      <c r="G556" s="10"/>
      <c r="H556" s="10"/>
      <c r="I556" s="10"/>
      <c r="J556" s="10"/>
      <c r="K556" s="10"/>
    </row>
    <row r="557">
      <c r="A557" s="10" t="str">
        <f>IFNA(VLOOKUP(pts_sub!$A557,sub!$B$2:$E1000,4,FALSE),"")</f>
        <v/>
      </c>
      <c r="B557" s="10"/>
      <c r="C557" s="10"/>
      <c r="D557" s="10" t="str">
        <f>IFNA(VLOOKUP(pts_sub!$D557,FIX!$A$2:$D1000,4, FALSE),"")</f>
        <v/>
      </c>
      <c r="E557" s="10"/>
      <c r="F557" s="10"/>
      <c r="G557" s="10"/>
      <c r="H557" s="10"/>
      <c r="I557" s="10"/>
      <c r="J557" s="10"/>
      <c r="K557" s="10"/>
    </row>
    <row r="558">
      <c r="A558" s="10" t="str">
        <f>IFNA(VLOOKUP(pts_sub!$A558,sub!$B$2:$E1000,4,FALSE),"")</f>
        <v/>
      </c>
      <c r="B558" s="10"/>
      <c r="C558" s="10"/>
      <c r="D558" s="10" t="str">
        <f>IFNA(VLOOKUP(pts_sub!$D558,FIX!$A$2:$D1000,4, FALSE),"")</f>
        <v/>
      </c>
      <c r="E558" s="10"/>
      <c r="F558" s="10"/>
      <c r="G558" s="10"/>
      <c r="H558" s="10"/>
      <c r="I558" s="10"/>
      <c r="J558" s="10"/>
      <c r="K558" s="10"/>
    </row>
    <row r="559">
      <c r="A559" s="10" t="str">
        <f>IFNA(VLOOKUP(pts_sub!$A559,sub!$B$2:$E1000,4,FALSE),"")</f>
        <v/>
      </c>
      <c r="B559" s="10"/>
      <c r="C559" s="10"/>
      <c r="D559" s="10" t="str">
        <f>IFNA(VLOOKUP(pts_sub!$D559,FIX!$A$2:$D1000,4, FALSE),"")</f>
        <v/>
      </c>
      <c r="E559" s="10"/>
      <c r="F559" s="10"/>
      <c r="G559" s="10"/>
      <c r="H559" s="10"/>
      <c r="I559" s="10"/>
      <c r="J559" s="10"/>
      <c r="K559" s="10"/>
    </row>
    <row r="560">
      <c r="A560" s="10" t="str">
        <f>IFNA(VLOOKUP(pts_sub!$A560,sub!$B$2:$E1000,4,FALSE),"")</f>
        <v/>
      </c>
      <c r="B560" s="10"/>
      <c r="C560" s="10"/>
      <c r="D560" s="10" t="str">
        <f>IFNA(VLOOKUP(pts_sub!$D560,FIX!$A$2:$D1000,4, FALSE),"")</f>
        <v/>
      </c>
      <c r="E560" s="10"/>
      <c r="F560" s="10"/>
      <c r="G560" s="10"/>
      <c r="H560" s="10"/>
      <c r="I560" s="10"/>
      <c r="J560" s="10"/>
      <c r="K560" s="10"/>
    </row>
    <row r="561">
      <c r="A561" s="10" t="str">
        <f>IFNA(VLOOKUP(pts_sub!$A561,sub!$B$2:$E1000,4,FALSE),"")</f>
        <v/>
      </c>
      <c r="B561" s="10"/>
      <c r="C561" s="10"/>
      <c r="D561" s="10" t="str">
        <f>IFNA(VLOOKUP(pts_sub!$D561,FIX!$A$2:$D1000,4, FALSE),"")</f>
        <v/>
      </c>
      <c r="E561" s="10"/>
      <c r="F561" s="10"/>
      <c r="G561" s="10"/>
      <c r="H561" s="10"/>
      <c r="I561" s="10"/>
      <c r="J561" s="10"/>
      <c r="K561" s="10"/>
    </row>
    <row r="562">
      <c r="A562" s="10" t="str">
        <f>IFNA(VLOOKUP(pts_sub!$A562,sub!$B$2:$E1000,4,FALSE),"")</f>
        <v/>
      </c>
      <c r="B562" s="10"/>
      <c r="C562" s="10"/>
      <c r="D562" s="10" t="str">
        <f>IFNA(VLOOKUP(pts_sub!$D562,FIX!$A$2:$D1000,4, FALSE),"")</f>
        <v/>
      </c>
      <c r="E562" s="10"/>
      <c r="F562" s="10"/>
      <c r="G562" s="10"/>
      <c r="H562" s="10"/>
      <c r="I562" s="10"/>
      <c r="J562" s="10"/>
      <c r="K562" s="10"/>
    </row>
    <row r="563">
      <c r="A563" s="10" t="str">
        <f>IFNA(VLOOKUP(pts_sub!$A563,sub!$B$2:$E1000,4,FALSE),"")</f>
        <v/>
      </c>
      <c r="B563" s="10"/>
      <c r="C563" s="10"/>
      <c r="D563" s="10" t="str">
        <f>IFNA(VLOOKUP(pts_sub!$D563,FIX!$A$2:$D1000,4, FALSE),"")</f>
        <v/>
      </c>
      <c r="E563" s="10"/>
      <c r="F563" s="10"/>
      <c r="G563" s="10"/>
      <c r="H563" s="10"/>
      <c r="I563" s="10"/>
      <c r="J563" s="10"/>
      <c r="K563" s="10"/>
    </row>
    <row r="564">
      <c r="A564" s="10" t="str">
        <f>IFNA(VLOOKUP(pts_sub!$A564,sub!$B$2:$E1000,4,FALSE),"")</f>
        <v/>
      </c>
      <c r="B564" s="10"/>
      <c r="C564" s="10"/>
      <c r="D564" s="10" t="str">
        <f>IFNA(VLOOKUP(pts_sub!$D564,FIX!$A$2:$D1000,4, FALSE),"")</f>
        <v/>
      </c>
      <c r="E564" s="10"/>
      <c r="F564" s="10"/>
      <c r="G564" s="10"/>
      <c r="H564" s="10"/>
      <c r="I564" s="10"/>
      <c r="J564" s="10"/>
      <c r="K564" s="10"/>
    </row>
    <row r="565">
      <c r="A565" s="10" t="str">
        <f>IFNA(VLOOKUP(pts_sub!$A565,sub!$B$2:$E1000,4,FALSE),"")</f>
        <v/>
      </c>
      <c r="B565" s="10"/>
      <c r="C565" s="10"/>
      <c r="D565" s="10" t="str">
        <f>IFNA(VLOOKUP(pts_sub!$D565,FIX!$A$2:$D1000,4, FALSE),"")</f>
        <v/>
      </c>
      <c r="E565" s="10"/>
      <c r="F565" s="10"/>
      <c r="G565" s="10"/>
      <c r="H565" s="10"/>
      <c r="I565" s="10"/>
      <c r="J565" s="10"/>
      <c r="K565" s="10"/>
    </row>
    <row r="566">
      <c r="A566" s="10" t="str">
        <f>IFNA(VLOOKUP(pts_sub!$A566,sub!$B$2:$E1000,4,FALSE),"")</f>
        <v/>
      </c>
      <c r="B566" s="10"/>
      <c r="C566" s="10"/>
      <c r="D566" s="10" t="str">
        <f>IFNA(VLOOKUP(pts_sub!$D566,FIX!$A$2:$D1000,4, FALSE),"")</f>
        <v/>
      </c>
      <c r="E566" s="10"/>
      <c r="F566" s="10"/>
      <c r="G566" s="10"/>
      <c r="H566" s="10"/>
      <c r="I566" s="10"/>
      <c r="J566" s="10"/>
      <c r="K566" s="10"/>
    </row>
    <row r="567">
      <c r="A567" s="10" t="str">
        <f>IFNA(VLOOKUP(pts_sub!$A567,sub!$B$2:$E1000,4,FALSE),"")</f>
        <v/>
      </c>
      <c r="B567" s="10"/>
      <c r="C567" s="10"/>
      <c r="D567" s="10" t="str">
        <f>IFNA(VLOOKUP(pts_sub!$D567,FIX!$A$2:$D1000,4, FALSE),"")</f>
        <v/>
      </c>
      <c r="E567" s="10"/>
      <c r="F567" s="10"/>
      <c r="G567" s="10"/>
      <c r="H567" s="10"/>
      <c r="I567" s="10"/>
      <c r="J567" s="10"/>
      <c r="K567" s="10"/>
    </row>
    <row r="568">
      <c r="A568" s="10" t="str">
        <f>IFNA(VLOOKUP(pts_sub!$A568,sub!$B$2:$E1000,4,FALSE),"")</f>
        <v/>
      </c>
      <c r="B568" s="10"/>
      <c r="C568" s="10"/>
      <c r="D568" s="10" t="str">
        <f>IFNA(VLOOKUP(pts_sub!$D568,FIX!$A$2:$D1000,4, FALSE),"")</f>
        <v/>
      </c>
      <c r="E568" s="10"/>
      <c r="F568" s="10"/>
      <c r="G568" s="10"/>
      <c r="H568" s="10"/>
      <c r="I568" s="10"/>
      <c r="J568" s="10"/>
      <c r="K568" s="10"/>
    </row>
    <row r="569">
      <c r="A569" s="10" t="str">
        <f>IFNA(VLOOKUP(pts_sub!$A569,sub!$B$2:$E1000,4,FALSE),"")</f>
        <v/>
      </c>
      <c r="B569" s="10"/>
      <c r="C569" s="10"/>
      <c r="D569" s="10" t="str">
        <f>IFNA(VLOOKUP(pts_sub!$D569,FIX!$A$2:$D1000,4, FALSE),"")</f>
        <v/>
      </c>
      <c r="E569" s="10"/>
      <c r="F569" s="10"/>
      <c r="G569" s="10"/>
      <c r="H569" s="10"/>
      <c r="I569" s="10"/>
      <c r="J569" s="10"/>
      <c r="K569" s="10"/>
    </row>
    <row r="570">
      <c r="A570" s="10" t="str">
        <f>IFNA(VLOOKUP(pts_sub!$A570,sub!$B$2:$E1000,4,FALSE),"")</f>
        <v/>
      </c>
      <c r="B570" s="10"/>
      <c r="C570" s="10"/>
      <c r="D570" s="10" t="str">
        <f>IFNA(VLOOKUP(pts_sub!$D570,FIX!$A$2:$D1000,4, FALSE),"")</f>
        <v/>
      </c>
      <c r="E570" s="10"/>
      <c r="F570" s="10"/>
      <c r="G570" s="10"/>
      <c r="H570" s="10"/>
      <c r="I570" s="10"/>
      <c r="J570" s="10"/>
      <c r="K570" s="10"/>
    </row>
    <row r="571">
      <c r="A571" s="10" t="str">
        <f>IFNA(VLOOKUP(pts_sub!$A571,sub!$B$2:$E1000,4,FALSE),"")</f>
        <v/>
      </c>
      <c r="B571" s="10"/>
      <c r="C571" s="10"/>
      <c r="D571" s="10" t="str">
        <f>IFNA(VLOOKUP(pts_sub!$D571,FIX!$A$2:$D1000,4, FALSE),"")</f>
        <v/>
      </c>
      <c r="E571" s="10"/>
      <c r="F571" s="10"/>
      <c r="G571" s="10"/>
      <c r="H571" s="10"/>
      <c r="I571" s="10"/>
      <c r="J571" s="10"/>
      <c r="K571" s="10"/>
    </row>
    <row r="572">
      <c r="A572" s="10" t="str">
        <f>IFNA(VLOOKUP(pts_sub!$A572,sub!$B$2:$E1000,4,FALSE),"")</f>
        <v/>
      </c>
      <c r="B572" s="10"/>
      <c r="C572" s="10"/>
      <c r="D572" s="10" t="str">
        <f>IFNA(VLOOKUP(pts_sub!$D572,FIX!$A$2:$D1000,4, FALSE),"")</f>
        <v/>
      </c>
      <c r="E572" s="10"/>
      <c r="F572" s="10"/>
      <c r="G572" s="10"/>
      <c r="H572" s="10"/>
      <c r="I572" s="10"/>
      <c r="J572" s="10"/>
      <c r="K572" s="10"/>
    </row>
    <row r="573">
      <c r="A573" s="10" t="str">
        <f>IFNA(VLOOKUP(pts_sub!$A573,sub!$B$2:$E1000,4,FALSE),"")</f>
        <v/>
      </c>
      <c r="B573" s="10"/>
      <c r="C573" s="10"/>
      <c r="D573" s="10" t="str">
        <f>IFNA(VLOOKUP(pts_sub!$D573,FIX!$A$2:$D1000,4, FALSE),"")</f>
        <v/>
      </c>
      <c r="E573" s="10"/>
      <c r="F573" s="10"/>
      <c r="G573" s="10"/>
      <c r="H573" s="10"/>
      <c r="I573" s="10"/>
      <c r="J573" s="10"/>
      <c r="K573" s="10"/>
    </row>
    <row r="574">
      <c r="A574" s="10" t="str">
        <f>IFNA(VLOOKUP(pts_sub!$A574,sub!$B$2:$E1000,4,FALSE),"")</f>
        <v/>
      </c>
      <c r="B574" s="10"/>
      <c r="C574" s="10"/>
      <c r="D574" s="10" t="str">
        <f>IFNA(VLOOKUP(pts_sub!$D574,FIX!$A$2:$D1000,4, FALSE),"")</f>
        <v/>
      </c>
      <c r="E574" s="10"/>
      <c r="F574" s="10"/>
      <c r="G574" s="10"/>
      <c r="H574" s="10"/>
      <c r="I574" s="10"/>
      <c r="J574" s="10"/>
      <c r="K574" s="10"/>
    </row>
    <row r="575">
      <c r="A575" s="10" t="str">
        <f>IFNA(VLOOKUP(pts_sub!$A575,sub!$B$2:$E1000,4,FALSE),"")</f>
        <v/>
      </c>
      <c r="B575" s="10"/>
      <c r="C575" s="10"/>
      <c r="D575" s="10" t="str">
        <f>IFNA(VLOOKUP(pts_sub!$D575,FIX!$A$2:$D1000,4, FALSE),"")</f>
        <v/>
      </c>
      <c r="E575" s="10"/>
      <c r="F575" s="10"/>
      <c r="G575" s="10"/>
      <c r="H575" s="10"/>
      <c r="I575" s="10"/>
      <c r="J575" s="10"/>
      <c r="K575" s="10"/>
    </row>
    <row r="576">
      <c r="A576" s="10" t="str">
        <f>IFNA(VLOOKUP(pts_sub!$A576,sub!$B$2:$E1000,4,FALSE),"")</f>
        <v/>
      </c>
      <c r="B576" s="10"/>
      <c r="C576" s="10"/>
      <c r="D576" s="10" t="str">
        <f>IFNA(VLOOKUP(pts_sub!$D576,FIX!$A$2:$D1000,4, FALSE),"")</f>
        <v/>
      </c>
      <c r="E576" s="10"/>
      <c r="F576" s="10"/>
      <c r="G576" s="10"/>
      <c r="H576" s="10"/>
      <c r="I576" s="10"/>
      <c r="J576" s="10"/>
      <c r="K576" s="10"/>
    </row>
    <row r="577">
      <c r="A577" s="10" t="str">
        <f>IFNA(VLOOKUP(pts_sub!$A577,sub!$B$2:$E1000,4,FALSE),"")</f>
        <v/>
      </c>
      <c r="B577" s="10"/>
      <c r="C577" s="10"/>
      <c r="D577" s="10" t="str">
        <f>IFNA(VLOOKUP(pts_sub!$D577,FIX!$A$2:$D1000,4, FALSE),"")</f>
        <v/>
      </c>
      <c r="E577" s="10"/>
      <c r="F577" s="10"/>
      <c r="G577" s="10"/>
      <c r="H577" s="10"/>
      <c r="I577" s="10"/>
      <c r="J577" s="10"/>
      <c r="K577" s="10"/>
    </row>
    <row r="578">
      <c r="A578" s="10" t="str">
        <f>IFNA(VLOOKUP(pts_sub!$A578,sub!$B$2:$E1000,4,FALSE),"")</f>
        <v/>
      </c>
      <c r="B578" s="10"/>
      <c r="C578" s="10"/>
      <c r="D578" s="10" t="str">
        <f>IFNA(VLOOKUP(pts_sub!$D578,FIX!$A$2:$D1000,4, FALSE),"")</f>
        <v/>
      </c>
      <c r="E578" s="10"/>
      <c r="F578" s="10"/>
      <c r="G578" s="10"/>
      <c r="H578" s="10"/>
      <c r="I578" s="10"/>
      <c r="J578" s="10"/>
      <c r="K578" s="10"/>
    </row>
    <row r="579">
      <c r="A579" s="10" t="str">
        <f>IFNA(VLOOKUP(pts_sub!$A579,sub!$B$2:$E1000,4,FALSE),"")</f>
        <v/>
      </c>
      <c r="B579" s="10"/>
      <c r="C579" s="10"/>
      <c r="D579" s="10" t="str">
        <f>IFNA(VLOOKUP(pts_sub!$D579,FIX!$A$2:$D1000,4, FALSE),"")</f>
        <v/>
      </c>
      <c r="E579" s="10"/>
      <c r="F579" s="10"/>
      <c r="G579" s="10"/>
      <c r="H579" s="10"/>
      <c r="I579" s="10"/>
      <c r="J579" s="10"/>
      <c r="K579" s="10"/>
    </row>
    <row r="580">
      <c r="A580" s="10" t="str">
        <f>IFNA(VLOOKUP(pts_sub!$A580,sub!$B$2:$E1000,4,FALSE),"")</f>
        <v/>
      </c>
      <c r="B580" s="10"/>
      <c r="C580" s="10"/>
      <c r="D580" s="10" t="str">
        <f>IFNA(VLOOKUP(pts_sub!$D580,FIX!$A$2:$D1000,4, FALSE),"")</f>
        <v/>
      </c>
      <c r="E580" s="10"/>
      <c r="F580" s="10"/>
      <c r="G580" s="10"/>
      <c r="H580" s="10"/>
      <c r="I580" s="10"/>
      <c r="J580" s="10"/>
      <c r="K580" s="10"/>
    </row>
    <row r="581">
      <c r="A581" s="10" t="str">
        <f>IFNA(VLOOKUP(pts_sub!$A581,sub!$B$2:$E1000,4,FALSE),"")</f>
        <v/>
      </c>
      <c r="B581" s="10"/>
      <c r="C581" s="10"/>
      <c r="D581" s="10" t="str">
        <f>IFNA(VLOOKUP(pts_sub!$D581,FIX!$A$2:$D1000,4, FALSE),"")</f>
        <v/>
      </c>
      <c r="E581" s="10"/>
      <c r="F581" s="10"/>
      <c r="G581" s="10"/>
      <c r="H581" s="10"/>
      <c r="I581" s="10"/>
      <c r="J581" s="10"/>
      <c r="K581" s="10"/>
    </row>
    <row r="582">
      <c r="A582" s="10" t="str">
        <f>IFNA(VLOOKUP(pts_sub!$A582,sub!$B$2:$E1000,4,FALSE),"")</f>
        <v/>
      </c>
      <c r="B582" s="10"/>
      <c r="C582" s="10"/>
      <c r="D582" s="10" t="str">
        <f>IFNA(VLOOKUP(pts_sub!$D582,FIX!$A$2:$D1000,4, FALSE),"")</f>
        <v/>
      </c>
      <c r="E582" s="10"/>
      <c r="F582" s="10"/>
      <c r="G582" s="10"/>
      <c r="H582" s="10"/>
      <c r="I582" s="10"/>
      <c r="J582" s="10"/>
      <c r="K582" s="10"/>
    </row>
    <row r="583">
      <c r="A583" s="10" t="str">
        <f>IFNA(VLOOKUP(pts_sub!$A583,sub!$B$2:$E1000,4,FALSE),"")</f>
        <v/>
      </c>
      <c r="B583" s="10"/>
      <c r="C583" s="10"/>
      <c r="D583" s="10" t="str">
        <f>IFNA(VLOOKUP(pts_sub!$D583,FIX!$A$2:$D1000,4, FALSE),"")</f>
        <v/>
      </c>
      <c r="E583" s="10"/>
      <c r="F583" s="10"/>
      <c r="G583" s="10"/>
      <c r="H583" s="10"/>
      <c r="I583" s="10"/>
      <c r="J583" s="10"/>
      <c r="K583" s="10"/>
    </row>
    <row r="584">
      <c r="A584" s="10" t="str">
        <f>IFNA(VLOOKUP(pts_sub!$A584,sub!$B$2:$E1000,4,FALSE),"")</f>
        <v/>
      </c>
      <c r="B584" s="10"/>
      <c r="C584" s="10"/>
      <c r="D584" s="10" t="str">
        <f>IFNA(VLOOKUP(pts_sub!$D584,FIX!$A$2:$D1000,4, FALSE),"")</f>
        <v/>
      </c>
      <c r="E584" s="10"/>
      <c r="F584" s="10"/>
      <c r="G584" s="10"/>
      <c r="H584" s="10"/>
      <c r="I584" s="10"/>
      <c r="J584" s="10"/>
      <c r="K584" s="10"/>
    </row>
    <row r="585">
      <c r="A585" s="10" t="str">
        <f>IFNA(VLOOKUP(pts_sub!$A585,sub!$B$2:$E1000,4,FALSE),"")</f>
        <v/>
      </c>
      <c r="B585" s="10"/>
      <c r="C585" s="10"/>
      <c r="D585" s="10" t="str">
        <f>IFNA(VLOOKUP(pts_sub!$D585,FIX!$A$2:$D1000,4, FALSE),"")</f>
        <v/>
      </c>
      <c r="E585" s="10"/>
      <c r="F585" s="10"/>
      <c r="G585" s="10"/>
      <c r="H585" s="10"/>
      <c r="I585" s="10"/>
      <c r="J585" s="10"/>
      <c r="K585" s="10"/>
    </row>
    <row r="586">
      <c r="A586" s="10" t="str">
        <f>IFNA(VLOOKUP(pts_sub!$A586,sub!$B$2:$E1000,4,FALSE),"")</f>
        <v/>
      </c>
      <c r="B586" s="10"/>
      <c r="C586" s="10"/>
      <c r="D586" s="10" t="str">
        <f>IFNA(VLOOKUP(pts_sub!$D586,FIX!$A$2:$D1000,4, FALSE),"")</f>
        <v/>
      </c>
      <c r="E586" s="10"/>
      <c r="F586" s="10"/>
      <c r="G586" s="10"/>
      <c r="H586" s="10"/>
      <c r="I586" s="10"/>
      <c r="J586" s="10"/>
      <c r="K586" s="10"/>
    </row>
    <row r="587">
      <c r="A587" s="10" t="str">
        <f>IFNA(VLOOKUP(pts_sub!$A587,sub!$B$2:$E1000,4,FALSE),"")</f>
        <v/>
      </c>
      <c r="B587" s="10"/>
      <c r="C587" s="10"/>
      <c r="D587" s="10" t="str">
        <f>IFNA(VLOOKUP(pts_sub!$D587,FIX!$A$2:$D1000,4, FALSE),"")</f>
        <v/>
      </c>
      <c r="E587" s="10"/>
      <c r="F587" s="10"/>
      <c r="G587" s="10"/>
      <c r="H587" s="10"/>
      <c r="I587" s="10"/>
      <c r="J587" s="10"/>
      <c r="K587" s="10"/>
    </row>
    <row r="588">
      <c r="A588" s="10" t="str">
        <f>IFNA(VLOOKUP(pts_sub!$A588,sub!$B$2:$E1000,4,FALSE),"")</f>
        <v/>
      </c>
      <c r="B588" s="10"/>
      <c r="C588" s="10"/>
      <c r="D588" s="10" t="str">
        <f>IFNA(VLOOKUP(pts_sub!$D588,FIX!$A$2:$D1000,4, FALSE),"")</f>
        <v/>
      </c>
      <c r="E588" s="10"/>
      <c r="F588" s="10"/>
      <c r="G588" s="10"/>
      <c r="H588" s="10"/>
      <c r="I588" s="10"/>
      <c r="J588" s="10"/>
      <c r="K588" s="10"/>
    </row>
    <row r="589">
      <c r="A589" s="10" t="str">
        <f>IFNA(VLOOKUP(pts_sub!$A589,sub!$B$2:$E1000,4,FALSE),"")</f>
        <v/>
      </c>
      <c r="B589" s="10"/>
      <c r="C589" s="10"/>
      <c r="D589" s="10" t="str">
        <f>IFNA(VLOOKUP(pts_sub!$D589,FIX!$A$2:$D1000,4, FALSE),"")</f>
        <v/>
      </c>
      <c r="E589" s="10"/>
      <c r="F589" s="10"/>
      <c r="G589" s="10"/>
      <c r="H589" s="10"/>
      <c r="I589" s="10"/>
      <c r="J589" s="10"/>
      <c r="K589" s="10"/>
    </row>
    <row r="590">
      <c r="A590" s="10" t="str">
        <f>IFNA(VLOOKUP(pts_sub!$A590,sub!$B$2:$E1000,4,FALSE),"")</f>
        <v/>
      </c>
      <c r="B590" s="10"/>
      <c r="C590" s="10"/>
      <c r="D590" s="10" t="str">
        <f>IFNA(VLOOKUP(pts_sub!$D590,FIX!$A$2:$D1000,4, FALSE),"")</f>
        <v/>
      </c>
      <c r="E590" s="10"/>
      <c r="F590" s="10"/>
      <c r="G590" s="10"/>
      <c r="H590" s="10"/>
      <c r="I590" s="10"/>
      <c r="J590" s="10"/>
      <c r="K590" s="10"/>
    </row>
    <row r="591">
      <c r="A591" s="10" t="str">
        <f>IFNA(VLOOKUP(pts_sub!$A591,sub!$B$2:$E1000,4,FALSE),"")</f>
        <v/>
      </c>
      <c r="B591" s="10"/>
      <c r="C591" s="10"/>
      <c r="D591" s="10" t="str">
        <f>IFNA(VLOOKUP(pts_sub!$D591,FIX!$A$2:$D1000,4, FALSE),"")</f>
        <v/>
      </c>
      <c r="E591" s="10"/>
      <c r="F591" s="10"/>
      <c r="G591" s="10"/>
      <c r="H591" s="10"/>
      <c r="I591" s="10"/>
      <c r="J591" s="10"/>
      <c r="K591" s="10"/>
    </row>
    <row r="592">
      <c r="A592" s="10" t="str">
        <f>IFNA(VLOOKUP(pts_sub!$A592,sub!$B$2:$E1000,4,FALSE),"")</f>
        <v/>
      </c>
      <c r="B592" s="10"/>
      <c r="C592" s="10"/>
      <c r="D592" s="10" t="str">
        <f>IFNA(VLOOKUP(pts_sub!$D592,FIX!$A$2:$D1000,4, FALSE),"")</f>
        <v/>
      </c>
      <c r="E592" s="10"/>
      <c r="F592" s="10"/>
      <c r="G592" s="10"/>
      <c r="H592" s="10"/>
      <c r="I592" s="10"/>
      <c r="J592" s="10"/>
      <c r="K592" s="10"/>
    </row>
    <row r="593">
      <c r="A593" s="10" t="str">
        <f>IFNA(VLOOKUP(pts_sub!$A593,sub!$B$2:$E1000,4,FALSE),"")</f>
        <v/>
      </c>
      <c r="B593" s="10"/>
      <c r="C593" s="10"/>
      <c r="D593" s="10" t="str">
        <f>IFNA(VLOOKUP(pts_sub!$D593,FIX!$A$2:$D1000,4, FALSE),"")</f>
        <v/>
      </c>
      <c r="E593" s="10"/>
      <c r="F593" s="10"/>
      <c r="G593" s="10"/>
      <c r="H593" s="10"/>
      <c r="I593" s="10"/>
      <c r="J593" s="10"/>
      <c r="K593" s="10"/>
    </row>
    <row r="594">
      <c r="A594" s="10" t="str">
        <f>IFNA(VLOOKUP(pts_sub!$A594,sub!$B$2:$E1000,4,FALSE),"")</f>
        <v/>
      </c>
      <c r="B594" s="10"/>
      <c r="C594" s="10"/>
      <c r="D594" s="10" t="str">
        <f>IFNA(VLOOKUP(pts_sub!$D594,FIX!$A$2:$D1000,4, FALSE),"")</f>
        <v/>
      </c>
      <c r="E594" s="10"/>
      <c r="F594" s="10"/>
      <c r="G594" s="10"/>
      <c r="H594" s="10"/>
      <c r="I594" s="10"/>
      <c r="J594" s="10"/>
      <c r="K594" s="10"/>
    </row>
    <row r="595">
      <c r="A595" s="10" t="str">
        <f>IFNA(VLOOKUP(pts_sub!$A595,sub!$B$2:$E1000,4,FALSE),"")</f>
        <v/>
      </c>
      <c r="B595" s="10"/>
      <c r="C595" s="10"/>
      <c r="D595" s="10" t="str">
        <f>IFNA(VLOOKUP(pts_sub!$D595,FIX!$A$2:$D1000,4, FALSE),"")</f>
        <v/>
      </c>
      <c r="E595" s="10"/>
      <c r="F595" s="10"/>
      <c r="G595" s="10"/>
      <c r="H595" s="10"/>
      <c r="I595" s="10"/>
      <c r="J595" s="10"/>
      <c r="K595" s="10"/>
    </row>
    <row r="596">
      <c r="A596" s="10" t="str">
        <f>IFNA(VLOOKUP(pts_sub!$A596,sub!$B$2:$E1000,4,FALSE),"")</f>
        <v/>
      </c>
      <c r="B596" s="10"/>
      <c r="C596" s="10"/>
      <c r="D596" s="10" t="str">
        <f>IFNA(VLOOKUP(pts_sub!$D596,FIX!$A$2:$D1000,4, FALSE),"")</f>
        <v/>
      </c>
      <c r="E596" s="10"/>
      <c r="F596" s="10"/>
      <c r="G596" s="10"/>
      <c r="H596" s="10"/>
      <c r="I596" s="10"/>
      <c r="J596" s="10"/>
      <c r="K596" s="10"/>
    </row>
    <row r="597">
      <c r="A597" s="10" t="str">
        <f>IFNA(VLOOKUP(pts_sub!$A597,sub!$B$2:$E1000,4,FALSE),"")</f>
        <v/>
      </c>
      <c r="B597" s="10"/>
      <c r="C597" s="10"/>
      <c r="D597" s="10" t="str">
        <f>IFNA(VLOOKUP(pts_sub!$D597,FIX!$A$2:$D1000,4, FALSE),"")</f>
        <v/>
      </c>
      <c r="E597" s="10"/>
      <c r="F597" s="10"/>
      <c r="G597" s="10"/>
      <c r="H597" s="10"/>
      <c r="I597" s="10"/>
      <c r="J597" s="10"/>
      <c r="K597" s="10"/>
    </row>
    <row r="598">
      <c r="A598" s="10" t="str">
        <f>IFNA(VLOOKUP(pts_sub!$A598,sub!$B$2:$E1000,4,FALSE),"")</f>
        <v/>
      </c>
      <c r="B598" s="10"/>
      <c r="C598" s="10"/>
      <c r="D598" s="10" t="str">
        <f>IFNA(VLOOKUP(pts_sub!$D598,FIX!$A$2:$D1000,4, FALSE),"")</f>
        <v/>
      </c>
      <c r="E598" s="10"/>
      <c r="F598" s="10"/>
      <c r="G598" s="10"/>
      <c r="H598" s="10"/>
      <c r="I598" s="10"/>
      <c r="J598" s="10"/>
      <c r="K598" s="10"/>
    </row>
    <row r="599">
      <c r="A599" s="10" t="str">
        <f>IFNA(VLOOKUP(pts_sub!$A599,sub!$B$2:$E1000,4,FALSE),"")</f>
        <v/>
      </c>
      <c r="B599" s="10"/>
      <c r="C599" s="10"/>
      <c r="D599" s="10" t="str">
        <f>IFNA(VLOOKUP(pts_sub!$D599,FIX!$A$2:$D1000,4, FALSE),"")</f>
        <v/>
      </c>
      <c r="E599" s="10"/>
      <c r="F599" s="10"/>
      <c r="G599" s="10"/>
      <c r="H599" s="10"/>
      <c r="I599" s="10"/>
      <c r="J599" s="10"/>
      <c r="K599" s="10"/>
    </row>
    <row r="600">
      <c r="A600" s="10" t="str">
        <f>IFNA(VLOOKUP(pts_sub!$A600,sub!$B$2:$E1000,4,FALSE),"")</f>
        <v/>
      </c>
      <c r="B600" s="10"/>
      <c r="C600" s="10"/>
      <c r="D600" s="10" t="str">
        <f>IFNA(VLOOKUP(pts_sub!$D600,FIX!$A$2:$D1000,4, FALSE),"")</f>
        <v/>
      </c>
      <c r="E600" s="10"/>
      <c r="F600" s="10"/>
      <c r="G600" s="10"/>
      <c r="H600" s="10"/>
      <c r="I600" s="10"/>
      <c r="J600" s="10"/>
      <c r="K600" s="10"/>
    </row>
    <row r="601">
      <c r="A601" s="10" t="str">
        <f>IFNA(VLOOKUP(pts_sub!$A601,sub!$B$2:$E1000,4,FALSE),"")</f>
        <v/>
      </c>
      <c r="B601" s="10"/>
      <c r="C601" s="10"/>
      <c r="D601" s="10" t="str">
        <f>IFNA(VLOOKUP(pts_sub!$D601,FIX!$A$2:$D1000,4, FALSE),"")</f>
        <v/>
      </c>
      <c r="E601" s="10"/>
      <c r="F601" s="10"/>
      <c r="G601" s="10"/>
      <c r="H601" s="10"/>
      <c r="I601" s="10"/>
      <c r="J601" s="10"/>
      <c r="K601" s="10"/>
    </row>
    <row r="602">
      <c r="A602" s="10" t="str">
        <f>IFNA(VLOOKUP(pts_sub!$A602,sub!$B$2:$E1000,4,FALSE),"")</f>
        <v/>
      </c>
      <c r="B602" s="10"/>
      <c r="C602" s="10"/>
      <c r="D602" s="10" t="str">
        <f>IFNA(VLOOKUP(pts_sub!$D602,FIX!$A$2:$D1000,4, FALSE),"")</f>
        <v/>
      </c>
      <c r="E602" s="10"/>
      <c r="F602" s="10"/>
      <c r="G602" s="10"/>
      <c r="H602" s="10"/>
      <c r="I602" s="10"/>
      <c r="J602" s="10"/>
      <c r="K602" s="10"/>
    </row>
    <row r="603">
      <c r="A603" s="10" t="str">
        <f>IFNA(VLOOKUP(pts_sub!$A603,sub!$B$2:$E1000,4,FALSE),"")</f>
        <v/>
      </c>
      <c r="B603" s="10"/>
      <c r="C603" s="10"/>
      <c r="D603" s="10" t="str">
        <f>IFNA(VLOOKUP(pts_sub!$D603,FIX!$A$2:$D1000,4, FALSE),"")</f>
        <v/>
      </c>
      <c r="E603" s="10"/>
      <c r="F603" s="10"/>
      <c r="G603" s="10"/>
      <c r="H603" s="10"/>
      <c r="I603" s="10"/>
      <c r="J603" s="10"/>
      <c r="K603" s="10"/>
    </row>
    <row r="604">
      <c r="A604" s="10" t="str">
        <f>IFNA(VLOOKUP(pts_sub!$A604,sub!$B$2:$E1000,4,FALSE),"")</f>
        <v/>
      </c>
      <c r="B604" s="10"/>
      <c r="C604" s="10"/>
      <c r="D604" s="10" t="str">
        <f>IFNA(VLOOKUP(pts_sub!$D604,FIX!$A$2:$D1000,4, FALSE),"")</f>
        <v/>
      </c>
      <c r="E604" s="10"/>
      <c r="F604" s="10"/>
      <c r="G604" s="10"/>
      <c r="H604" s="10"/>
      <c r="I604" s="10"/>
      <c r="J604" s="10"/>
      <c r="K604" s="10"/>
    </row>
    <row r="605">
      <c r="A605" s="10" t="str">
        <f>IFNA(VLOOKUP(pts_sub!$A605,sub!$B$2:$E1000,4,FALSE),"")</f>
        <v/>
      </c>
      <c r="B605" s="10"/>
      <c r="C605" s="10"/>
      <c r="D605" s="10" t="str">
        <f>IFNA(VLOOKUP(pts_sub!$D605,FIX!$A$2:$D1000,4, FALSE),"")</f>
        <v/>
      </c>
      <c r="E605" s="10"/>
      <c r="F605" s="10"/>
      <c r="G605" s="10"/>
      <c r="H605" s="10"/>
      <c r="I605" s="10"/>
      <c r="J605" s="10"/>
      <c r="K605" s="10"/>
    </row>
    <row r="606">
      <c r="A606" s="10" t="str">
        <f>IFNA(VLOOKUP(pts_sub!$A606,sub!$B$2:$E1000,4,FALSE),"")</f>
        <v/>
      </c>
      <c r="B606" s="10"/>
      <c r="C606" s="10"/>
      <c r="D606" s="10" t="str">
        <f>IFNA(VLOOKUP(pts_sub!$D606,FIX!$A$2:$D1000,4, FALSE),"")</f>
        <v/>
      </c>
      <c r="E606" s="10"/>
      <c r="F606" s="10"/>
      <c r="G606" s="10"/>
      <c r="H606" s="10"/>
      <c r="I606" s="10"/>
      <c r="J606" s="10"/>
      <c r="K606" s="10"/>
    </row>
    <row r="607">
      <c r="A607" s="10" t="str">
        <f>IFNA(VLOOKUP(pts_sub!$A607,sub!$B$2:$E1000,4,FALSE),"")</f>
        <v/>
      </c>
      <c r="B607" s="10"/>
      <c r="C607" s="10"/>
      <c r="D607" s="10" t="str">
        <f>IFNA(VLOOKUP(pts_sub!$D607,FIX!$A$2:$D1000,4, FALSE),"")</f>
        <v/>
      </c>
      <c r="E607" s="10"/>
      <c r="F607" s="10"/>
      <c r="G607" s="10"/>
      <c r="H607" s="10"/>
      <c r="I607" s="10"/>
      <c r="J607" s="10"/>
      <c r="K607" s="10"/>
    </row>
    <row r="608">
      <c r="A608" s="10" t="str">
        <f>IFNA(VLOOKUP(pts_sub!$A608,sub!$B$2:$E1000,4,FALSE),"")</f>
        <v/>
      </c>
      <c r="B608" s="10"/>
      <c r="C608" s="10"/>
      <c r="D608" s="10" t="str">
        <f>IFNA(VLOOKUP(pts_sub!$D608,FIX!$A$2:$D1000,4, FALSE),"")</f>
        <v/>
      </c>
      <c r="E608" s="10"/>
      <c r="F608" s="10"/>
      <c r="G608" s="10"/>
      <c r="H608" s="10"/>
      <c r="I608" s="10"/>
      <c r="J608" s="10"/>
      <c r="K608" s="10"/>
    </row>
    <row r="609">
      <c r="A609" s="10" t="str">
        <f>IFNA(VLOOKUP(pts_sub!$A609,sub!$B$2:$E1000,4,FALSE),"")</f>
        <v/>
      </c>
      <c r="B609" s="10"/>
      <c r="C609" s="10"/>
      <c r="D609" s="10" t="str">
        <f>IFNA(VLOOKUP(pts_sub!$D609,FIX!$A$2:$D1000,4, FALSE),"")</f>
        <v/>
      </c>
      <c r="E609" s="10"/>
      <c r="F609" s="10"/>
      <c r="G609" s="10"/>
      <c r="H609" s="10"/>
      <c r="I609" s="10"/>
      <c r="J609" s="10"/>
      <c r="K609" s="10"/>
    </row>
    <row r="610">
      <c r="A610" s="10" t="str">
        <f>IFNA(VLOOKUP(pts_sub!$A610,sub!$B$2:$E1000,4,FALSE),"")</f>
        <v/>
      </c>
      <c r="B610" s="10"/>
      <c r="C610" s="10"/>
      <c r="D610" s="10" t="str">
        <f>IFNA(VLOOKUP(pts_sub!$D610,FIX!$A$2:$D1000,4, FALSE),"")</f>
        <v/>
      </c>
      <c r="E610" s="10"/>
      <c r="F610" s="10"/>
      <c r="G610" s="10"/>
      <c r="H610" s="10"/>
      <c r="I610" s="10"/>
      <c r="J610" s="10"/>
      <c r="K610" s="10"/>
    </row>
    <row r="611">
      <c r="A611" s="10" t="str">
        <f>IFNA(VLOOKUP(pts_sub!$A611,sub!$B$2:$E1000,4,FALSE),"")</f>
        <v/>
      </c>
      <c r="B611" s="10"/>
      <c r="C611" s="10"/>
      <c r="D611" s="10" t="str">
        <f>IFNA(VLOOKUP(pts_sub!$D611,FIX!$A$2:$D1000,4, FALSE),"")</f>
        <v/>
      </c>
      <c r="E611" s="10"/>
      <c r="F611" s="10"/>
      <c r="G611" s="10"/>
      <c r="H611" s="10"/>
      <c r="I611" s="10"/>
      <c r="J611" s="10"/>
      <c r="K611" s="10"/>
    </row>
    <row r="612">
      <c r="A612" s="10" t="str">
        <f>IFNA(VLOOKUP(pts_sub!$A612,sub!$B$2:$E1000,4,FALSE),"")</f>
        <v/>
      </c>
      <c r="B612" s="10"/>
      <c r="C612" s="10"/>
      <c r="D612" s="10" t="str">
        <f>IFNA(VLOOKUP(pts_sub!$D612,FIX!$A$2:$D1000,4, FALSE),"")</f>
        <v/>
      </c>
      <c r="E612" s="10"/>
      <c r="F612" s="10"/>
      <c r="G612" s="10"/>
      <c r="H612" s="10"/>
      <c r="I612" s="10"/>
      <c r="J612" s="10"/>
      <c r="K612" s="10"/>
    </row>
    <row r="613">
      <c r="A613" s="10" t="str">
        <f>IFNA(VLOOKUP(pts_sub!$A613,sub!$B$2:$E1000,4,FALSE),"")</f>
        <v/>
      </c>
      <c r="B613" s="10"/>
      <c r="C613" s="10"/>
      <c r="D613" s="10" t="str">
        <f>IFNA(VLOOKUP(pts_sub!$D613,FIX!$A$2:$D1000,4, FALSE),"")</f>
        <v/>
      </c>
      <c r="E613" s="10"/>
      <c r="F613" s="10"/>
      <c r="G613" s="10"/>
      <c r="H613" s="10"/>
      <c r="I613" s="10"/>
      <c r="J613" s="10"/>
      <c r="K613" s="10"/>
    </row>
    <row r="614">
      <c r="A614" s="10" t="str">
        <f>IFNA(VLOOKUP(pts_sub!$A614,sub!$B$2:$E1000,4,FALSE),"")</f>
        <v/>
      </c>
      <c r="B614" s="10"/>
      <c r="C614" s="10"/>
      <c r="D614" s="10" t="str">
        <f>IFNA(VLOOKUP(pts_sub!$D614,FIX!$A$2:$D1000,4, FALSE),"")</f>
        <v/>
      </c>
      <c r="E614" s="10"/>
      <c r="F614" s="10"/>
      <c r="G614" s="10"/>
      <c r="H614" s="10"/>
      <c r="I614" s="10"/>
      <c r="J614" s="10"/>
      <c r="K614" s="10"/>
    </row>
    <row r="615">
      <c r="A615" s="10" t="str">
        <f>IFNA(VLOOKUP(pts_sub!$A615,sub!$B$2:$E1000,4,FALSE),"")</f>
        <v/>
      </c>
      <c r="B615" s="10"/>
      <c r="C615" s="10"/>
      <c r="D615" s="10" t="str">
        <f>IFNA(VLOOKUP(pts_sub!$D615,FIX!$A$2:$D1000,4, FALSE),"")</f>
        <v/>
      </c>
      <c r="E615" s="10"/>
      <c r="F615" s="10"/>
      <c r="G615" s="10"/>
      <c r="H615" s="10"/>
      <c r="I615" s="10"/>
      <c r="J615" s="10"/>
      <c r="K615" s="10"/>
    </row>
    <row r="616">
      <c r="A616" s="10" t="str">
        <f>IFNA(VLOOKUP(pts_sub!$A616,sub!$B$2:$E1000,4,FALSE),"")</f>
        <v/>
      </c>
      <c r="B616" s="10"/>
      <c r="C616" s="10"/>
      <c r="D616" s="10" t="str">
        <f>IFNA(VLOOKUP(pts_sub!$D616,FIX!$A$2:$D1000,4, FALSE),"")</f>
        <v/>
      </c>
      <c r="E616" s="10"/>
      <c r="F616" s="10"/>
      <c r="G616" s="10"/>
      <c r="H616" s="10"/>
      <c r="I616" s="10"/>
      <c r="J616" s="10"/>
      <c r="K616" s="10"/>
    </row>
    <row r="617">
      <c r="A617" s="10" t="str">
        <f>IFNA(VLOOKUP(pts_sub!$A617,sub!$B$2:$E1000,4,FALSE),"")</f>
        <v/>
      </c>
      <c r="B617" s="10"/>
      <c r="C617" s="10"/>
      <c r="D617" s="10" t="str">
        <f>IFNA(VLOOKUP(pts_sub!$D617,FIX!$A$2:$D1000,4, FALSE),"")</f>
        <v/>
      </c>
      <c r="E617" s="10"/>
      <c r="F617" s="10"/>
      <c r="G617" s="10"/>
      <c r="H617" s="10"/>
      <c r="I617" s="10"/>
      <c r="J617" s="10"/>
      <c r="K617" s="10"/>
    </row>
    <row r="618">
      <c r="A618" s="10" t="str">
        <f>IFNA(VLOOKUP(pts_sub!$A618,sub!$B$2:$E1000,4,FALSE),"")</f>
        <v/>
      </c>
      <c r="B618" s="10"/>
      <c r="C618" s="10"/>
      <c r="D618" s="10" t="str">
        <f>IFNA(VLOOKUP(pts_sub!$D618,FIX!$A$2:$D1000,4, FALSE),"")</f>
        <v/>
      </c>
      <c r="E618" s="10"/>
      <c r="F618" s="10"/>
      <c r="G618" s="10"/>
      <c r="H618" s="10"/>
      <c r="I618" s="10"/>
      <c r="J618" s="10"/>
      <c r="K618" s="10"/>
    </row>
    <row r="619">
      <c r="A619" s="10" t="str">
        <f>IFNA(VLOOKUP(pts_sub!$A619,sub!$B$2:$E1000,4,FALSE),"")</f>
        <v/>
      </c>
      <c r="B619" s="10"/>
      <c r="C619" s="10"/>
      <c r="D619" s="10" t="str">
        <f>IFNA(VLOOKUP(pts_sub!$D619,FIX!$A$2:$D1000,4, FALSE),"")</f>
        <v/>
      </c>
      <c r="E619" s="10"/>
      <c r="F619" s="10"/>
      <c r="G619" s="10"/>
      <c r="H619" s="10"/>
      <c r="I619" s="10"/>
      <c r="J619" s="10"/>
      <c r="K619" s="10"/>
    </row>
    <row r="620">
      <c r="A620" s="10" t="str">
        <f>IFNA(VLOOKUP(pts_sub!$A620,sub!$B$2:$E1000,4,FALSE),"")</f>
        <v/>
      </c>
      <c r="B620" s="10"/>
      <c r="C620" s="10"/>
      <c r="D620" s="10" t="str">
        <f>IFNA(VLOOKUP(pts_sub!$D620,FIX!$A$2:$D1000,4, FALSE),"")</f>
        <v/>
      </c>
      <c r="E620" s="10"/>
      <c r="F620" s="10"/>
      <c r="G620" s="10"/>
      <c r="H620" s="10"/>
      <c r="I620" s="10"/>
      <c r="J620" s="10"/>
      <c r="K620" s="10"/>
    </row>
    <row r="621">
      <c r="A621" s="10" t="str">
        <f>IFNA(VLOOKUP(pts_sub!$A621,sub!$B$2:$E1000,4,FALSE),"")</f>
        <v/>
      </c>
      <c r="B621" s="10"/>
      <c r="C621" s="10"/>
      <c r="D621" s="10" t="str">
        <f>IFNA(VLOOKUP(pts_sub!$D621,FIX!$A$2:$D1000,4, FALSE),"")</f>
        <v/>
      </c>
      <c r="E621" s="10"/>
      <c r="F621" s="10"/>
      <c r="G621" s="10"/>
      <c r="H621" s="10"/>
      <c r="I621" s="10"/>
      <c r="J621" s="10"/>
      <c r="K621" s="10"/>
    </row>
    <row r="622">
      <c r="A622" s="10" t="str">
        <f>IFNA(VLOOKUP(pts_sub!$A622,sub!$B$2:$E1000,4,FALSE),"")</f>
        <v/>
      </c>
      <c r="B622" s="10"/>
      <c r="C622" s="10"/>
      <c r="D622" s="10" t="str">
        <f>IFNA(VLOOKUP(pts_sub!$D622,FIX!$A$2:$D1000,4, FALSE),"")</f>
        <v/>
      </c>
      <c r="E622" s="10"/>
      <c r="F622" s="10"/>
      <c r="G622" s="10"/>
      <c r="H622" s="10"/>
      <c r="I622" s="10"/>
      <c r="J622" s="10"/>
      <c r="K622" s="10"/>
    </row>
    <row r="623">
      <c r="A623" s="10" t="str">
        <f>IFNA(VLOOKUP(pts_sub!$A623,sub!$B$2:$E1000,4,FALSE),"")</f>
        <v/>
      </c>
      <c r="B623" s="10"/>
      <c r="C623" s="10"/>
      <c r="D623" s="10" t="str">
        <f>IFNA(VLOOKUP(pts_sub!$D623,FIX!$A$2:$D1000,4, FALSE),"")</f>
        <v/>
      </c>
      <c r="E623" s="10"/>
      <c r="F623" s="10"/>
      <c r="G623" s="10"/>
      <c r="H623" s="10"/>
      <c r="I623" s="10"/>
      <c r="J623" s="10"/>
      <c r="K623" s="10"/>
    </row>
    <row r="624">
      <c r="A624" s="10" t="str">
        <f>IFNA(VLOOKUP(pts_sub!$A624,sub!$B$2:$E1000,4,FALSE),"")</f>
        <v/>
      </c>
      <c r="B624" s="10"/>
      <c r="C624" s="10"/>
      <c r="D624" s="10" t="str">
        <f>IFNA(VLOOKUP(pts_sub!$D624,FIX!$A$2:$D1000,4, FALSE),"")</f>
        <v/>
      </c>
      <c r="E624" s="10"/>
      <c r="F624" s="10"/>
      <c r="G624" s="10"/>
      <c r="H624" s="10"/>
      <c r="I624" s="10"/>
      <c r="J624" s="10"/>
      <c r="K624" s="10"/>
    </row>
    <row r="625">
      <c r="A625" s="10" t="str">
        <f>IFNA(VLOOKUP(pts_sub!$A625,sub!$B$2:$E1000,4,FALSE),"")</f>
        <v/>
      </c>
      <c r="B625" s="10"/>
      <c r="C625" s="10"/>
      <c r="D625" s="10" t="str">
        <f>IFNA(VLOOKUP(pts_sub!$D625,FIX!$A$2:$D1000,4, FALSE),"")</f>
        <v/>
      </c>
      <c r="E625" s="10"/>
      <c r="F625" s="10"/>
      <c r="G625" s="10"/>
      <c r="H625" s="10"/>
      <c r="I625" s="10"/>
      <c r="J625" s="10"/>
      <c r="K625" s="10"/>
    </row>
    <row r="626">
      <c r="A626" s="10" t="str">
        <f>IFNA(VLOOKUP(pts_sub!$A626,sub!$B$2:$E1000,4,FALSE),"")</f>
        <v/>
      </c>
      <c r="B626" s="10"/>
      <c r="C626" s="10"/>
      <c r="D626" s="10" t="str">
        <f>IFNA(VLOOKUP(pts_sub!$D626,FIX!$A$2:$D1000,4, FALSE),"")</f>
        <v/>
      </c>
      <c r="E626" s="10"/>
      <c r="F626" s="10"/>
      <c r="G626" s="10"/>
      <c r="H626" s="10"/>
      <c r="I626" s="10"/>
      <c r="J626" s="10"/>
      <c r="K626" s="10"/>
    </row>
    <row r="627">
      <c r="A627" s="10" t="str">
        <f>IFNA(VLOOKUP(pts_sub!$A627,sub!$B$2:$E1000,4,FALSE),"")</f>
        <v/>
      </c>
      <c r="B627" s="10"/>
      <c r="C627" s="10"/>
      <c r="D627" s="10" t="str">
        <f>IFNA(VLOOKUP(pts_sub!$D627,FIX!$A$2:$D1000,4, FALSE),"")</f>
        <v/>
      </c>
      <c r="E627" s="10"/>
      <c r="F627" s="10"/>
      <c r="G627" s="10"/>
      <c r="H627" s="10"/>
      <c r="I627" s="10"/>
      <c r="J627" s="10"/>
      <c r="K627" s="10"/>
    </row>
    <row r="628">
      <c r="A628" s="10" t="str">
        <f>IFNA(VLOOKUP(pts_sub!$A628,sub!$B$2:$E1000,4,FALSE),"")</f>
        <v/>
      </c>
      <c r="B628" s="10"/>
      <c r="C628" s="10"/>
      <c r="D628" s="10" t="str">
        <f>IFNA(VLOOKUP(pts_sub!$D628,FIX!$A$2:$D1000,4, FALSE),"")</f>
        <v/>
      </c>
      <c r="E628" s="10"/>
      <c r="F628" s="10"/>
      <c r="G628" s="10"/>
      <c r="H628" s="10"/>
      <c r="I628" s="10"/>
      <c r="J628" s="10"/>
      <c r="K628" s="10"/>
    </row>
    <row r="629">
      <c r="A629" s="10" t="str">
        <f>IFNA(VLOOKUP(pts_sub!$A629,sub!$B$2:$E1000,4,FALSE),"")</f>
        <v/>
      </c>
      <c r="B629" s="10"/>
      <c r="C629" s="10"/>
      <c r="D629" s="10" t="str">
        <f>IFNA(VLOOKUP(pts_sub!$D629,FIX!$A$2:$D1000,4, FALSE),"")</f>
        <v/>
      </c>
      <c r="E629" s="10"/>
      <c r="F629" s="10"/>
      <c r="G629" s="10"/>
      <c r="H629" s="10"/>
      <c r="I629" s="10"/>
      <c r="J629" s="10"/>
      <c r="K629" s="10"/>
    </row>
    <row r="630">
      <c r="A630" s="10" t="str">
        <f>IFNA(VLOOKUP(pts_sub!$A630,sub!$B$2:$E1000,4,FALSE),"")</f>
        <v/>
      </c>
      <c r="B630" s="10"/>
      <c r="C630" s="10"/>
      <c r="D630" s="10" t="str">
        <f>IFNA(VLOOKUP(pts_sub!$D630,FIX!$A$2:$D1000,4, FALSE),"")</f>
        <v/>
      </c>
      <c r="E630" s="10"/>
      <c r="F630" s="10"/>
      <c r="G630" s="10"/>
      <c r="H630" s="10"/>
      <c r="I630" s="10"/>
      <c r="J630" s="10"/>
      <c r="K630" s="10"/>
    </row>
    <row r="631">
      <c r="A631" s="10" t="str">
        <f>IFNA(VLOOKUP(pts_sub!$A631,sub!$B$2:$E1000,4,FALSE),"")</f>
        <v/>
      </c>
      <c r="B631" s="10"/>
      <c r="C631" s="10"/>
      <c r="D631" s="10" t="str">
        <f>IFNA(VLOOKUP(pts_sub!$D631,FIX!$A$2:$D1000,4, FALSE),"")</f>
        <v/>
      </c>
      <c r="E631" s="10"/>
      <c r="F631" s="10"/>
      <c r="G631" s="10"/>
      <c r="H631" s="10"/>
      <c r="I631" s="10"/>
      <c r="J631" s="10"/>
      <c r="K631" s="10"/>
    </row>
    <row r="632">
      <c r="A632" s="10" t="str">
        <f>IFNA(VLOOKUP(pts_sub!$A632,sub!$B$2:$E1000,4,FALSE),"")</f>
        <v/>
      </c>
      <c r="B632" s="10"/>
      <c r="C632" s="10"/>
      <c r="D632" s="10" t="str">
        <f>IFNA(VLOOKUP(pts_sub!$D632,FIX!$A$2:$D1000,4, FALSE),"")</f>
        <v/>
      </c>
      <c r="E632" s="10"/>
      <c r="F632" s="10"/>
      <c r="G632" s="10"/>
      <c r="H632" s="10"/>
      <c r="I632" s="10"/>
      <c r="J632" s="10"/>
      <c r="K632" s="10"/>
    </row>
    <row r="633">
      <c r="A633" s="10" t="str">
        <f>IFNA(VLOOKUP(pts_sub!$A633,sub!$B$2:$E1000,4,FALSE),"")</f>
        <v/>
      </c>
      <c r="B633" s="10"/>
      <c r="C633" s="10"/>
      <c r="D633" s="10" t="str">
        <f>IFNA(VLOOKUP(pts_sub!$D633,FIX!$A$2:$D1000,4, FALSE),"")</f>
        <v/>
      </c>
      <c r="E633" s="10"/>
      <c r="F633" s="10"/>
      <c r="G633" s="10"/>
      <c r="H633" s="10"/>
      <c r="I633" s="10"/>
      <c r="J633" s="10"/>
      <c r="K633" s="10"/>
    </row>
    <row r="634">
      <c r="A634" s="10" t="str">
        <f>IFNA(VLOOKUP(pts_sub!$A634,sub!$B$2:$E1000,4,FALSE),"")</f>
        <v/>
      </c>
      <c r="B634" s="10"/>
      <c r="C634" s="10"/>
      <c r="D634" s="10" t="str">
        <f>IFNA(VLOOKUP(pts_sub!$D634,FIX!$A$2:$D1000,4, FALSE),"")</f>
        <v/>
      </c>
      <c r="E634" s="10"/>
      <c r="F634" s="10"/>
      <c r="G634" s="10"/>
      <c r="H634" s="10"/>
      <c r="I634" s="10"/>
      <c r="J634" s="10"/>
      <c r="K634" s="10"/>
    </row>
    <row r="635">
      <c r="A635" s="10" t="str">
        <f>IFNA(VLOOKUP(pts_sub!$A635,sub!$B$2:$E1000,4,FALSE),"")</f>
        <v/>
      </c>
      <c r="B635" s="10"/>
      <c r="C635" s="10"/>
      <c r="D635" s="10" t="str">
        <f>IFNA(VLOOKUP(pts_sub!$D635,FIX!$A$2:$D1000,4, FALSE),"")</f>
        <v/>
      </c>
      <c r="E635" s="10"/>
      <c r="F635" s="10"/>
      <c r="G635" s="10"/>
      <c r="H635" s="10"/>
      <c r="I635" s="10"/>
      <c r="J635" s="10"/>
      <c r="K635" s="10"/>
    </row>
    <row r="636">
      <c r="A636" s="10" t="str">
        <f>IFNA(VLOOKUP(pts_sub!$A636,sub!$B$2:$E1000,4,FALSE),"")</f>
        <v/>
      </c>
      <c r="B636" s="10"/>
      <c r="C636" s="10"/>
      <c r="D636" s="10" t="str">
        <f>IFNA(VLOOKUP(pts_sub!$D636,FIX!$A$2:$D1000,4, FALSE),"")</f>
        <v/>
      </c>
      <c r="E636" s="10"/>
      <c r="F636" s="10"/>
      <c r="G636" s="10"/>
      <c r="H636" s="10"/>
      <c r="I636" s="10"/>
      <c r="J636" s="10"/>
      <c r="K636" s="10"/>
    </row>
    <row r="637">
      <c r="A637" s="10" t="str">
        <f>IFNA(VLOOKUP(pts_sub!$A637,sub!$B$2:$E1000,4,FALSE),"")</f>
        <v/>
      </c>
      <c r="B637" s="10"/>
      <c r="C637" s="10"/>
      <c r="D637" s="10" t="str">
        <f>IFNA(VLOOKUP(pts_sub!$D637,FIX!$A$2:$D1000,4, FALSE),"")</f>
        <v/>
      </c>
      <c r="E637" s="10"/>
      <c r="F637" s="10"/>
      <c r="G637" s="10"/>
      <c r="H637" s="10"/>
      <c r="I637" s="10"/>
      <c r="J637" s="10"/>
      <c r="K637" s="10"/>
    </row>
    <row r="638">
      <c r="A638" s="10" t="str">
        <f>IFNA(VLOOKUP(pts_sub!$A638,sub!$B$2:$E1000,4,FALSE),"")</f>
        <v/>
      </c>
      <c r="B638" s="10"/>
      <c r="C638" s="10"/>
      <c r="D638" s="10" t="str">
        <f>IFNA(VLOOKUP(pts_sub!$D638,FIX!$A$2:$D1000,4, FALSE),"")</f>
        <v/>
      </c>
      <c r="E638" s="10"/>
      <c r="F638" s="10"/>
      <c r="G638" s="10"/>
      <c r="H638" s="10"/>
      <c r="I638" s="10"/>
      <c r="J638" s="10"/>
      <c r="K638" s="10"/>
    </row>
    <row r="639">
      <c r="A639" s="10" t="str">
        <f>IFNA(VLOOKUP(pts_sub!$A639,sub!$B$2:$E1000,4,FALSE),"")</f>
        <v/>
      </c>
      <c r="B639" s="10"/>
      <c r="C639" s="10"/>
      <c r="D639" s="10" t="str">
        <f>IFNA(VLOOKUP(pts_sub!$D639,FIX!$A$2:$D1000,4, FALSE),"")</f>
        <v/>
      </c>
      <c r="E639" s="10"/>
      <c r="F639" s="10"/>
      <c r="G639" s="10"/>
      <c r="H639" s="10"/>
      <c r="I639" s="10"/>
      <c r="J639" s="10"/>
      <c r="K639" s="10"/>
    </row>
    <row r="640">
      <c r="A640" s="10" t="str">
        <f>IFNA(VLOOKUP(pts_sub!$A640,sub!$B$2:$E1000,4,FALSE),"")</f>
        <v/>
      </c>
      <c r="B640" s="10"/>
      <c r="C640" s="10"/>
      <c r="D640" s="10" t="str">
        <f>IFNA(VLOOKUP(pts_sub!$D640,FIX!$A$2:$D1000,4, FALSE),"")</f>
        <v/>
      </c>
      <c r="E640" s="10"/>
      <c r="F640" s="10"/>
      <c r="G640" s="10"/>
      <c r="H640" s="10"/>
      <c r="I640" s="10"/>
      <c r="J640" s="10"/>
      <c r="K640" s="10"/>
    </row>
    <row r="641">
      <c r="A641" s="10" t="str">
        <f>IFNA(VLOOKUP(pts_sub!$A641,sub!$B$2:$E1000,4,FALSE),"")</f>
        <v/>
      </c>
      <c r="B641" s="10"/>
      <c r="C641" s="10"/>
      <c r="D641" s="10" t="str">
        <f>IFNA(VLOOKUP(pts_sub!$D641,FIX!$A$2:$D1000,4, FALSE),"")</f>
        <v/>
      </c>
      <c r="E641" s="10"/>
      <c r="F641" s="10"/>
      <c r="G641" s="10"/>
      <c r="H641" s="10"/>
      <c r="I641" s="10"/>
      <c r="J641" s="10"/>
      <c r="K641" s="10"/>
    </row>
    <row r="642">
      <c r="A642" s="10" t="str">
        <f>IFNA(VLOOKUP(pts_sub!$A642,sub!$B$2:$E1000,4,FALSE),"")</f>
        <v/>
      </c>
      <c r="B642" s="10"/>
      <c r="C642" s="10"/>
      <c r="D642" s="10" t="str">
        <f>IFNA(VLOOKUP(pts_sub!$D642,FIX!$A$2:$D1000,4, FALSE),"")</f>
        <v/>
      </c>
      <c r="E642" s="10"/>
      <c r="F642" s="10"/>
      <c r="G642" s="10"/>
      <c r="H642" s="10"/>
      <c r="I642" s="10"/>
      <c r="J642" s="10"/>
      <c r="K642" s="10"/>
    </row>
    <row r="643">
      <c r="A643" s="10" t="str">
        <f>IFNA(VLOOKUP(pts_sub!$A643,sub!$B$2:$E1000,4,FALSE),"")</f>
        <v/>
      </c>
      <c r="B643" s="10"/>
      <c r="C643" s="10"/>
      <c r="D643" s="10" t="str">
        <f>IFNA(VLOOKUP(pts_sub!$D643,FIX!$A$2:$D1000,4, FALSE),"")</f>
        <v/>
      </c>
      <c r="E643" s="10"/>
      <c r="F643" s="10"/>
      <c r="G643" s="10"/>
      <c r="H643" s="10"/>
      <c r="I643" s="10"/>
      <c r="J643" s="10"/>
      <c r="K643" s="10"/>
    </row>
    <row r="644">
      <c r="A644" s="10" t="str">
        <f>IFNA(VLOOKUP(pts_sub!$A644,sub!$B$2:$E1000,4,FALSE),"")</f>
        <v/>
      </c>
      <c r="B644" s="10"/>
      <c r="C644" s="10"/>
      <c r="D644" s="10" t="str">
        <f>IFNA(VLOOKUP(pts_sub!$D644,FIX!$A$2:$D1000,4, FALSE),"")</f>
        <v/>
      </c>
      <c r="E644" s="10"/>
      <c r="F644" s="10"/>
      <c r="G644" s="10"/>
      <c r="H644" s="10"/>
      <c r="I644" s="10"/>
      <c r="J644" s="10"/>
      <c r="K644" s="10"/>
    </row>
    <row r="645">
      <c r="A645" s="10" t="str">
        <f>IFNA(VLOOKUP(pts_sub!$A645,sub!$B$2:$E1000,4,FALSE),"")</f>
        <v/>
      </c>
      <c r="B645" s="10"/>
      <c r="C645" s="10"/>
      <c r="D645" s="10" t="str">
        <f>IFNA(VLOOKUP(pts_sub!$D645,FIX!$A$2:$D1000,4, FALSE),"")</f>
        <v/>
      </c>
      <c r="E645" s="10"/>
      <c r="F645" s="10"/>
      <c r="G645" s="10"/>
      <c r="H645" s="10"/>
      <c r="I645" s="10"/>
      <c r="J645" s="10"/>
      <c r="K645" s="10"/>
    </row>
    <row r="646">
      <c r="A646" s="10" t="str">
        <f>IFNA(VLOOKUP(pts_sub!$A646,sub!$B$2:$E1000,4,FALSE),"")</f>
        <v/>
      </c>
      <c r="B646" s="10"/>
      <c r="C646" s="10"/>
      <c r="D646" s="10" t="str">
        <f>IFNA(VLOOKUP(pts_sub!$D646,FIX!$A$2:$D1000,4, FALSE),"")</f>
        <v/>
      </c>
      <c r="E646" s="10"/>
      <c r="F646" s="10"/>
      <c r="G646" s="10"/>
      <c r="H646" s="10"/>
      <c r="I646" s="10"/>
      <c r="J646" s="10"/>
      <c r="K646" s="10"/>
    </row>
    <row r="647">
      <c r="A647" s="10" t="str">
        <f>IFNA(VLOOKUP(pts_sub!$A647,sub!$B$2:$E1000,4,FALSE),"")</f>
        <v/>
      </c>
      <c r="B647" s="10"/>
      <c r="C647" s="10"/>
      <c r="D647" s="10" t="str">
        <f>IFNA(VLOOKUP(pts_sub!$D647,FIX!$A$2:$D1000,4, FALSE),"")</f>
        <v/>
      </c>
      <c r="E647" s="10"/>
      <c r="F647" s="10"/>
      <c r="G647" s="10"/>
      <c r="H647" s="10"/>
      <c r="I647" s="10"/>
      <c r="J647" s="10"/>
      <c r="K647" s="10"/>
    </row>
    <row r="648">
      <c r="A648" s="10" t="str">
        <f>IFNA(VLOOKUP(pts_sub!$A648,sub!$B$2:$E1000,4,FALSE),"")</f>
        <v/>
      </c>
      <c r="B648" s="10"/>
      <c r="C648" s="10"/>
      <c r="D648" s="10" t="str">
        <f>IFNA(VLOOKUP(pts_sub!$D648,FIX!$A$2:$D1000,4, FALSE),"")</f>
        <v/>
      </c>
      <c r="E648" s="10"/>
      <c r="F648" s="10"/>
      <c r="G648" s="10"/>
      <c r="H648" s="10"/>
      <c r="I648" s="10"/>
      <c r="J648" s="10"/>
      <c r="K648" s="10"/>
    </row>
    <row r="649">
      <c r="A649" s="10" t="str">
        <f>IFNA(VLOOKUP(pts_sub!$A649,sub!$B$2:$E1000,4,FALSE),"")</f>
        <v/>
      </c>
      <c r="B649" s="10"/>
      <c r="C649" s="10"/>
      <c r="D649" s="10" t="str">
        <f>IFNA(VLOOKUP(pts_sub!$D649,FIX!$A$2:$D1000,4, FALSE),"")</f>
        <v/>
      </c>
      <c r="E649" s="10"/>
      <c r="F649" s="10"/>
      <c r="G649" s="10"/>
      <c r="H649" s="10"/>
      <c r="I649" s="10"/>
      <c r="J649" s="10"/>
      <c r="K649" s="10"/>
    </row>
    <row r="650">
      <c r="A650" s="10" t="str">
        <f>IFNA(VLOOKUP(pts_sub!$A650,sub!$B$2:$E1000,4,FALSE),"")</f>
        <v/>
      </c>
      <c r="B650" s="10"/>
      <c r="C650" s="10"/>
      <c r="D650" s="10" t="str">
        <f>IFNA(VLOOKUP(pts_sub!$D650,FIX!$A$2:$D1000,4, FALSE),"")</f>
        <v/>
      </c>
      <c r="E650" s="10"/>
      <c r="F650" s="10"/>
      <c r="G650" s="10"/>
      <c r="H650" s="10"/>
      <c r="I650" s="10"/>
      <c r="J650" s="10"/>
      <c r="K650" s="10"/>
    </row>
    <row r="651">
      <c r="A651" s="10" t="str">
        <f>IFNA(VLOOKUP(pts_sub!$A651,sub!$B$2:$E1000,4,FALSE),"")</f>
        <v/>
      </c>
      <c r="B651" s="10"/>
      <c r="C651" s="10"/>
      <c r="D651" s="10" t="str">
        <f>IFNA(VLOOKUP(pts_sub!$D651,FIX!$A$2:$D1000,4, FALSE),"")</f>
        <v/>
      </c>
      <c r="E651" s="10"/>
      <c r="F651" s="10"/>
      <c r="G651" s="10"/>
      <c r="H651" s="10"/>
      <c r="I651" s="10"/>
      <c r="J651" s="10"/>
      <c r="K651" s="10"/>
    </row>
    <row r="652">
      <c r="A652" s="10" t="str">
        <f>IFNA(VLOOKUP(pts_sub!$A652,sub!$B$2:$E1000,4,FALSE),"")</f>
        <v/>
      </c>
      <c r="B652" s="10"/>
      <c r="C652" s="10"/>
      <c r="D652" s="10" t="str">
        <f>IFNA(VLOOKUP(pts_sub!$D652,FIX!$A$2:$D1000,4, FALSE),"")</f>
        <v/>
      </c>
      <c r="E652" s="10"/>
      <c r="F652" s="10"/>
      <c r="G652" s="10"/>
      <c r="H652" s="10"/>
      <c r="I652" s="10"/>
      <c r="J652" s="10"/>
      <c r="K652" s="10"/>
    </row>
    <row r="653">
      <c r="A653" s="10" t="str">
        <f>IFNA(VLOOKUP(pts_sub!$A653,sub!$B$2:$E1000,4,FALSE),"")</f>
        <v/>
      </c>
      <c r="B653" s="10"/>
      <c r="C653" s="10"/>
      <c r="D653" s="10" t="str">
        <f>IFNA(VLOOKUP(pts_sub!$D653,FIX!$A$2:$D1000,4, FALSE),"")</f>
        <v/>
      </c>
      <c r="E653" s="10"/>
      <c r="F653" s="10"/>
      <c r="G653" s="10"/>
      <c r="H653" s="10"/>
      <c r="I653" s="10"/>
      <c r="J653" s="10"/>
      <c r="K653" s="10"/>
    </row>
    <row r="654">
      <c r="A654" s="10" t="str">
        <f>IFNA(VLOOKUP(pts_sub!$A654,sub!$B$2:$E1000,4,FALSE),"")</f>
        <v/>
      </c>
      <c r="B654" s="10"/>
      <c r="C654" s="10"/>
      <c r="D654" s="10" t="str">
        <f>IFNA(VLOOKUP(pts_sub!$D654,FIX!$A$2:$D1000,4, FALSE),"")</f>
        <v/>
      </c>
      <c r="E654" s="10"/>
      <c r="F654" s="10"/>
      <c r="G654" s="10"/>
      <c r="H654" s="10"/>
      <c r="I654" s="10"/>
      <c r="J654" s="10"/>
      <c r="K654" s="10"/>
    </row>
    <row r="655">
      <c r="A655" s="10" t="str">
        <f>IFNA(VLOOKUP(pts_sub!$A655,sub!$B$2:$E1000,4,FALSE),"")</f>
        <v/>
      </c>
      <c r="B655" s="10"/>
      <c r="C655" s="10"/>
      <c r="D655" s="10" t="str">
        <f>IFNA(VLOOKUP(pts_sub!$D655,FIX!$A$2:$D1000,4, FALSE),"")</f>
        <v/>
      </c>
      <c r="E655" s="10"/>
      <c r="F655" s="10"/>
      <c r="G655" s="10"/>
      <c r="H655" s="10"/>
      <c r="I655" s="10"/>
      <c r="J655" s="10"/>
      <c r="K655" s="10"/>
    </row>
    <row r="656">
      <c r="A656" s="10" t="str">
        <f>IFNA(VLOOKUP(pts_sub!$A656,sub!$B$2:$E1000,4,FALSE),"")</f>
        <v/>
      </c>
      <c r="B656" s="10"/>
      <c r="C656" s="10"/>
      <c r="D656" s="10" t="str">
        <f>IFNA(VLOOKUP(pts_sub!$D656,FIX!$A$2:$D1000,4, FALSE),"")</f>
        <v/>
      </c>
      <c r="E656" s="10"/>
      <c r="F656" s="10"/>
      <c r="G656" s="10"/>
      <c r="H656" s="10"/>
      <c r="I656" s="10"/>
      <c r="J656" s="10"/>
      <c r="K656" s="10"/>
    </row>
    <row r="657">
      <c r="A657" s="10" t="str">
        <f>IFNA(VLOOKUP(pts_sub!$A657,sub!$B$2:$E1000,4,FALSE),"")</f>
        <v/>
      </c>
      <c r="B657" s="10"/>
      <c r="C657" s="10"/>
      <c r="D657" s="10" t="str">
        <f>IFNA(VLOOKUP(pts_sub!$D657,FIX!$A$2:$D1000,4, FALSE),"")</f>
        <v/>
      </c>
      <c r="E657" s="10"/>
      <c r="F657" s="10"/>
      <c r="G657" s="10"/>
      <c r="H657" s="10"/>
      <c r="I657" s="10"/>
      <c r="J657" s="10"/>
      <c r="K657" s="10"/>
    </row>
    <row r="658">
      <c r="A658" s="10" t="str">
        <f>IFNA(VLOOKUP(pts_sub!$A658,sub!$B$2:$E1000,4,FALSE),"")</f>
        <v/>
      </c>
      <c r="B658" s="10"/>
      <c r="C658" s="10"/>
      <c r="D658" s="10" t="str">
        <f>IFNA(VLOOKUP(pts_sub!$D658,FIX!$A$2:$D1000,4, FALSE),"")</f>
        <v/>
      </c>
      <c r="E658" s="10"/>
      <c r="F658" s="10"/>
      <c r="G658" s="10"/>
      <c r="H658" s="10"/>
      <c r="I658" s="10"/>
      <c r="J658" s="10"/>
      <c r="K658" s="10"/>
    </row>
    <row r="659">
      <c r="A659" s="10" t="str">
        <f>IFNA(VLOOKUP(pts_sub!$A659,sub!$B$2:$E1000,4,FALSE),"")</f>
        <v/>
      </c>
      <c r="B659" s="10"/>
      <c r="C659" s="10"/>
      <c r="D659" s="10" t="str">
        <f>IFNA(VLOOKUP(pts_sub!$D659,FIX!$A$2:$D1000,4, FALSE),"")</f>
        <v/>
      </c>
      <c r="E659" s="10"/>
      <c r="F659" s="10"/>
      <c r="G659" s="10"/>
      <c r="H659" s="10"/>
      <c r="I659" s="10"/>
      <c r="J659" s="10"/>
      <c r="K659" s="10"/>
    </row>
    <row r="660">
      <c r="A660" s="10" t="str">
        <f>IFNA(VLOOKUP(pts_sub!$A660,sub!$B$2:$E1000,4,FALSE),"")</f>
        <v/>
      </c>
      <c r="B660" s="10"/>
      <c r="C660" s="10"/>
      <c r="D660" s="10" t="str">
        <f>IFNA(VLOOKUP(pts_sub!$D660,FIX!$A$2:$D1000,4, FALSE),"")</f>
        <v/>
      </c>
      <c r="E660" s="10"/>
      <c r="F660" s="10"/>
      <c r="G660" s="10"/>
      <c r="H660" s="10"/>
      <c r="I660" s="10"/>
      <c r="J660" s="10"/>
      <c r="K660" s="10"/>
    </row>
    <row r="661">
      <c r="A661" s="10" t="str">
        <f>IFNA(VLOOKUP(pts_sub!$A661,sub!$B$2:$E1000,4,FALSE),"")</f>
        <v/>
      </c>
      <c r="B661" s="10"/>
      <c r="C661" s="10"/>
      <c r="D661" s="10" t="str">
        <f>IFNA(VLOOKUP(pts_sub!$D661,FIX!$A$2:$D1000,4, FALSE),"")</f>
        <v/>
      </c>
      <c r="E661" s="10"/>
      <c r="F661" s="10"/>
      <c r="G661" s="10"/>
      <c r="H661" s="10"/>
      <c r="I661" s="10"/>
      <c r="J661" s="10"/>
      <c r="K661" s="10"/>
    </row>
    <row r="662">
      <c r="A662" s="10" t="str">
        <f>IFNA(VLOOKUP(pts_sub!$A662,sub!$B$2:$E1000,4,FALSE),"")</f>
        <v/>
      </c>
      <c r="B662" s="10"/>
      <c r="C662" s="10"/>
      <c r="D662" s="10" t="str">
        <f>IFNA(VLOOKUP(pts_sub!$D662,FIX!$A$2:$D1000,4, FALSE),"")</f>
        <v/>
      </c>
      <c r="E662" s="10"/>
      <c r="F662" s="10"/>
      <c r="G662" s="10"/>
      <c r="H662" s="10"/>
      <c r="I662" s="10"/>
      <c r="J662" s="10"/>
      <c r="K662" s="10"/>
    </row>
    <row r="663">
      <c r="A663" s="10" t="str">
        <f>IFNA(VLOOKUP(pts_sub!$A663,sub!$B$2:$E1000,4,FALSE),"")</f>
        <v/>
      </c>
      <c r="B663" s="10"/>
      <c r="C663" s="10"/>
      <c r="D663" s="10" t="str">
        <f>IFNA(VLOOKUP(pts_sub!$D663,FIX!$A$2:$D1000,4, FALSE),"")</f>
        <v/>
      </c>
      <c r="E663" s="10"/>
      <c r="F663" s="10"/>
      <c r="G663" s="10"/>
      <c r="H663" s="10"/>
      <c r="I663" s="10"/>
      <c r="J663" s="10"/>
      <c r="K663" s="10"/>
    </row>
    <row r="664">
      <c r="A664" s="10" t="str">
        <f>IFNA(VLOOKUP(pts_sub!$A664,sub!$B$2:$E1000,4,FALSE),"")</f>
        <v/>
      </c>
      <c r="B664" s="10"/>
      <c r="C664" s="10"/>
      <c r="D664" s="10" t="str">
        <f>IFNA(VLOOKUP(pts_sub!$D664,FIX!$A$2:$D1000,4, FALSE),"")</f>
        <v/>
      </c>
      <c r="E664" s="10"/>
      <c r="F664" s="10"/>
      <c r="G664" s="10"/>
      <c r="H664" s="10"/>
      <c r="I664" s="10"/>
      <c r="J664" s="10"/>
      <c r="K664" s="10"/>
    </row>
    <row r="665">
      <c r="A665" s="10" t="str">
        <f>IFNA(VLOOKUP(pts_sub!$A665,sub!$B$2:$E1000,4,FALSE),"")</f>
        <v/>
      </c>
      <c r="B665" s="10"/>
      <c r="C665" s="10"/>
      <c r="D665" s="10" t="str">
        <f>IFNA(VLOOKUP(pts_sub!$D665,FIX!$A$2:$D1000,4, FALSE),"")</f>
        <v/>
      </c>
      <c r="E665" s="10"/>
      <c r="F665" s="10"/>
      <c r="G665" s="10"/>
      <c r="H665" s="10"/>
      <c r="I665" s="10"/>
      <c r="J665" s="10"/>
      <c r="K665" s="10"/>
    </row>
    <row r="666">
      <c r="A666" s="10" t="str">
        <f>IFNA(VLOOKUP(pts_sub!$A666,sub!$B$2:$E1000,4,FALSE),"")</f>
        <v/>
      </c>
      <c r="B666" s="10"/>
      <c r="C666" s="10"/>
      <c r="D666" s="10" t="str">
        <f>IFNA(VLOOKUP(pts_sub!$D666,FIX!$A$2:$D1000,4, FALSE),"")</f>
        <v/>
      </c>
      <c r="E666" s="10"/>
      <c r="F666" s="10"/>
      <c r="G666" s="10"/>
      <c r="H666" s="10"/>
      <c r="I666" s="10"/>
      <c r="J666" s="10"/>
      <c r="K666" s="10"/>
    </row>
    <row r="667">
      <c r="A667" s="10" t="str">
        <f>IFNA(VLOOKUP(pts_sub!$A667,sub!$B$2:$E1000,4,FALSE),"")</f>
        <v/>
      </c>
      <c r="B667" s="10"/>
      <c r="C667" s="10"/>
      <c r="D667" s="10" t="str">
        <f>IFNA(VLOOKUP(pts_sub!$D667,FIX!$A$2:$D1000,4, FALSE),"")</f>
        <v/>
      </c>
      <c r="E667" s="10"/>
      <c r="F667" s="10"/>
      <c r="G667" s="10"/>
      <c r="H667" s="10"/>
      <c r="I667" s="10"/>
      <c r="J667" s="10"/>
      <c r="K667" s="10"/>
    </row>
    <row r="668">
      <c r="A668" s="10" t="str">
        <f>IFNA(VLOOKUP(pts_sub!$A668,sub!$B$2:$E1000,4,FALSE),"")</f>
        <v/>
      </c>
      <c r="B668" s="10"/>
      <c r="C668" s="10"/>
      <c r="D668" s="10" t="str">
        <f>IFNA(VLOOKUP(pts_sub!$D668,FIX!$A$2:$D1000,4, FALSE),"")</f>
        <v/>
      </c>
      <c r="E668" s="10"/>
      <c r="F668" s="10"/>
      <c r="G668" s="10"/>
      <c r="H668" s="10"/>
      <c r="I668" s="10"/>
      <c r="J668" s="10"/>
      <c r="K668" s="10"/>
    </row>
    <row r="669">
      <c r="A669" s="10" t="str">
        <f>IFNA(VLOOKUP(pts_sub!$A669,sub!$B$2:$E1000,4,FALSE),"")</f>
        <v/>
      </c>
      <c r="B669" s="10"/>
      <c r="C669" s="10"/>
      <c r="D669" s="10" t="str">
        <f>IFNA(VLOOKUP(pts_sub!$D669,FIX!$A$2:$D1000,4, FALSE),"")</f>
        <v/>
      </c>
      <c r="E669" s="10"/>
      <c r="F669" s="10"/>
      <c r="G669" s="10"/>
      <c r="H669" s="10"/>
      <c r="I669" s="10"/>
      <c r="J669" s="10"/>
      <c r="K669" s="10"/>
    </row>
    <row r="670">
      <c r="A670" s="10" t="str">
        <f>IFNA(VLOOKUP(pts_sub!$A670,sub!$B$2:$E1000,4,FALSE),"")</f>
        <v/>
      </c>
      <c r="B670" s="10"/>
      <c r="C670" s="10"/>
      <c r="D670" s="10" t="str">
        <f>IFNA(VLOOKUP(pts_sub!$D670,FIX!$A$2:$D1000,4, FALSE),"")</f>
        <v/>
      </c>
      <c r="E670" s="10"/>
      <c r="F670" s="10"/>
      <c r="G670" s="10"/>
      <c r="H670" s="10"/>
      <c r="I670" s="10"/>
      <c r="J670" s="10"/>
      <c r="K670" s="10"/>
    </row>
    <row r="671">
      <c r="A671" s="10" t="str">
        <f>IFNA(VLOOKUP(pts_sub!$A671,sub!$B$2:$E1000,4,FALSE),"")</f>
        <v/>
      </c>
      <c r="B671" s="10"/>
      <c r="C671" s="10"/>
      <c r="D671" s="10" t="str">
        <f>IFNA(VLOOKUP(pts_sub!$D671,FIX!$A$2:$D1000,4, FALSE),"")</f>
        <v/>
      </c>
      <c r="E671" s="10"/>
      <c r="F671" s="10"/>
      <c r="G671" s="10"/>
      <c r="H671" s="10"/>
      <c r="I671" s="10"/>
      <c r="J671" s="10"/>
      <c r="K671" s="10"/>
    </row>
    <row r="672">
      <c r="A672" s="10" t="str">
        <f>IFNA(VLOOKUP(pts_sub!$A672,sub!$B$2:$E1000,4,FALSE),"")</f>
        <v/>
      </c>
      <c r="B672" s="10"/>
      <c r="C672" s="10"/>
      <c r="D672" s="10" t="str">
        <f>IFNA(VLOOKUP(pts_sub!$D672,FIX!$A$2:$D1000,4, FALSE),"")</f>
        <v/>
      </c>
      <c r="E672" s="10"/>
      <c r="F672" s="10"/>
      <c r="G672" s="10"/>
      <c r="H672" s="10"/>
      <c r="I672" s="10"/>
      <c r="J672" s="10"/>
      <c r="K672" s="10"/>
    </row>
    <row r="673">
      <c r="A673" s="10" t="str">
        <f>IFNA(VLOOKUP(pts_sub!$A673,sub!$B$2:$E1000,4,FALSE),"")</f>
        <v/>
      </c>
      <c r="B673" s="10"/>
      <c r="C673" s="10"/>
      <c r="D673" s="10" t="str">
        <f>IFNA(VLOOKUP(pts_sub!$D673,FIX!$A$2:$D1000,4, FALSE),"")</f>
        <v/>
      </c>
      <c r="E673" s="10"/>
      <c r="F673" s="10"/>
      <c r="G673" s="10"/>
      <c r="H673" s="10"/>
      <c r="I673" s="10"/>
      <c r="J673" s="10"/>
      <c r="K673" s="10"/>
    </row>
    <row r="674">
      <c r="A674" s="10" t="str">
        <f>IFNA(VLOOKUP(pts_sub!$A674,sub!$B$2:$E1000,4,FALSE),"")</f>
        <v/>
      </c>
      <c r="B674" s="10"/>
      <c r="C674" s="10"/>
      <c r="D674" s="10" t="str">
        <f>IFNA(VLOOKUP(pts_sub!$D674,FIX!$A$2:$D1000,4, FALSE),"")</f>
        <v/>
      </c>
      <c r="E674" s="10"/>
      <c r="F674" s="10"/>
      <c r="G674" s="10"/>
      <c r="H674" s="10"/>
      <c r="I674" s="10"/>
      <c r="J674" s="10"/>
      <c r="K674" s="10"/>
    </row>
    <row r="675">
      <c r="A675" s="10" t="str">
        <f>IFNA(VLOOKUP(pts_sub!$A675,sub!$B$2:$E1000,4,FALSE),"")</f>
        <v/>
      </c>
      <c r="B675" s="10"/>
      <c r="C675" s="10"/>
      <c r="D675" s="10" t="str">
        <f>IFNA(VLOOKUP(pts_sub!$D675,FIX!$A$2:$D1000,4, FALSE),"")</f>
        <v/>
      </c>
      <c r="E675" s="10"/>
      <c r="F675" s="10"/>
      <c r="G675" s="10"/>
      <c r="H675" s="10"/>
      <c r="I675" s="10"/>
      <c r="J675" s="10"/>
      <c r="K675" s="10"/>
    </row>
    <row r="676">
      <c r="A676" s="10" t="str">
        <f>IFNA(VLOOKUP(pts_sub!$A676,sub!$B$2:$E1000,4,FALSE),"")</f>
        <v/>
      </c>
      <c r="B676" s="10"/>
      <c r="C676" s="10"/>
      <c r="D676" s="10" t="str">
        <f>IFNA(VLOOKUP(pts_sub!$D676,FIX!$A$2:$D1000,4, FALSE),"")</f>
        <v/>
      </c>
      <c r="E676" s="10"/>
      <c r="F676" s="10"/>
      <c r="G676" s="10"/>
      <c r="H676" s="10"/>
      <c r="I676" s="10"/>
      <c r="J676" s="10"/>
      <c r="K676" s="10"/>
    </row>
    <row r="677">
      <c r="A677" s="10" t="str">
        <f>IFNA(VLOOKUP(pts_sub!$A677,sub!$B$2:$E1000,4,FALSE),"")</f>
        <v/>
      </c>
      <c r="B677" s="10"/>
      <c r="C677" s="10"/>
      <c r="D677" s="10" t="str">
        <f>IFNA(VLOOKUP(pts_sub!$D677,FIX!$A$2:$D1000,4, FALSE),"")</f>
        <v/>
      </c>
      <c r="E677" s="10"/>
      <c r="F677" s="10"/>
      <c r="G677" s="10"/>
      <c r="H677" s="10"/>
      <c r="I677" s="10"/>
      <c r="J677" s="10"/>
      <c r="K677" s="10"/>
    </row>
    <row r="678">
      <c r="A678" s="10" t="str">
        <f>IFNA(VLOOKUP(pts_sub!$A678,sub!$B$2:$E1000,4,FALSE),"")</f>
        <v/>
      </c>
      <c r="B678" s="10"/>
      <c r="C678" s="10"/>
      <c r="D678" s="10" t="str">
        <f>IFNA(VLOOKUP(pts_sub!$D678,FIX!$A$2:$D1000,4, FALSE),"")</f>
        <v/>
      </c>
      <c r="E678" s="10"/>
      <c r="F678" s="10"/>
      <c r="G678" s="10"/>
      <c r="H678" s="10"/>
      <c r="I678" s="10"/>
      <c r="J678" s="10"/>
      <c r="K678" s="10"/>
    </row>
    <row r="679">
      <c r="A679" s="10" t="str">
        <f>IFNA(VLOOKUP(pts_sub!$A679,sub!$B$2:$E1000,4,FALSE),"")</f>
        <v/>
      </c>
      <c r="B679" s="10"/>
      <c r="C679" s="10"/>
      <c r="D679" s="10" t="str">
        <f>IFNA(VLOOKUP(pts_sub!$D679,FIX!$A$2:$D1000,4, FALSE),"")</f>
        <v/>
      </c>
      <c r="E679" s="10"/>
      <c r="F679" s="10"/>
      <c r="G679" s="10"/>
      <c r="H679" s="10"/>
      <c r="I679" s="10"/>
      <c r="J679" s="10"/>
      <c r="K679" s="10"/>
    </row>
    <row r="680">
      <c r="A680" s="10" t="str">
        <f>IFNA(VLOOKUP(pts_sub!$A680,sub!$B$2:$E1000,4,FALSE),"")</f>
        <v/>
      </c>
      <c r="B680" s="10"/>
      <c r="C680" s="10"/>
      <c r="D680" s="10" t="str">
        <f>IFNA(VLOOKUP(pts_sub!$D680,FIX!$A$2:$D1000,4, FALSE),"")</f>
        <v/>
      </c>
      <c r="E680" s="10"/>
      <c r="F680" s="10"/>
      <c r="G680" s="10"/>
      <c r="H680" s="10"/>
      <c r="I680" s="10"/>
      <c r="J680" s="10"/>
      <c r="K680" s="10"/>
    </row>
    <row r="681">
      <c r="A681" s="10" t="str">
        <f>IFNA(VLOOKUP(pts_sub!$A681,sub!$B$2:$E1000,4,FALSE),"")</f>
        <v/>
      </c>
      <c r="B681" s="10"/>
      <c r="C681" s="10"/>
      <c r="D681" s="10" t="str">
        <f>IFNA(VLOOKUP(pts_sub!$D681,FIX!$A$2:$D1000,4, FALSE),"")</f>
        <v/>
      </c>
      <c r="E681" s="10"/>
      <c r="F681" s="10"/>
      <c r="G681" s="10"/>
      <c r="H681" s="10"/>
      <c r="I681" s="10"/>
      <c r="J681" s="10"/>
      <c r="K681" s="10"/>
    </row>
    <row r="682">
      <c r="A682" s="10" t="str">
        <f>IFNA(VLOOKUP(pts_sub!$A682,sub!$B$2:$E1000,4,FALSE),"")</f>
        <v/>
      </c>
      <c r="B682" s="10"/>
      <c r="C682" s="10"/>
      <c r="D682" s="10" t="str">
        <f>IFNA(VLOOKUP(pts_sub!$D682,FIX!$A$2:$D1000,4, FALSE),"")</f>
        <v/>
      </c>
      <c r="E682" s="10"/>
      <c r="F682" s="10"/>
      <c r="G682" s="10"/>
      <c r="H682" s="10"/>
      <c r="I682" s="10"/>
      <c r="J682" s="10"/>
      <c r="K682" s="10"/>
    </row>
    <row r="683">
      <c r="A683" s="10" t="str">
        <f>IFNA(VLOOKUP(pts_sub!$A683,sub!$B$2:$E1000,4,FALSE),"")</f>
        <v/>
      </c>
      <c r="B683" s="10"/>
      <c r="C683" s="10"/>
      <c r="D683" s="10" t="str">
        <f>IFNA(VLOOKUP(pts_sub!$D683,FIX!$A$2:$D1000,4, FALSE),"")</f>
        <v/>
      </c>
      <c r="E683" s="10"/>
      <c r="F683" s="10"/>
      <c r="G683" s="10"/>
      <c r="H683" s="10"/>
      <c r="I683" s="10"/>
      <c r="J683" s="10"/>
      <c r="K683" s="10"/>
    </row>
    <row r="684">
      <c r="A684" s="10" t="str">
        <f>IFNA(VLOOKUP(pts_sub!$A684,sub!$B$2:$E1000,4,FALSE),"")</f>
        <v/>
      </c>
      <c r="B684" s="10"/>
      <c r="C684" s="10"/>
      <c r="D684" s="10" t="str">
        <f>IFNA(VLOOKUP(pts_sub!$D684,FIX!$A$2:$D1000,4, FALSE),"")</f>
        <v/>
      </c>
      <c r="E684" s="10"/>
      <c r="F684" s="10"/>
      <c r="G684" s="10"/>
      <c r="H684" s="10"/>
      <c r="I684" s="10"/>
      <c r="J684" s="10"/>
      <c r="K684" s="10"/>
    </row>
    <row r="685">
      <c r="A685" s="10" t="str">
        <f>IFNA(VLOOKUP(pts_sub!$A685,sub!$B$2:$E1000,4,FALSE),"")</f>
        <v/>
      </c>
      <c r="B685" s="10"/>
      <c r="C685" s="10"/>
      <c r="D685" s="10" t="str">
        <f>IFNA(VLOOKUP(pts_sub!$D685,FIX!$A$2:$D1000,4, FALSE),"")</f>
        <v/>
      </c>
      <c r="E685" s="10"/>
      <c r="F685" s="10"/>
      <c r="G685" s="10"/>
      <c r="H685" s="10"/>
      <c r="I685" s="10"/>
      <c r="J685" s="10"/>
      <c r="K685" s="10"/>
    </row>
    <row r="686">
      <c r="A686" s="10" t="str">
        <f>IFNA(VLOOKUP(pts_sub!$A686,sub!$B$2:$E1000,4,FALSE),"")</f>
        <v/>
      </c>
      <c r="B686" s="10"/>
      <c r="C686" s="10"/>
      <c r="D686" s="10" t="str">
        <f>IFNA(VLOOKUP(pts_sub!$D686,FIX!$A$2:$D1000,4, FALSE),"")</f>
        <v/>
      </c>
      <c r="E686" s="10"/>
      <c r="F686" s="10"/>
      <c r="G686" s="10"/>
      <c r="H686" s="10"/>
      <c r="I686" s="10"/>
      <c r="J686" s="10"/>
      <c r="K686" s="10"/>
    </row>
    <row r="687">
      <c r="A687" s="10" t="str">
        <f>IFNA(VLOOKUP(pts_sub!$A687,sub!$B$2:$E1000,4,FALSE),"")</f>
        <v/>
      </c>
      <c r="B687" s="10"/>
      <c r="C687" s="10"/>
      <c r="D687" s="10" t="str">
        <f>IFNA(VLOOKUP(pts_sub!$D687,FIX!$A$2:$D1000,4, FALSE),"")</f>
        <v/>
      </c>
      <c r="E687" s="10"/>
      <c r="F687" s="10"/>
      <c r="G687" s="10"/>
      <c r="H687" s="10"/>
      <c r="I687" s="10"/>
      <c r="J687" s="10"/>
      <c r="K687" s="10"/>
    </row>
    <row r="688">
      <c r="A688" s="10" t="str">
        <f>IFNA(VLOOKUP(pts_sub!$A688,sub!$B$2:$E1000,4,FALSE),"")</f>
        <v/>
      </c>
      <c r="B688" s="10"/>
      <c r="C688" s="10"/>
      <c r="D688" s="10" t="str">
        <f>IFNA(VLOOKUP(pts_sub!$D688,FIX!$A$2:$D1000,4, FALSE),"")</f>
        <v/>
      </c>
      <c r="E688" s="10"/>
      <c r="F688" s="10"/>
      <c r="G688" s="10"/>
      <c r="H688" s="10"/>
      <c r="I688" s="10"/>
      <c r="J688" s="10"/>
      <c r="K688" s="10"/>
    </row>
    <row r="689">
      <c r="A689" s="10" t="str">
        <f>IFNA(VLOOKUP(pts_sub!$A689,sub!$B$2:$E1000,4,FALSE),"")</f>
        <v/>
      </c>
      <c r="B689" s="10"/>
      <c r="C689" s="10"/>
      <c r="D689" s="10" t="str">
        <f>IFNA(VLOOKUP(pts_sub!$D689,FIX!$A$2:$D1000,4, FALSE),"")</f>
        <v/>
      </c>
      <c r="E689" s="10"/>
      <c r="F689" s="10"/>
      <c r="G689" s="10"/>
      <c r="H689" s="10"/>
      <c r="I689" s="10"/>
      <c r="J689" s="10"/>
      <c r="K689" s="10"/>
    </row>
    <row r="690">
      <c r="A690" s="10" t="str">
        <f>IFNA(VLOOKUP(pts_sub!$A690,sub!$B$2:$E1000,4,FALSE),"")</f>
        <v/>
      </c>
      <c r="B690" s="10"/>
      <c r="C690" s="10"/>
      <c r="D690" s="10" t="str">
        <f>IFNA(VLOOKUP(pts_sub!$D690,FIX!$A$2:$D1000,4, FALSE),"")</f>
        <v/>
      </c>
      <c r="E690" s="10"/>
      <c r="F690" s="10"/>
      <c r="G690" s="10"/>
      <c r="H690" s="10"/>
      <c r="I690" s="10"/>
      <c r="J690" s="10"/>
      <c r="K690" s="10"/>
    </row>
    <row r="691">
      <c r="A691" s="10" t="str">
        <f>IFNA(VLOOKUP(pts_sub!$A691,sub!$B$2:$E1000,4,FALSE),"")</f>
        <v/>
      </c>
      <c r="B691" s="10"/>
      <c r="C691" s="10"/>
      <c r="D691" s="10" t="str">
        <f>IFNA(VLOOKUP(pts_sub!$D691,FIX!$A$2:$D1000,4, FALSE),"")</f>
        <v/>
      </c>
      <c r="E691" s="10"/>
      <c r="F691" s="10"/>
      <c r="G691" s="10"/>
      <c r="H691" s="10"/>
      <c r="I691" s="10"/>
      <c r="J691" s="10"/>
      <c r="K691" s="10"/>
    </row>
    <row r="692">
      <c r="A692" s="10" t="str">
        <f>IFNA(VLOOKUP(pts_sub!$A692,sub!$B$2:$E1000,4,FALSE),"")</f>
        <v/>
      </c>
      <c r="B692" s="10"/>
      <c r="C692" s="10"/>
      <c r="D692" s="10" t="str">
        <f>IFNA(VLOOKUP(pts_sub!$D692,FIX!$A$2:$D1000,4, FALSE),"")</f>
        <v/>
      </c>
      <c r="E692" s="10"/>
      <c r="F692" s="10"/>
      <c r="G692" s="10"/>
      <c r="H692" s="10"/>
      <c r="I692" s="10"/>
      <c r="J692" s="10"/>
      <c r="K692" s="10"/>
    </row>
    <row r="693">
      <c r="A693" s="10" t="str">
        <f>IFNA(VLOOKUP(pts_sub!$A693,sub!$B$2:$E1000,4,FALSE),"")</f>
        <v/>
      </c>
      <c r="B693" s="10"/>
      <c r="C693" s="10"/>
      <c r="D693" s="10" t="str">
        <f>IFNA(VLOOKUP(pts_sub!$D693,FIX!$A$2:$D1000,4, FALSE),"")</f>
        <v/>
      </c>
      <c r="E693" s="10"/>
      <c r="F693" s="10"/>
      <c r="G693" s="10"/>
      <c r="H693" s="10"/>
      <c r="I693" s="10"/>
      <c r="J693" s="10"/>
      <c r="K693" s="10"/>
    </row>
    <row r="694">
      <c r="A694" s="10" t="str">
        <f>IFNA(VLOOKUP(pts_sub!$A694,sub!$B$2:$E1000,4,FALSE),"")</f>
        <v/>
      </c>
      <c r="B694" s="10"/>
      <c r="C694" s="10"/>
      <c r="D694" s="10" t="str">
        <f>IFNA(VLOOKUP(pts_sub!$D694,FIX!$A$2:$D1000,4, FALSE),"")</f>
        <v/>
      </c>
      <c r="E694" s="10"/>
      <c r="F694" s="10"/>
      <c r="G694" s="10"/>
      <c r="H694" s="10"/>
      <c r="I694" s="10"/>
      <c r="J694" s="10"/>
      <c r="K694" s="10"/>
    </row>
    <row r="695">
      <c r="A695" s="10" t="str">
        <f>IFNA(VLOOKUP(pts_sub!$A695,sub!$B$2:$E1000,4,FALSE),"")</f>
        <v/>
      </c>
      <c r="B695" s="10"/>
      <c r="C695" s="10"/>
      <c r="D695" s="10" t="str">
        <f>IFNA(VLOOKUP(pts_sub!$D695,FIX!$A$2:$D1000,4, FALSE),"")</f>
        <v/>
      </c>
      <c r="E695" s="10"/>
      <c r="F695" s="10"/>
      <c r="G695" s="10"/>
      <c r="H695" s="10"/>
      <c r="I695" s="10"/>
      <c r="J695" s="10"/>
      <c r="K695" s="10"/>
    </row>
    <row r="696">
      <c r="A696" s="10" t="str">
        <f>IFNA(VLOOKUP(pts_sub!$A696,sub!$B$2:$E1000,4,FALSE),"")</f>
        <v/>
      </c>
      <c r="B696" s="10"/>
      <c r="C696" s="10"/>
      <c r="D696" s="10" t="str">
        <f>IFNA(VLOOKUP(pts_sub!$D696,FIX!$A$2:$D1000,4, FALSE),"")</f>
        <v/>
      </c>
      <c r="E696" s="10"/>
      <c r="F696" s="10"/>
      <c r="G696" s="10"/>
      <c r="H696" s="10"/>
      <c r="I696" s="10"/>
      <c r="J696" s="10"/>
      <c r="K696" s="10"/>
    </row>
    <row r="697">
      <c r="A697" s="10" t="str">
        <f>IFNA(VLOOKUP(pts_sub!$A697,sub!$B$2:$E1000,4,FALSE),"")</f>
        <v/>
      </c>
      <c r="B697" s="10"/>
      <c r="C697" s="10"/>
      <c r="D697" s="10" t="str">
        <f>IFNA(VLOOKUP(pts_sub!$D697,FIX!$A$2:$D1000,4, FALSE),"")</f>
        <v/>
      </c>
      <c r="E697" s="10"/>
      <c r="F697" s="10"/>
      <c r="G697" s="10"/>
      <c r="H697" s="10"/>
      <c r="I697" s="10"/>
      <c r="J697" s="10"/>
      <c r="K697" s="10"/>
    </row>
    <row r="698">
      <c r="A698" s="10" t="str">
        <f>IFNA(VLOOKUP(pts_sub!$A698,sub!$B$2:$E1000,4,FALSE),"")</f>
        <v/>
      </c>
      <c r="B698" s="10"/>
      <c r="C698" s="10"/>
      <c r="D698" s="10" t="str">
        <f>IFNA(VLOOKUP(pts_sub!$D698,FIX!$A$2:$D1000,4, FALSE),"")</f>
        <v/>
      </c>
      <c r="E698" s="10"/>
      <c r="F698" s="10"/>
      <c r="G698" s="10"/>
      <c r="H698" s="10"/>
      <c r="I698" s="10"/>
      <c r="J698" s="10"/>
      <c r="K698" s="10"/>
    </row>
    <row r="699">
      <c r="A699" s="10" t="str">
        <f>IFNA(VLOOKUP(pts_sub!$A699,sub!$B$2:$E1000,4,FALSE),"")</f>
        <v/>
      </c>
      <c r="B699" s="10"/>
      <c r="C699" s="10"/>
      <c r="D699" s="10" t="str">
        <f>IFNA(VLOOKUP(pts_sub!$D699,FIX!$A$2:$D1000,4, FALSE),"")</f>
        <v/>
      </c>
      <c r="E699" s="10"/>
      <c r="F699" s="10"/>
      <c r="G699" s="10"/>
      <c r="H699" s="10"/>
      <c r="I699" s="10"/>
      <c r="J699" s="10"/>
      <c r="K699" s="10"/>
    </row>
    <row r="700">
      <c r="A700" s="10" t="str">
        <f>IFNA(VLOOKUP(pts_sub!$A700,sub!$B$2:$E1000,4,FALSE),"")</f>
        <v/>
      </c>
      <c r="B700" s="10"/>
      <c r="C700" s="10"/>
      <c r="D700" s="10" t="str">
        <f>IFNA(VLOOKUP(pts_sub!$D700,FIX!$A$2:$D1000,4, FALSE),"")</f>
        <v/>
      </c>
      <c r="E700" s="10"/>
      <c r="F700" s="10"/>
      <c r="G700" s="10"/>
      <c r="H700" s="10"/>
      <c r="I700" s="10"/>
      <c r="J700" s="10"/>
      <c r="K700" s="10"/>
    </row>
    <row r="701">
      <c r="A701" s="10" t="str">
        <f>IFNA(VLOOKUP(pts_sub!$A701,sub!$B$2:$E1000,4,FALSE),"")</f>
        <v/>
      </c>
      <c r="B701" s="10"/>
      <c r="C701" s="10"/>
      <c r="D701" s="10" t="str">
        <f>IFNA(VLOOKUP(pts_sub!$D701,FIX!$A$2:$D1000,4, FALSE),"")</f>
        <v/>
      </c>
      <c r="E701" s="10"/>
      <c r="F701" s="10"/>
      <c r="G701" s="10"/>
      <c r="H701" s="10"/>
      <c r="I701" s="10"/>
      <c r="J701" s="10"/>
      <c r="K701" s="10"/>
    </row>
    <row r="702">
      <c r="A702" s="10" t="str">
        <f>IFNA(VLOOKUP(pts_sub!$A702,sub!$B$2:$E1000,4,FALSE),"")</f>
        <v/>
      </c>
      <c r="B702" s="10"/>
      <c r="C702" s="10"/>
      <c r="D702" s="10" t="str">
        <f>IFNA(VLOOKUP(pts_sub!$D702,FIX!$A$2:$D1000,4, FALSE),"")</f>
        <v/>
      </c>
      <c r="E702" s="10"/>
      <c r="F702" s="10"/>
      <c r="G702" s="10"/>
      <c r="H702" s="10"/>
      <c r="I702" s="10"/>
      <c r="J702" s="10"/>
      <c r="K702" s="10"/>
    </row>
    <row r="703">
      <c r="A703" s="10" t="str">
        <f>IFNA(VLOOKUP(pts_sub!$A703,sub!$B$2:$E1000,4,FALSE),"")</f>
        <v/>
      </c>
      <c r="B703" s="10"/>
      <c r="C703" s="10"/>
      <c r="D703" s="10" t="str">
        <f>IFNA(VLOOKUP(pts_sub!$D703,FIX!$A$2:$D1000,4, FALSE),"")</f>
        <v/>
      </c>
      <c r="E703" s="10"/>
      <c r="F703" s="10"/>
      <c r="G703" s="10"/>
      <c r="H703" s="10"/>
      <c r="I703" s="10"/>
      <c r="J703" s="10"/>
      <c r="K703" s="10"/>
    </row>
    <row r="704">
      <c r="A704" s="10" t="str">
        <f>IFNA(VLOOKUP(pts_sub!$A704,sub!$B$2:$E1000,4,FALSE),"")</f>
        <v/>
      </c>
      <c r="B704" s="10"/>
      <c r="C704" s="10"/>
      <c r="D704" s="10" t="str">
        <f>IFNA(VLOOKUP(pts_sub!$D704,FIX!$A$2:$D1000,4, FALSE),"")</f>
        <v/>
      </c>
      <c r="E704" s="10"/>
      <c r="F704" s="10"/>
      <c r="G704" s="10"/>
      <c r="H704" s="10"/>
      <c r="I704" s="10"/>
      <c r="J704" s="10"/>
      <c r="K704" s="10"/>
    </row>
    <row r="705">
      <c r="A705" s="10" t="str">
        <f>IFNA(VLOOKUP(pts_sub!$A705,sub!$B$2:$E1000,4,FALSE),"")</f>
        <v/>
      </c>
      <c r="B705" s="10"/>
      <c r="C705" s="10"/>
      <c r="D705" s="10" t="str">
        <f>IFNA(VLOOKUP(pts_sub!$D705,FIX!$A$2:$D1000,4, FALSE),"")</f>
        <v/>
      </c>
      <c r="E705" s="10"/>
      <c r="F705" s="10"/>
      <c r="G705" s="10"/>
      <c r="H705" s="10"/>
      <c r="I705" s="10"/>
      <c r="J705" s="10"/>
      <c r="K705" s="10"/>
    </row>
    <row r="706">
      <c r="A706" s="10" t="str">
        <f>IFNA(VLOOKUP(pts_sub!$A706,sub!$B$2:$E1000,4,FALSE),"")</f>
        <v/>
      </c>
      <c r="B706" s="10"/>
      <c r="C706" s="10"/>
      <c r="D706" s="10" t="str">
        <f>IFNA(VLOOKUP(pts_sub!$D706,FIX!$A$2:$D1000,4, FALSE),"")</f>
        <v/>
      </c>
      <c r="E706" s="10"/>
      <c r="F706" s="10"/>
      <c r="G706" s="10"/>
      <c r="H706" s="10"/>
      <c r="I706" s="10"/>
      <c r="J706" s="10"/>
      <c r="K706" s="10"/>
    </row>
    <row r="707">
      <c r="A707" s="10" t="str">
        <f>IFNA(VLOOKUP(pts_sub!$A707,sub!$B$2:$E1000,4,FALSE),"")</f>
        <v/>
      </c>
      <c r="B707" s="10"/>
      <c r="C707" s="10"/>
      <c r="D707" s="10" t="str">
        <f>IFNA(VLOOKUP(pts_sub!$D707,FIX!$A$2:$D1000,4, FALSE),"")</f>
        <v/>
      </c>
      <c r="E707" s="10"/>
      <c r="F707" s="10"/>
      <c r="G707" s="10"/>
      <c r="H707" s="10"/>
      <c r="I707" s="10"/>
      <c r="J707" s="10"/>
      <c r="K707" s="10"/>
    </row>
    <row r="708">
      <c r="A708" s="10" t="str">
        <f>IFNA(VLOOKUP(pts_sub!$A708,sub!$B$2:$E1000,4,FALSE),"")</f>
        <v/>
      </c>
      <c r="B708" s="10"/>
      <c r="C708" s="10"/>
      <c r="D708" s="10" t="str">
        <f>IFNA(VLOOKUP(pts_sub!$D708,FIX!$A$2:$D1000,4, FALSE),"")</f>
        <v/>
      </c>
      <c r="E708" s="10"/>
      <c r="F708" s="10"/>
      <c r="G708" s="10"/>
      <c r="H708" s="10"/>
      <c r="I708" s="10"/>
      <c r="J708" s="10"/>
      <c r="K708" s="10"/>
    </row>
    <row r="709">
      <c r="A709" s="10" t="str">
        <f>IFNA(VLOOKUP(pts_sub!$A709,sub!$B$2:$E1000,4,FALSE),"")</f>
        <v/>
      </c>
      <c r="B709" s="10"/>
      <c r="C709" s="10"/>
      <c r="D709" s="10" t="str">
        <f>IFNA(VLOOKUP(pts_sub!$D709,FIX!$A$2:$D1000,4, FALSE),"")</f>
        <v/>
      </c>
      <c r="E709" s="10"/>
      <c r="F709" s="10"/>
      <c r="G709" s="10"/>
      <c r="H709" s="10"/>
      <c r="I709" s="10"/>
      <c r="J709" s="10"/>
      <c r="K709" s="10"/>
    </row>
    <row r="710">
      <c r="A710" s="10" t="str">
        <f>IFNA(VLOOKUP(pts_sub!$A710,sub!$B$2:$E1000,4,FALSE),"")</f>
        <v/>
      </c>
      <c r="B710" s="10"/>
      <c r="C710" s="10"/>
      <c r="D710" s="10" t="str">
        <f>IFNA(VLOOKUP(pts_sub!$D710,FIX!$A$2:$D1000,4, FALSE),"")</f>
        <v/>
      </c>
      <c r="E710" s="10"/>
      <c r="F710" s="10"/>
      <c r="G710" s="10"/>
      <c r="H710" s="10"/>
      <c r="I710" s="10"/>
      <c r="J710" s="10"/>
      <c r="K710" s="10"/>
    </row>
    <row r="711">
      <c r="A711" s="10" t="str">
        <f>IFNA(VLOOKUP(pts_sub!$A711,sub!$B$2:$E1000,4,FALSE),"")</f>
        <v/>
      </c>
      <c r="B711" s="10"/>
      <c r="C711" s="10"/>
      <c r="D711" s="10" t="str">
        <f>IFNA(VLOOKUP(pts_sub!$D711,FIX!$A$2:$D1000,4, FALSE),"")</f>
        <v/>
      </c>
      <c r="E711" s="10"/>
      <c r="F711" s="10"/>
      <c r="G711" s="10"/>
      <c r="H711" s="10"/>
      <c r="I711" s="10"/>
      <c r="J711" s="10"/>
      <c r="K711" s="10"/>
    </row>
    <row r="712">
      <c r="A712" s="10" t="str">
        <f>IFNA(VLOOKUP(pts_sub!$A712,sub!$B$2:$E1000,4,FALSE),"")</f>
        <v/>
      </c>
      <c r="B712" s="10"/>
      <c r="C712" s="10"/>
      <c r="D712" s="10" t="str">
        <f>IFNA(VLOOKUP(pts_sub!$D712,FIX!$A$2:$D1000,4, FALSE),"")</f>
        <v/>
      </c>
      <c r="E712" s="10"/>
      <c r="F712" s="10"/>
      <c r="G712" s="10"/>
      <c r="H712" s="10"/>
      <c r="I712" s="10"/>
      <c r="J712" s="10"/>
      <c r="K712" s="10"/>
    </row>
    <row r="713">
      <c r="A713" s="10" t="str">
        <f>IFNA(VLOOKUP(pts_sub!$A713,sub!$B$2:$E1000,4,FALSE),"")</f>
        <v/>
      </c>
      <c r="B713" s="10"/>
      <c r="C713" s="10"/>
      <c r="D713" s="10" t="str">
        <f>IFNA(VLOOKUP(pts_sub!$D713,FIX!$A$2:$D1000,4, FALSE),"")</f>
        <v/>
      </c>
      <c r="E713" s="10"/>
      <c r="F713" s="10"/>
      <c r="G713" s="10"/>
      <c r="H713" s="10"/>
      <c r="I713" s="10"/>
      <c r="J713" s="10"/>
      <c r="K713" s="10"/>
    </row>
    <row r="714">
      <c r="A714" s="10" t="str">
        <f>IFNA(VLOOKUP(pts_sub!$A714,sub!$B$2:$E1000,4,FALSE),"")</f>
        <v/>
      </c>
      <c r="B714" s="10"/>
      <c r="C714" s="10"/>
      <c r="D714" s="10" t="str">
        <f>IFNA(VLOOKUP(pts_sub!$D714,FIX!$A$2:$D1000,4, FALSE),"")</f>
        <v/>
      </c>
      <c r="E714" s="10"/>
      <c r="F714" s="10"/>
      <c r="G714" s="10"/>
      <c r="H714" s="10"/>
      <c r="I714" s="10"/>
      <c r="J714" s="10"/>
      <c r="K714" s="10"/>
    </row>
    <row r="715">
      <c r="A715" s="10" t="str">
        <f>IFNA(VLOOKUP(pts_sub!$A715,sub!$B$2:$E1000,4,FALSE),"")</f>
        <v/>
      </c>
      <c r="B715" s="10"/>
      <c r="C715" s="10"/>
      <c r="D715" s="10" t="str">
        <f>IFNA(VLOOKUP(pts_sub!$D715,FIX!$A$2:$D1000,4, FALSE),"")</f>
        <v/>
      </c>
      <c r="E715" s="10"/>
      <c r="F715" s="10"/>
      <c r="G715" s="10"/>
      <c r="H715" s="10"/>
      <c r="I715" s="10"/>
      <c r="J715" s="10"/>
      <c r="K715" s="10"/>
    </row>
    <row r="716">
      <c r="A716" s="10" t="str">
        <f>IFNA(VLOOKUP(pts_sub!$A716,sub!$B$2:$E1000,4,FALSE),"")</f>
        <v/>
      </c>
      <c r="B716" s="10"/>
      <c r="C716" s="10"/>
      <c r="D716" s="10" t="str">
        <f>IFNA(VLOOKUP(pts_sub!$D716,FIX!$A$2:$D1000,4, FALSE),"")</f>
        <v/>
      </c>
      <c r="E716" s="10"/>
      <c r="F716" s="10"/>
      <c r="G716" s="10"/>
      <c r="H716" s="10"/>
      <c r="I716" s="10"/>
      <c r="J716" s="10"/>
      <c r="K716" s="10"/>
    </row>
    <row r="717">
      <c r="A717" s="10" t="str">
        <f>IFNA(VLOOKUP(pts_sub!$A717,sub!$B$2:$E1000,4,FALSE),"")</f>
        <v/>
      </c>
      <c r="B717" s="10"/>
      <c r="C717" s="10"/>
      <c r="D717" s="10" t="str">
        <f>IFNA(VLOOKUP(pts_sub!$D717,FIX!$A$2:$D1000,4, FALSE),"")</f>
        <v/>
      </c>
      <c r="E717" s="10"/>
      <c r="F717" s="10"/>
      <c r="G717" s="10"/>
      <c r="H717" s="10"/>
      <c r="I717" s="10"/>
      <c r="J717" s="10"/>
      <c r="K717" s="10"/>
    </row>
    <row r="718">
      <c r="A718" s="10" t="str">
        <f>IFNA(VLOOKUP(pts_sub!$A718,sub!$B$2:$E1000,4,FALSE),"")</f>
        <v/>
      </c>
      <c r="B718" s="10"/>
      <c r="C718" s="10"/>
      <c r="D718" s="10" t="str">
        <f>IFNA(VLOOKUP(pts_sub!$D718,FIX!$A$2:$D1000,4, FALSE),"")</f>
        <v/>
      </c>
      <c r="E718" s="10"/>
      <c r="F718" s="10"/>
      <c r="G718" s="10"/>
      <c r="H718" s="10"/>
      <c r="I718" s="10"/>
      <c r="J718" s="10"/>
      <c r="K718" s="10"/>
    </row>
    <row r="719">
      <c r="A719" s="10" t="str">
        <f>IFNA(VLOOKUP(pts_sub!$A719,sub!$B$2:$E1000,4,FALSE),"")</f>
        <v/>
      </c>
      <c r="B719" s="10"/>
      <c r="C719" s="10"/>
      <c r="D719" s="10" t="str">
        <f>IFNA(VLOOKUP(pts_sub!$D719,FIX!$A$2:$D1000,4, FALSE),"")</f>
        <v/>
      </c>
      <c r="E719" s="10"/>
      <c r="F719" s="10"/>
      <c r="G719" s="10"/>
      <c r="H719" s="10"/>
      <c r="I719" s="10"/>
      <c r="J719" s="10"/>
      <c r="K719" s="10"/>
    </row>
    <row r="720">
      <c r="A720" s="10" t="str">
        <f>IFNA(VLOOKUP(pts_sub!$A720,sub!$B$2:$E1000,4,FALSE),"")</f>
        <v/>
      </c>
      <c r="B720" s="10"/>
      <c r="C720" s="10"/>
      <c r="D720" s="10" t="str">
        <f>IFNA(VLOOKUP(pts_sub!$D720,FIX!$A$2:$D1000,4, FALSE),"")</f>
        <v/>
      </c>
      <c r="E720" s="10"/>
      <c r="F720" s="10"/>
      <c r="G720" s="10"/>
      <c r="H720" s="10"/>
      <c r="I720" s="10"/>
      <c r="J720" s="10"/>
      <c r="K720" s="10"/>
    </row>
    <row r="721">
      <c r="A721" s="10" t="str">
        <f>IFNA(VLOOKUP(pts_sub!$A721,sub!$B$2:$E1000,4,FALSE),"")</f>
        <v/>
      </c>
      <c r="B721" s="10"/>
      <c r="C721" s="10"/>
      <c r="D721" s="10" t="str">
        <f>IFNA(VLOOKUP(pts_sub!$D721,FIX!$A$2:$D1000,4, FALSE),"")</f>
        <v/>
      </c>
      <c r="E721" s="10"/>
      <c r="F721" s="10"/>
      <c r="G721" s="10"/>
      <c r="H721" s="10"/>
      <c r="I721" s="10"/>
      <c r="J721" s="10"/>
      <c r="K721" s="10"/>
    </row>
    <row r="722">
      <c r="A722" s="10" t="str">
        <f>IFNA(VLOOKUP(pts_sub!$A722,sub!$B$2:$E1000,4,FALSE),"")</f>
        <v/>
      </c>
      <c r="B722" s="10"/>
      <c r="C722" s="10"/>
      <c r="D722" s="10" t="str">
        <f>IFNA(VLOOKUP(pts_sub!$D722,FIX!$A$2:$D1000,4, FALSE),"")</f>
        <v/>
      </c>
      <c r="E722" s="10"/>
      <c r="F722" s="10"/>
      <c r="G722" s="10"/>
      <c r="H722" s="10"/>
      <c r="I722" s="10"/>
      <c r="J722" s="10"/>
      <c r="K722" s="10"/>
    </row>
    <row r="723">
      <c r="A723" s="10" t="str">
        <f>IFNA(VLOOKUP(pts_sub!$A723,sub!$B$2:$E1000,4,FALSE),"")</f>
        <v/>
      </c>
      <c r="B723" s="10"/>
      <c r="C723" s="10"/>
      <c r="D723" s="10" t="str">
        <f>IFNA(VLOOKUP(pts_sub!$D723,FIX!$A$2:$D1000,4, FALSE),"")</f>
        <v/>
      </c>
      <c r="E723" s="10"/>
      <c r="F723" s="10"/>
      <c r="G723" s="10"/>
      <c r="H723" s="10"/>
      <c r="I723" s="10"/>
      <c r="J723" s="10"/>
      <c r="K723" s="10"/>
    </row>
    <row r="724">
      <c r="A724" s="10" t="str">
        <f>IFNA(VLOOKUP(pts_sub!$A724,sub!$B$2:$E1000,4,FALSE),"")</f>
        <v/>
      </c>
      <c r="B724" s="10"/>
      <c r="C724" s="10"/>
      <c r="D724" s="10" t="str">
        <f>IFNA(VLOOKUP(pts_sub!$D724,FIX!$A$2:$D1000,4, FALSE),"")</f>
        <v/>
      </c>
      <c r="E724" s="10"/>
      <c r="F724" s="10"/>
      <c r="G724" s="10"/>
      <c r="H724" s="10"/>
      <c r="I724" s="10"/>
      <c r="J724" s="10"/>
      <c r="K724" s="10"/>
    </row>
    <row r="725">
      <c r="A725" s="10" t="str">
        <f>IFNA(VLOOKUP(pts_sub!$A725,sub!$B$2:$E1000,4,FALSE),"")</f>
        <v/>
      </c>
      <c r="B725" s="10"/>
      <c r="C725" s="10"/>
      <c r="D725" s="10" t="str">
        <f>IFNA(VLOOKUP(pts_sub!$D725,FIX!$A$2:$D1000,4, FALSE),"")</f>
        <v/>
      </c>
      <c r="E725" s="10"/>
      <c r="F725" s="10"/>
      <c r="G725" s="10"/>
      <c r="H725" s="10"/>
      <c r="I725" s="10"/>
      <c r="J725" s="10"/>
      <c r="K725" s="10"/>
    </row>
    <row r="726">
      <c r="A726" s="10" t="str">
        <f>IFNA(VLOOKUP(pts_sub!$A726,sub!$B$2:$E1000,4,FALSE),"")</f>
        <v/>
      </c>
      <c r="B726" s="10"/>
      <c r="C726" s="10"/>
      <c r="D726" s="10" t="str">
        <f>IFNA(VLOOKUP(pts_sub!$D726,FIX!$A$2:$D1000,4, FALSE),"")</f>
        <v/>
      </c>
      <c r="E726" s="10"/>
      <c r="F726" s="10"/>
      <c r="G726" s="10"/>
      <c r="H726" s="10"/>
      <c r="I726" s="10"/>
      <c r="J726" s="10"/>
      <c r="K726" s="10"/>
    </row>
    <row r="727">
      <c r="A727" s="10" t="str">
        <f>IFNA(VLOOKUP(pts_sub!$A727,sub!$B$2:$E1000,4,FALSE),"")</f>
        <v/>
      </c>
      <c r="B727" s="10"/>
      <c r="C727" s="10"/>
      <c r="D727" s="10" t="str">
        <f>IFNA(VLOOKUP(pts_sub!$D727,FIX!$A$2:$D1000,4, FALSE),"")</f>
        <v/>
      </c>
      <c r="E727" s="10"/>
      <c r="F727" s="10"/>
      <c r="G727" s="10"/>
      <c r="H727" s="10"/>
      <c r="I727" s="10"/>
      <c r="J727" s="10"/>
      <c r="K727" s="10"/>
    </row>
    <row r="728">
      <c r="A728" s="10" t="str">
        <f>IFNA(VLOOKUP(pts_sub!$A728,sub!$B$2:$E1000,4,FALSE),"")</f>
        <v/>
      </c>
      <c r="B728" s="10"/>
      <c r="C728" s="10"/>
      <c r="D728" s="10" t="str">
        <f>IFNA(VLOOKUP(pts_sub!$D728,FIX!$A$2:$D1000,4, FALSE),"")</f>
        <v/>
      </c>
      <c r="E728" s="10"/>
      <c r="F728" s="10"/>
      <c r="G728" s="10"/>
      <c r="H728" s="10"/>
      <c r="I728" s="10"/>
      <c r="J728" s="10"/>
      <c r="K728" s="10"/>
    </row>
    <row r="729">
      <c r="A729" s="10" t="str">
        <f>IFNA(VLOOKUP(pts_sub!$A729,sub!$B$2:$E1000,4,FALSE),"")</f>
        <v/>
      </c>
      <c r="B729" s="10"/>
      <c r="C729" s="10"/>
      <c r="D729" s="10" t="str">
        <f>IFNA(VLOOKUP(pts_sub!$D729,FIX!$A$2:$D1000,4, FALSE),"")</f>
        <v/>
      </c>
      <c r="E729" s="10"/>
      <c r="F729" s="10"/>
      <c r="G729" s="10"/>
      <c r="H729" s="10"/>
      <c r="I729" s="10"/>
      <c r="J729" s="10"/>
      <c r="K729" s="10"/>
    </row>
    <row r="730">
      <c r="A730" s="10" t="str">
        <f>IFNA(VLOOKUP(pts_sub!$A730,sub!$B$2:$E1000,4,FALSE),"")</f>
        <v/>
      </c>
      <c r="B730" s="10"/>
      <c r="C730" s="10"/>
      <c r="D730" s="10" t="str">
        <f>IFNA(VLOOKUP(pts_sub!$D730,FIX!$A$2:$D1000,4, FALSE),"")</f>
        <v/>
      </c>
      <c r="E730" s="10"/>
      <c r="F730" s="10"/>
      <c r="G730" s="10"/>
      <c r="H730" s="10"/>
      <c r="I730" s="10"/>
      <c r="J730" s="10"/>
      <c r="K730" s="10"/>
    </row>
    <row r="731">
      <c r="A731" s="10" t="str">
        <f>IFNA(VLOOKUP(pts_sub!$A731,sub!$B$2:$E1000,4,FALSE),"")</f>
        <v/>
      </c>
      <c r="B731" s="10"/>
      <c r="C731" s="10"/>
      <c r="D731" s="10" t="str">
        <f>IFNA(VLOOKUP(pts_sub!$D731,FIX!$A$2:$D1000,4, FALSE),"")</f>
        <v/>
      </c>
      <c r="E731" s="10"/>
      <c r="F731" s="10"/>
      <c r="G731" s="10"/>
      <c r="H731" s="10"/>
      <c r="I731" s="10"/>
      <c r="J731" s="10"/>
      <c r="K731" s="10"/>
    </row>
    <row r="732">
      <c r="A732" s="10" t="str">
        <f>IFNA(VLOOKUP(pts_sub!$A732,sub!$B$2:$E1000,4,FALSE),"")</f>
        <v/>
      </c>
      <c r="B732" s="10"/>
      <c r="C732" s="10"/>
      <c r="D732" s="10" t="str">
        <f>IFNA(VLOOKUP(pts_sub!$D732,FIX!$A$2:$D1000,4, FALSE),"")</f>
        <v/>
      </c>
      <c r="E732" s="10"/>
      <c r="F732" s="10"/>
      <c r="G732" s="10"/>
      <c r="H732" s="10"/>
      <c r="I732" s="10"/>
      <c r="J732" s="10"/>
      <c r="K732" s="10"/>
    </row>
    <row r="733">
      <c r="A733" s="10" t="str">
        <f>IFNA(VLOOKUP(pts_sub!$A733,sub!$B$2:$E1000,4,FALSE),"")</f>
        <v/>
      </c>
      <c r="B733" s="10"/>
      <c r="C733" s="10"/>
      <c r="D733" s="10" t="str">
        <f>IFNA(VLOOKUP(pts_sub!$D733,FIX!$A$2:$D1000,4, FALSE),"")</f>
        <v/>
      </c>
      <c r="E733" s="10"/>
      <c r="F733" s="10"/>
      <c r="G733" s="10"/>
      <c r="H733" s="10"/>
      <c r="I733" s="10"/>
      <c r="J733" s="10"/>
      <c r="K733" s="10"/>
    </row>
    <row r="734">
      <c r="A734" s="10" t="str">
        <f>IFNA(VLOOKUP(pts_sub!$A734,sub!$B$2:$E1000,4,FALSE),"")</f>
        <v/>
      </c>
      <c r="B734" s="10"/>
      <c r="C734" s="10"/>
      <c r="D734" s="10" t="str">
        <f>IFNA(VLOOKUP(pts_sub!$D734,FIX!$A$2:$D1000,4, FALSE),"")</f>
        <v/>
      </c>
      <c r="E734" s="10"/>
      <c r="F734" s="10"/>
      <c r="G734" s="10"/>
      <c r="H734" s="10"/>
      <c r="I734" s="10"/>
      <c r="J734" s="10"/>
      <c r="K734" s="10"/>
    </row>
    <row r="735">
      <c r="A735" s="10" t="str">
        <f>IFNA(VLOOKUP(pts_sub!$A735,sub!$B$2:$E1000,4,FALSE),"")</f>
        <v/>
      </c>
      <c r="B735" s="10"/>
      <c r="C735" s="10"/>
      <c r="D735" s="10" t="str">
        <f>IFNA(VLOOKUP(pts_sub!$D735,FIX!$A$2:$D1000,4, FALSE),"")</f>
        <v/>
      </c>
      <c r="E735" s="10"/>
      <c r="F735" s="10"/>
      <c r="G735" s="10"/>
      <c r="H735" s="10"/>
      <c r="I735" s="10"/>
      <c r="J735" s="10"/>
      <c r="K735" s="10"/>
    </row>
    <row r="736">
      <c r="A736" s="10" t="str">
        <f>IFNA(VLOOKUP(pts_sub!$A736,sub!$B$2:$E1000,4,FALSE),"")</f>
        <v/>
      </c>
      <c r="B736" s="10"/>
      <c r="C736" s="10"/>
      <c r="D736" s="10" t="str">
        <f>IFNA(VLOOKUP(pts_sub!$D736,FIX!$A$2:$D1000,4, FALSE),"")</f>
        <v/>
      </c>
      <c r="E736" s="10"/>
      <c r="F736" s="10"/>
      <c r="G736" s="10"/>
      <c r="H736" s="10"/>
      <c r="I736" s="10"/>
      <c r="J736" s="10"/>
      <c r="K736" s="10"/>
    </row>
    <row r="737">
      <c r="A737" s="10" t="str">
        <f>IFNA(VLOOKUP(pts_sub!$A737,sub!$B$2:$E1000,4,FALSE),"")</f>
        <v/>
      </c>
      <c r="B737" s="10"/>
      <c r="C737" s="10"/>
      <c r="D737" s="10" t="str">
        <f>IFNA(VLOOKUP(pts_sub!$D737,FIX!$A$2:$D1000,4, FALSE),"")</f>
        <v/>
      </c>
      <c r="E737" s="10"/>
      <c r="F737" s="10"/>
      <c r="G737" s="10"/>
      <c r="H737" s="10"/>
      <c r="I737" s="10"/>
      <c r="J737" s="10"/>
      <c r="K737" s="10"/>
    </row>
    <row r="738">
      <c r="A738" s="10" t="str">
        <f>IFNA(VLOOKUP(pts_sub!$A738,sub!$B$2:$E1000,4,FALSE),"")</f>
        <v/>
      </c>
      <c r="B738" s="10"/>
      <c r="C738" s="10"/>
      <c r="D738" s="10" t="str">
        <f>IFNA(VLOOKUP(pts_sub!$D738,FIX!$A$2:$D1000,4, FALSE),"")</f>
        <v/>
      </c>
      <c r="E738" s="10"/>
      <c r="F738" s="10"/>
      <c r="G738" s="10"/>
      <c r="H738" s="10"/>
      <c r="I738" s="10"/>
      <c r="J738" s="10"/>
      <c r="K738" s="10"/>
    </row>
    <row r="739">
      <c r="A739" s="10" t="str">
        <f>IFNA(VLOOKUP(pts_sub!$A739,sub!$B$2:$E1000,4,FALSE),"")</f>
        <v/>
      </c>
      <c r="B739" s="10"/>
      <c r="C739" s="10"/>
      <c r="D739" s="10" t="str">
        <f>IFNA(VLOOKUP(pts_sub!$D739,FIX!$A$2:$D1000,4, FALSE),"")</f>
        <v/>
      </c>
      <c r="E739" s="10"/>
      <c r="F739" s="10"/>
      <c r="G739" s="10"/>
      <c r="H739" s="10"/>
      <c r="I739" s="10"/>
      <c r="J739" s="10"/>
      <c r="K739" s="10"/>
    </row>
    <row r="740">
      <c r="A740" s="10" t="str">
        <f>IFNA(VLOOKUP(pts_sub!$A740,sub!$B$2:$E1000,4,FALSE),"")</f>
        <v/>
      </c>
      <c r="B740" s="10"/>
      <c r="C740" s="10"/>
      <c r="D740" s="10" t="str">
        <f>IFNA(VLOOKUP(pts_sub!$D740,FIX!$A$2:$D1000,4, FALSE),"")</f>
        <v/>
      </c>
      <c r="E740" s="10"/>
      <c r="F740" s="10"/>
      <c r="G740" s="10"/>
      <c r="H740" s="10"/>
      <c r="I740" s="10"/>
      <c r="J740" s="10"/>
      <c r="K740" s="10"/>
    </row>
    <row r="741">
      <c r="A741" s="10" t="str">
        <f>IFNA(VLOOKUP(pts_sub!$A741,sub!$B$2:$E1000,4,FALSE),"")</f>
        <v/>
      </c>
      <c r="B741" s="10"/>
      <c r="C741" s="10"/>
      <c r="D741" s="10" t="str">
        <f>IFNA(VLOOKUP(pts_sub!$D741,FIX!$A$2:$D1000,4, FALSE),"")</f>
        <v/>
      </c>
      <c r="E741" s="10"/>
      <c r="F741" s="10"/>
      <c r="G741" s="10"/>
      <c r="H741" s="10"/>
      <c r="I741" s="10"/>
      <c r="J741" s="10"/>
      <c r="K741" s="10"/>
    </row>
    <row r="742">
      <c r="A742" s="10" t="str">
        <f>IFNA(VLOOKUP(pts_sub!$A742,sub!$B$2:$E1000,4,FALSE),"")</f>
        <v/>
      </c>
      <c r="B742" s="10"/>
      <c r="C742" s="10"/>
      <c r="D742" s="10" t="str">
        <f>IFNA(VLOOKUP(pts_sub!$D742,FIX!$A$2:$D1000,4, FALSE),"")</f>
        <v/>
      </c>
      <c r="E742" s="10"/>
      <c r="F742" s="10"/>
      <c r="G742" s="10"/>
      <c r="H742" s="10"/>
      <c r="I742" s="10"/>
      <c r="J742" s="10"/>
      <c r="K742" s="10"/>
    </row>
    <row r="743">
      <c r="A743" s="10" t="str">
        <f>IFNA(VLOOKUP(pts_sub!$A743,sub!$B$2:$E1000,4,FALSE),"")</f>
        <v/>
      </c>
      <c r="B743" s="10"/>
      <c r="C743" s="10"/>
      <c r="D743" s="10" t="str">
        <f>IFNA(VLOOKUP(pts_sub!$D743,FIX!$A$2:$D1000,4, FALSE),"")</f>
        <v/>
      </c>
      <c r="E743" s="10"/>
      <c r="F743" s="10"/>
      <c r="G743" s="10"/>
      <c r="H743" s="10"/>
      <c r="I743" s="10"/>
      <c r="J743" s="10"/>
      <c r="K743" s="10"/>
    </row>
    <row r="744">
      <c r="A744" s="10" t="str">
        <f>IFNA(VLOOKUP(pts_sub!$A744,sub!$B$2:$E1000,4,FALSE),"")</f>
        <v/>
      </c>
      <c r="B744" s="10"/>
      <c r="C744" s="10"/>
      <c r="D744" s="10" t="str">
        <f>IFNA(VLOOKUP(pts_sub!$D744,FIX!$A$2:$D1000,4, FALSE),"")</f>
        <v/>
      </c>
      <c r="E744" s="10"/>
      <c r="F744" s="10"/>
      <c r="G744" s="10"/>
      <c r="H744" s="10"/>
      <c r="I744" s="10"/>
      <c r="J744" s="10"/>
      <c r="K744" s="10"/>
    </row>
    <row r="745">
      <c r="A745" s="10" t="str">
        <f>IFNA(VLOOKUP(pts_sub!$A745,sub!$B$2:$E1000,4,FALSE),"")</f>
        <v/>
      </c>
      <c r="B745" s="10"/>
      <c r="C745" s="10"/>
      <c r="D745" s="10" t="str">
        <f>IFNA(VLOOKUP(pts_sub!$D745,FIX!$A$2:$D1000,4, FALSE),"")</f>
        <v/>
      </c>
      <c r="E745" s="10"/>
      <c r="F745" s="10"/>
      <c r="G745" s="10"/>
      <c r="H745" s="10"/>
      <c r="I745" s="10"/>
      <c r="J745" s="10"/>
      <c r="K745" s="10"/>
    </row>
    <row r="746">
      <c r="A746" s="10" t="str">
        <f>IFNA(VLOOKUP(pts_sub!$A746,sub!$B$2:$E1000,4,FALSE),"")</f>
        <v/>
      </c>
      <c r="B746" s="10"/>
      <c r="C746" s="10"/>
      <c r="D746" s="10" t="str">
        <f>IFNA(VLOOKUP(pts_sub!$D746,FIX!$A$2:$D1000,4, FALSE),"")</f>
        <v/>
      </c>
      <c r="E746" s="10"/>
      <c r="F746" s="10"/>
      <c r="G746" s="10"/>
      <c r="H746" s="10"/>
      <c r="I746" s="10"/>
      <c r="J746" s="10"/>
      <c r="K746" s="10"/>
    </row>
    <row r="747">
      <c r="A747" s="10" t="str">
        <f>IFNA(VLOOKUP(pts_sub!$A747,sub!$B$2:$E1000,4,FALSE),"")</f>
        <v/>
      </c>
      <c r="B747" s="10"/>
      <c r="C747" s="10"/>
      <c r="D747" s="10" t="str">
        <f>IFNA(VLOOKUP(pts_sub!$D747,FIX!$A$2:$D1000,4, FALSE),"")</f>
        <v/>
      </c>
      <c r="E747" s="10"/>
      <c r="F747" s="10"/>
      <c r="G747" s="10"/>
      <c r="H747" s="10"/>
      <c r="I747" s="10"/>
      <c r="J747" s="10"/>
      <c r="K747" s="10"/>
    </row>
    <row r="748">
      <c r="A748" s="10" t="str">
        <f>IFNA(VLOOKUP(pts_sub!$A748,sub!$B$2:$E1000,4,FALSE),"")</f>
        <v/>
      </c>
      <c r="B748" s="10"/>
      <c r="C748" s="10"/>
      <c r="D748" s="10" t="str">
        <f>IFNA(VLOOKUP(pts_sub!$D748,FIX!$A$2:$D1000,4, FALSE),"")</f>
        <v/>
      </c>
      <c r="E748" s="10"/>
      <c r="F748" s="10"/>
      <c r="G748" s="10"/>
      <c r="H748" s="10"/>
      <c r="I748" s="10"/>
      <c r="J748" s="10"/>
      <c r="K748" s="10"/>
    </row>
    <row r="749">
      <c r="A749" s="10" t="str">
        <f>IFNA(VLOOKUP(pts_sub!$A749,sub!$B$2:$E1000,4,FALSE),"")</f>
        <v/>
      </c>
      <c r="B749" s="10"/>
      <c r="C749" s="10"/>
      <c r="D749" s="10" t="str">
        <f>IFNA(VLOOKUP(pts_sub!$D749,FIX!$A$2:$D1000,4, FALSE),"")</f>
        <v/>
      </c>
      <c r="E749" s="10"/>
      <c r="F749" s="10"/>
      <c r="G749" s="10"/>
      <c r="H749" s="10"/>
      <c r="I749" s="10"/>
      <c r="J749" s="10"/>
      <c r="K749" s="10"/>
    </row>
    <row r="750">
      <c r="A750" s="10" t="str">
        <f>IFNA(VLOOKUP(pts_sub!$A750,sub!$B$2:$E1000,4,FALSE),"")</f>
        <v/>
      </c>
      <c r="B750" s="10"/>
      <c r="C750" s="10"/>
      <c r="D750" s="10" t="str">
        <f>IFNA(VLOOKUP(pts_sub!$D750,FIX!$A$2:$D1000,4, FALSE),"")</f>
        <v/>
      </c>
      <c r="E750" s="10"/>
      <c r="F750" s="10"/>
      <c r="G750" s="10"/>
      <c r="H750" s="10"/>
      <c r="I750" s="10"/>
      <c r="J750" s="10"/>
      <c r="K750" s="10"/>
    </row>
    <row r="751">
      <c r="A751" s="10" t="str">
        <f>IFNA(VLOOKUP(pts_sub!$A751,sub!$B$2:$E1000,4,FALSE),"")</f>
        <v/>
      </c>
      <c r="B751" s="10"/>
      <c r="C751" s="10"/>
      <c r="D751" s="10" t="str">
        <f>IFNA(VLOOKUP(pts_sub!$D751,FIX!$A$2:$D1000,4, FALSE),"")</f>
        <v/>
      </c>
      <c r="E751" s="10"/>
      <c r="F751" s="10"/>
      <c r="G751" s="10"/>
      <c r="H751" s="10"/>
      <c r="I751" s="10"/>
      <c r="J751" s="10"/>
      <c r="K751" s="10"/>
    </row>
    <row r="752">
      <c r="A752" s="10" t="str">
        <f>IFNA(VLOOKUP(pts_sub!$A752,sub!$B$2:$E1000,4,FALSE),"")</f>
        <v/>
      </c>
      <c r="B752" s="10"/>
      <c r="C752" s="10"/>
      <c r="D752" s="10" t="str">
        <f>IFNA(VLOOKUP(pts_sub!$D752,FIX!$A$2:$D1000,4, FALSE),"")</f>
        <v/>
      </c>
      <c r="E752" s="10"/>
      <c r="F752" s="10"/>
      <c r="G752" s="10"/>
      <c r="H752" s="10"/>
      <c r="I752" s="10"/>
      <c r="J752" s="10"/>
      <c r="K752" s="10"/>
    </row>
    <row r="753">
      <c r="A753" s="10" t="str">
        <f>IFNA(VLOOKUP(pts_sub!$A753,sub!$B$2:$E1000,4,FALSE),"")</f>
        <v/>
      </c>
      <c r="B753" s="10"/>
      <c r="C753" s="10"/>
      <c r="D753" s="10" t="str">
        <f>IFNA(VLOOKUP(pts_sub!$D753,FIX!$A$2:$D1000,4, FALSE),"")</f>
        <v/>
      </c>
      <c r="E753" s="10"/>
      <c r="F753" s="10"/>
      <c r="G753" s="10"/>
      <c r="H753" s="10"/>
      <c r="I753" s="10"/>
      <c r="J753" s="10"/>
      <c r="K753" s="10"/>
    </row>
    <row r="754">
      <c r="A754" s="10" t="str">
        <f>IFNA(VLOOKUP(pts_sub!$A754,sub!$B$2:$E1000,4,FALSE),"")</f>
        <v/>
      </c>
      <c r="B754" s="10"/>
      <c r="C754" s="10"/>
      <c r="D754" s="10" t="str">
        <f>IFNA(VLOOKUP(pts_sub!$D754,FIX!$A$2:$D1000,4, FALSE),"")</f>
        <v/>
      </c>
      <c r="E754" s="10"/>
      <c r="F754" s="10"/>
      <c r="G754" s="10"/>
      <c r="H754" s="10"/>
      <c r="I754" s="10"/>
      <c r="J754" s="10"/>
      <c r="K754" s="10"/>
    </row>
    <row r="755">
      <c r="A755" s="10" t="str">
        <f>IFNA(VLOOKUP(pts_sub!$A755,sub!$B$2:$E1000,4,FALSE),"")</f>
        <v/>
      </c>
      <c r="B755" s="10"/>
      <c r="C755" s="10"/>
      <c r="D755" s="10" t="str">
        <f>IFNA(VLOOKUP(pts_sub!$D755,FIX!$A$2:$D1000,4, FALSE),"")</f>
        <v/>
      </c>
      <c r="E755" s="10"/>
      <c r="F755" s="10"/>
      <c r="G755" s="10"/>
      <c r="H755" s="10"/>
      <c r="I755" s="10"/>
      <c r="J755" s="10"/>
      <c r="K755" s="10"/>
    </row>
    <row r="756">
      <c r="A756" s="10" t="str">
        <f>IFNA(VLOOKUP(pts_sub!$A756,sub!$B$2:$E1000,4,FALSE),"")</f>
        <v/>
      </c>
      <c r="B756" s="10"/>
      <c r="C756" s="10"/>
      <c r="D756" s="10" t="str">
        <f>IFNA(VLOOKUP(pts_sub!$D756,FIX!$A$2:$D1000,4, FALSE),"")</f>
        <v/>
      </c>
      <c r="E756" s="10"/>
      <c r="F756" s="10"/>
      <c r="G756" s="10"/>
      <c r="H756" s="10"/>
      <c r="I756" s="10"/>
      <c r="J756" s="10"/>
      <c r="K756" s="10"/>
    </row>
    <row r="757">
      <c r="A757" s="10" t="str">
        <f>IFNA(VLOOKUP(pts_sub!$A757,sub!$B$2:$E1000,4,FALSE),"")</f>
        <v/>
      </c>
      <c r="B757" s="10"/>
      <c r="C757" s="10"/>
      <c r="D757" s="10" t="str">
        <f>IFNA(VLOOKUP(pts_sub!$D757,FIX!$A$2:$D1000,4, FALSE),"")</f>
        <v/>
      </c>
      <c r="E757" s="10"/>
      <c r="F757" s="10"/>
      <c r="G757" s="10"/>
      <c r="H757" s="10"/>
      <c r="I757" s="10"/>
      <c r="J757" s="10"/>
      <c r="K757" s="10"/>
    </row>
    <row r="758">
      <c r="A758" s="10" t="str">
        <f>IFNA(VLOOKUP(pts_sub!$A758,sub!$B$2:$E1000,4,FALSE),"")</f>
        <v/>
      </c>
      <c r="B758" s="10"/>
      <c r="C758" s="10"/>
      <c r="D758" s="10" t="str">
        <f>IFNA(VLOOKUP(pts_sub!$D758,FIX!$A$2:$D1000,4, FALSE),"")</f>
        <v/>
      </c>
      <c r="E758" s="10"/>
      <c r="F758" s="10"/>
      <c r="G758" s="10"/>
      <c r="H758" s="10"/>
      <c r="I758" s="10"/>
      <c r="J758" s="10"/>
      <c r="K758" s="10"/>
    </row>
    <row r="759">
      <c r="A759" s="10" t="str">
        <f>IFNA(VLOOKUP(pts_sub!$A759,sub!$B$2:$E1000,4,FALSE),"")</f>
        <v/>
      </c>
      <c r="B759" s="10"/>
      <c r="C759" s="10"/>
      <c r="D759" s="10" t="str">
        <f>IFNA(VLOOKUP(pts_sub!$D759,FIX!$A$2:$D1000,4, FALSE),"")</f>
        <v/>
      </c>
      <c r="E759" s="10"/>
      <c r="F759" s="10"/>
      <c r="G759" s="10"/>
      <c r="H759" s="10"/>
      <c r="I759" s="10"/>
      <c r="J759" s="10"/>
      <c r="K759" s="10"/>
    </row>
    <row r="760">
      <c r="A760" s="10" t="str">
        <f>IFNA(VLOOKUP(pts_sub!$A760,sub!$B$2:$E1000,4,FALSE),"")</f>
        <v/>
      </c>
      <c r="B760" s="10"/>
      <c r="C760" s="10"/>
      <c r="D760" s="10" t="str">
        <f>IFNA(VLOOKUP(pts_sub!$D760,FIX!$A$2:$D1000,4, FALSE),"")</f>
        <v/>
      </c>
      <c r="E760" s="10"/>
      <c r="F760" s="10"/>
      <c r="G760" s="10"/>
      <c r="H760" s="10"/>
      <c r="I760" s="10"/>
      <c r="J760" s="10"/>
      <c r="K760" s="10"/>
    </row>
    <row r="761">
      <c r="A761" s="10" t="str">
        <f>IFNA(VLOOKUP(pts_sub!$A761,sub!$B$2:$E1000,4,FALSE),"")</f>
        <v/>
      </c>
      <c r="B761" s="10"/>
      <c r="C761" s="10"/>
      <c r="D761" s="10" t="str">
        <f>IFNA(VLOOKUP(pts_sub!$D761,FIX!$A$2:$D1000,4, FALSE),"")</f>
        <v/>
      </c>
      <c r="E761" s="10"/>
      <c r="F761" s="10"/>
      <c r="G761" s="10"/>
      <c r="H761" s="10"/>
      <c r="I761" s="10"/>
      <c r="J761" s="10"/>
      <c r="K761" s="10"/>
    </row>
    <row r="762">
      <c r="A762" s="10" t="str">
        <f>IFNA(VLOOKUP(pts_sub!$A762,sub!$B$2:$E1000,4,FALSE),"")</f>
        <v/>
      </c>
      <c r="B762" s="10"/>
      <c r="C762" s="10"/>
      <c r="D762" s="10" t="str">
        <f>IFNA(VLOOKUP(pts_sub!$D762,FIX!$A$2:$D1000,4, FALSE),"")</f>
        <v/>
      </c>
      <c r="E762" s="10"/>
      <c r="F762" s="10"/>
      <c r="G762" s="10"/>
      <c r="H762" s="10"/>
      <c r="I762" s="10"/>
      <c r="J762" s="10"/>
      <c r="K762" s="10"/>
    </row>
    <row r="763">
      <c r="A763" s="10" t="str">
        <f>IFNA(VLOOKUP(pts_sub!$A763,sub!$B$2:$E1000,4,FALSE),"")</f>
        <v/>
      </c>
      <c r="B763" s="10"/>
      <c r="C763" s="10"/>
      <c r="D763" s="10" t="str">
        <f>IFNA(VLOOKUP(pts_sub!$D763,FIX!$A$2:$D1000,4, FALSE),"")</f>
        <v/>
      </c>
      <c r="E763" s="10"/>
      <c r="F763" s="10"/>
      <c r="G763" s="10"/>
      <c r="H763" s="10"/>
      <c r="I763" s="10"/>
      <c r="J763" s="10"/>
      <c r="K763" s="10"/>
    </row>
    <row r="764">
      <c r="A764" s="10" t="str">
        <f>IFNA(VLOOKUP(pts_sub!$A764,sub!$B$2:$E1000,4,FALSE),"")</f>
        <v/>
      </c>
      <c r="B764" s="10"/>
      <c r="C764" s="10"/>
      <c r="D764" s="10" t="str">
        <f>IFNA(VLOOKUP(pts_sub!$D764,FIX!$A$2:$D1000,4, FALSE),"")</f>
        <v/>
      </c>
      <c r="E764" s="10"/>
      <c r="F764" s="10"/>
      <c r="G764" s="10"/>
      <c r="H764" s="10"/>
      <c r="I764" s="10"/>
      <c r="J764" s="10"/>
      <c r="K764" s="10"/>
    </row>
    <row r="765">
      <c r="A765" s="10" t="str">
        <f>IFNA(VLOOKUP(pts_sub!$A765,sub!$B$2:$E1000,4,FALSE),"")</f>
        <v/>
      </c>
      <c r="B765" s="10"/>
      <c r="C765" s="10"/>
      <c r="D765" s="10" t="str">
        <f>IFNA(VLOOKUP(pts_sub!$D765,FIX!$A$2:$D1000,4, FALSE),"")</f>
        <v/>
      </c>
      <c r="E765" s="10"/>
      <c r="F765" s="10"/>
      <c r="G765" s="10"/>
      <c r="H765" s="10"/>
      <c r="I765" s="10"/>
      <c r="J765" s="10"/>
      <c r="K765" s="10"/>
    </row>
    <row r="766">
      <c r="A766" s="10" t="str">
        <f>IFNA(VLOOKUP(pts_sub!$A766,sub!$B$2:$E1000,4,FALSE),"")</f>
        <v/>
      </c>
      <c r="B766" s="10"/>
      <c r="C766" s="10"/>
      <c r="D766" s="10" t="str">
        <f>IFNA(VLOOKUP(pts_sub!$D766,FIX!$A$2:$D1000,4, FALSE),"")</f>
        <v/>
      </c>
      <c r="E766" s="10"/>
      <c r="F766" s="10"/>
      <c r="G766" s="10"/>
      <c r="H766" s="10"/>
      <c r="I766" s="10"/>
      <c r="J766" s="10"/>
      <c r="K766" s="10"/>
    </row>
    <row r="767">
      <c r="A767" s="10" t="str">
        <f>IFNA(VLOOKUP(pts_sub!$A767,sub!$B$2:$E1000,4,FALSE),"")</f>
        <v/>
      </c>
      <c r="B767" s="10"/>
      <c r="C767" s="10"/>
      <c r="D767" s="10" t="str">
        <f>IFNA(VLOOKUP(pts_sub!$D767,FIX!$A$2:$D1000,4, FALSE),"")</f>
        <v/>
      </c>
      <c r="E767" s="10"/>
      <c r="F767" s="10"/>
      <c r="G767" s="10"/>
      <c r="H767" s="10"/>
      <c r="I767" s="10"/>
      <c r="J767" s="10"/>
      <c r="K767" s="10"/>
    </row>
    <row r="768">
      <c r="A768" s="10" t="str">
        <f>IFNA(VLOOKUP(pts_sub!$A768,sub!$B$2:$E1000,4,FALSE),"")</f>
        <v/>
      </c>
      <c r="B768" s="10"/>
      <c r="C768" s="10"/>
      <c r="D768" s="10" t="str">
        <f>IFNA(VLOOKUP(pts_sub!$D768,FIX!$A$2:$D1000,4, FALSE),"")</f>
        <v/>
      </c>
      <c r="E768" s="10"/>
      <c r="F768" s="10"/>
      <c r="G768" s="10"/>
      <c r="H768" s="10"/>
      <c r="I768" s="10"/>
      <c r="J768" s="10"/>
      <c r="K768" s="10"/>
    </row>
    <row r="769">
      <c r="A769" s="10" t="str">
        <f>IFNA(VLOOKUP(pts_sub!$A769,sub!$B$2:$E1000,4,FALSE),"")</f>
        <v/>
      </c>
      <c r="B769" s="10"/>
      <c r="C769" s="10"/>
      <c r="D769" s="10" t="str">
        <f>IFNA(VLOOKUP(pts_sub!$D769,FIX!$A$2:$D1000,4, FALSE),"")</f>
        <v/>
      </c>
      <c r="E769" s="10"/>
      <c r="F769" s="10"/>
      <c r="G769" s="10"/>
      <c r="H769" s="10"/>
      <c r="I769" s="10"/>
      <c r="J769" s="10"/>
      <c r="K769" s="10"/>
    </row>
    <row r="770">
      <c r="A770" s="10" t="str">
        <f>IFNA(VLOOKUP(pts_sub!$A770,sub!$B$2:$E1000,4,FALSE),"")</f>
        <v/>
      </c>
      <c r="B770" s="10"/>
      <c r="C770" s="10"/>
      <c r="D770" s="10" t="str">
        <f>IFNA(VLOOKUP(pts_sub!$D770,FIX!$A$2:$D1000,4, FALSE),"")</f>
        <v/>
      </c>
      <c r="E770" s="10"/>
      <c r="F770" s="10"/>
      <c r="G770" s="10"/>
      <c r="H770" s="10"/>
      <c r="I770" s="10"/>
      <c r="J770" s="10"/>
      <c r="K770" s="10"/>
    </row>
    <row r="771">
      <c r="A771" s="10" t="str">
        <f>IFNA(VLOOKUP(pts_sub!$A771,sub!$B$2:$E1000,4,FALSE),"")</f>
        <v/>
      </c>
      <c r="B771" s="10"/>
      <c r="C771" s="10"/>
      <c r="D771" s="10" t="str">
        <f>IFNA(VLOOKUP(pts_sub!$D771,FIX!$A$2:$D1000,4, FALSE),"")</f>
        <v/>
      </c>
      <c r="E771" s="10"/>
      <c r="F771" s="10"/>
      <c r="G771" s="10"/>
      <c r="H771" s="10"/>
      <c r="I771" s="10"/>
      <c r="J771" s="10"/>
      <c r="K771" s="10"/>
    </row>
    <row r="772">
      <c r="A772" s="10" t="str">
        <f>IFNA(VLOOKUP(pts_sub!$A772,sub!$B$2:$E1000,4,FALSE),"")</f>
        <v/>
      </c>
      <c r="B772" s="10"/>
      <c r="C772" s="10"/>
      <c r="D772" s="10" t="str">
        <f>IFNA(VLOOKUP(pts_sub!$D772,FIX!$A$2:$D1000,4, FALSE),"")</f>
        <v/>
      </c>
      <c r="E772" s="10"/>
      <c r="F772" s="10"/>
      <c r="G772" s="10"/>
      <c r="H772" s="10"/>
      <c r="I772" s="10"/>
      <c r="J772" s="10"/>
      <c r="K772" s="10"/>
    </row>
    <row r="773">
      <c r="A773" s="10" t="str">
        <f>IFNA(VLOOKUP(pts_sub!$A773,sub!$B$2:$E1000,4,FALSE),"")</f>
        <v/>
      </c>
      <c r="B773" s="10"/>
      <c r="C773" s="10"/>
      <c r="D773" s="10" t="str">
        <f>IFNA(VLOOKUP(pts_sub!$D773,FIX!$A$2:$D1000,4, FALSE),"")</f>
        <v/>
      </c>
      <c r="E773" s="10"/>
      <c r="F773" s="10"/>
      <c r="G773" s="10"/>
      <c r="H773" s="10"/>
      <c r="I773" s="10"/>
      <c r="J773" s="10"/>
      <c r="K773" s="10"/>
    </row>
    <row r="774">
      <c r="A774" s="10" t="str">
        <f>IFNA(VLOOKUP(pts_sub!$A774,sub!$B$2:$E1000,4,FALSE),"")</f>
        <v/>
      </c>
      <c r="B774" s="10"/>
      <c r="C774" s="10"/>
      <c r="D774" s="10" t="str">
        <f>IFNA(VLOOKUP(pts_sub!$D774,FIX!$A$2:$D1000,4, FALSE),"")</f>
        <v/>
      </c>
      <c r="E774" s="10"/>
      <c r="F774" s="10"/>
      <c r="G774" s="10"/>
      <c r="H774" s="10"/>
      <c r="I774" s="10"/>
      <c r="J774" s="10"/>
      <c r="K774" s="10"/>
    </row>
    <row r="775">
      <c r="A775" s="10" t="str">
        <f>IFNA(VLOOKUP(pts_sub!$A775,sub!$B$2:$E1000,4,FALSE),"")</f>
        <v/>
      </c>
      <c r="B775" s="10"/>
      <c r="C775" s="10"/>
      <c r="D775" s="10" t="str">
        <f>IFNA(VLOOKUP(pts_sub!$D775,FIX!$A$2:$D1000,4, FALSE),"")</f>
        <v/>
      </c>
      <c r="E775" s="10"/>
      <c r="F775" s="10"/>
      <c r="G775" s="10"/>
      <c r="H775" s="10"/>
      <c r="I775" s="10"/>
      <c r="J775" s="10"/>
      <c r="K775" s="10"/>
    </row>
    <row r="776">
      <c r="A776" s="10" t="str">
        <f>IFNA(VLOOKUP(pts_sub!$A776,sub!$B$2:$E1000,4,FALSE),"")</f>
        <v/>
      </c>
      <c r="B776" s="10"/>
      <c r="C776" s="10"/>
      <c r="D776" s="10" t="str">
        <f>IFNA(VLOOKUP(pts_sub!$D776,FIX!$A$2:$D1000,4, FALSE),"")</f>
        <v/>
      </c>
      <c r="E776" s="10"/>
      <c r="F776" s="10"/>
      <c r="G776" s="10"/>
      <c r="H776" s="10"/>
      <c r="I776" s="10"/>
      <c r="J776" s="10"/>
      <c r="K776" s="10"/>
    </row>
    <row r="777">
      <c r="A777" s="10" t="str">
        <f>IFNA(VLOOKUP(pts_sub!$A777,sub!$B$2:$E1000,4,FALSE),"")</f>
        <v/>
      </c>
      <c r="B777" s="10"/>
      <c r="C777" s="10"/>
      <c r="D777" s="10" t="str">
        <f>IFNA(VLOOKUP(pts_sub!$D777,FIX!$A$2:$D1000,4, FALSE),"")</f>
        <v/>
      </c>
      <c r="E777" s="10"/>
      <c r="F777" s="10"/>
      <c r="G777" s="10"/>
      <c r="H777" s="10"/>
      <c r="I777" s="10"/>
      <c r="J777" s="10"/>
      <c r="K777" s="10"/>
    </row>
    <row r="778">
      <c r="A778" s="10" t="str">
        <f>IFNA(VLOOKUP(pts_sub!$A778,sub!$B$2:$E1000,4,FALSE),"")</f>
        <v/>
      </c>
      <c r="B778" s="10"/>
      <c r="C778" s="10"/>
      <c r="D778" s="10" t="str">
        <f>IFNA(VLOOKUP(pts_sub!$D778,FIX!$A$2:$D1000,4, FALSE),"")</f>
        <v/>
      </c>
      <c r="E778" s="10"/>
      <c r="F778" s="10"/>
      <c r="G778" s="10"/>
      <c r="H778" s="10"/>
      <c r="I778" s="10"/>
      <c r="J778" s="10"/>
      <c r="K778" s="10"/>
    </row>
    <row r="779">
      <c r="A779" s="10" t="str">
        <f>IFNA(VLOOKUP(pts_sub!$A779,sub!$B$2:$E1000,4,FALSE),"")</f>
        <v/>
      </c>
      <c r="B779" s="10"/>
      <c r="C779" s="10"/>
      <c r="D779" s="10" t="str">
        <f>IFNA(VLOOKUP(pts_sub!$D779,FIX!$A$2:$D1000,4, FALSE),"")</f>
        <v/>
      </c>
      <c r="E779" s="10"/>
      <c r="F779" s="10"/>
      <c r="G779" s="10"/>
      <c r="H779" s="10"/>
      <c r="I779" s="10"/>
      <c r="J779" s="10"/>
      <c r="K779" s="10"/>
    </row>
    <row r="780">
      <c r="A780" s="10" t="str">
        <f>IFNA(VLOOKUP(pts_sub!$A780,sub!$B$2:$E1000,4,FALSE),"")</f>
        <v/>
      </c>
      <c r="B780" s="10"/>
      <c r="C780" s="10"/>
      <c r="D780" s="10" t="str">
        <f>IFNA(VLOOKUP(pts_sub!$D780,FIX!$A$2:$D1000,4, FALSE),"")</f>
        <v/>
      </c>
      <c r="E780" s="10"/>
      <c r="F780" s="10"/>
      <c r="G780" s="10"/>
      <c r="H780" s="10"/>
      <c r="I780" s="10"/>
      <c r="J780" s="10"/>
      <c r="K780" s="10"/>
    </row>
    <row r="781">
      <c r="A781" s="10" t="str">
        <f>IFNA(VLOOKUP(pts_sub!$A781,sub!$B$2:$E1000,4,FALSE),"")</f>
        <v/>
      </c>
      <c r="B781" s="10"/>
      <c r="C781" s="10"/>
      <c r="D781" s="10" t="str">
        <f>IFNA(VLOOKUP(pts_sub!$D781,FIX!$A$2:$D1000,4, FALSE),"")</f>
        <v/>
      </c>
      <c r="E781" s="10"/>
      <c r="F781" s="10"/>
      <c r="G781" s="10"/>
      <c r="H781" s="10"/>
      <c r="I781" s="10"/>
      <c r="J781" s="10"/>
      <c r="K781" s="10"/>
    </row>
    <row r="782">
      <c r="A782" s="10" t="str">
        <f>IFNA(VLOOKUP(pts_sub!$A782,sub!$B$2:$E1000,4,FALSE),"")</f>
        <v/>
      </c>
      <c r="B782" s="10"/>
      <c r="C782" s="10"/>
      <c r="D782" s="10" t="str">
        <f>IFNA(VLOOKUP(pts_sub!$D782,FIX!$A$2:$D1000,4, FALSE),"")</f>
        <v/>
      </c>
      <c r="E782" s="10"/>
      <c r="F782" s="10"/>
      <c r="G782" s="10"/>
      <c r="H782" s="10"/>
      <c r="I782" s="10"/>
      <c r="J782" s="10"/>
      <c r="K782" s="10"/>
    </row>
    <row r="783">
      <c r="A783" s="10" t="str">
        <f>IFNA(VLOOKUP(pts_sub!$A783,sub!$B$2:$E1000,4,FALSE),"")</f>
        <v/>
      </c>
      <c r="B783" s="10"/>
      <c r="C783" s="10"/>
      <c r="D783" s="10" t="str">
        <f>IFNA(VLOOKUP(pts_sub!$D783,FIX!$A$2:$D1000,4, FALSE),"")</f>
        <v/>
      </c>
      <c r="E783" s="10"/>
      <c r="F783" s="10"/>
      <c r="G783" s="10"/>
      <c r="H783" s="10"/>
      <c r="I783" s="10"/>
      <c r="J783" s="10"/>
      <c r="K783" s="10"/>
    </row>
    <row r="784">
      <c r="A784" s="10" t="str">
        <f>IFNA(VLOOKUP(pts_sub!$A784,sub!$B$2:$E1000,4,FALSE),"")</f>
        <v/>
      </c>
      <c r="B784" s="10"/>
      <c r="C784" s="10"/>
      <c r="D784" s="10" t="str">
        <f>IFNA(VLOOKUP(pts_sub!$D784,FIX!$A$2:$D1000,4, FALSE),"")</f>
        <v/>
      </c>
      <c r="E784" s="10"/>
      <c r="F784" s="10"/>
      <c r="G784" s="10"/>
      <c r="H784" s="10"/>
      <c r="I784" s="10"/>
      <c r="J784" s="10"/>
      <c r="K784" s="10"/>
    </row>
    <row r="785">
      <c r="A785" s="10" t="str">
        <f>IFNA(VLOOKUP(pts_sub!$A785,sub!$B$2:$E1000,4,FALSE),"")</f>
        <v/>
      </c>
      <c r="B785" s="10"/>
      <c r="C785" s="10"/>
      <c r="D785" s="10" t="str">
        <f>IFNA(VLOOKUP(pts_sub!$D785,FIX!$A$2:$D1000,4, FALSE),"")</f>
        <v/>
      </c>
      <c r="E785" s="10"/>
      <c r="F785" s="10"/>
      <c r="G785" s="10"/>
      <c r="H785" s="10"/>
      <c r="I785" s="10"/>
      <c r="J785" s="10"/>
      <c r="K785" s="10"/>
    </row>
    <row r="786">
      <c r="A786" s="10" t="str">
        <f>IFNA(VLOOKUP(pts_sub!$A786,sub!$B$2:$E1000,4,FALSE),"")</f>
        <v/>
      </c>
      <c r="B786" s="10"/>
      <c r="C786" s="10"/>
      <c r="D786" s="10" t="str">
        <f>IFNA(VLOOKUP(pts_sub!$D786,FIX!$A$2:$D1000,4, FALSE),"")</f>
        <v/>
      </c>
      <c r="E786" s="10"/>
      <c r="F786" s="10"/>
      <c r="G786" s="10"/>
      <c r="H786" s="10"/>
      <c r="I786" s="10"/>
      <c r="J786" s="10"/>
      <c r="K786" s="10"/>
    </row>
    <row r="787">
      <c r="A787" s="10" t="str">
        <f>IFNA(VLOOKUP(pts_sub!$A787,sub!$B$2:$E1000,4,FALSE),"")</f>
        <v/>
      </c>
      <c r="B787" s="10"/>
      <c r="C787" s="10"/>
      <c r="D787" s="10" t="str">
        <f>IFNA(VLOOKUP(pts_sub!$D787,FIX!$A$2:$D1000,4, FALSE),"")</f>
        <v/>
      </c>
      <c r="E787" s="10"/>
      <c r="F787" s="10"/>
      <c r="G787" s="10"/>
      <c r="H787" s="10"/>
      <c r="I787" s="10"/>
      <c r="J787" s="10"/>
      <c r="K787" s="10"/>
    </row>
    <row r="788">
      <c r="A788" s="10" t="str">
        <f>IFNA(VLOOKUP(pts_sub!$A788,sub!$B$2:$E1000,4,FALSE),"")</f>
        <v/>
      </c>
      <c r="B788" s="10"/>
      <c r="C788" s="10"/>
      <c r="D788" s="10" t="str">
        <f>IFNA(VLOOKUP(pts_sub!$D788,FIX!$A$2:$D1000,4, FALSE),"")</f>
        <v/>
      </c>
      <c r="E788" s="10"/>
      <c r="F788" s="10"/>
      <c r="G788" s="10"/>
      <c r="H788" s="10"/>
      <c r="I788" s="10"/>
      <c r="J788" s="10"/>
      <c r="K788" s="10"/>
    </row>
    <row r="789">
      <c r="A789" s="10" t="str">
        <f>IFNA(VLOOKUP(pts_sub!$A789,sub!$B$2:$E1000,4,FALSE),"")</f>
        <v/>
      </c>
      <c r="B789" s="10"/>
      <c r="C789" s="10"/>
      <c r="D789" s="10" t="str">
        <f>IFNA(VLOOKUP(pts_sub!$D789,FIX!$A$2:$D1000,4, FALSE),"")</f>
        <v/>
      </c>
      <c r="E789" s="10"/>
      <c r="F789" s="10"/>
      <c r="G789" s="10"/>
      <c r="H789" s="10"/>
      <c r="I789" s="10"/>
      <c r="J789" s="10"/>
      <c r="K789" s="10"/>
    </row>
    <row r="790">
      <c r="A790" s="10" t="str">
        <f>IFNA(VLOOKUP(pts_sub!$A790,sub!$B$2:$E1000,4,FALSE),"")</f>
        <v/>
      </c>
      <c r="B790" s="10"/>
      <c r="C790" s="10"/>
      <c r="D790" s="10" t="str">
        <f>IFNA(VLOOKUP(pts_sub!$D790,FIX!$A$2:$D1000,4, FALSE),"")</f>
        <v/>
      </c>
      <c r="E790" s="10"/>
      <c r="F790" s="10"/>
      <c r="G790" s="10"/>
      <c r="H790" s="10"/>
      <c r="I790" s="10"/>
      <c r="J790" s="10"/>
      <c r="K790" s="10"/>
    </row>
    <row r="791">
      <c r="A791" s="10" t="str">
        <f>IFNA(VLOOKUP(pts_sub!$A791,sub!$B$2:$E1000,4,FALSE),"")</f>
        <v/>
      </c>
      <c r="B791" s="10"/>
      <c r="C791" s="10"/>
      <c r="D791" s="10" t="str">
        <f>IFNA(VLOOKUP(pts_sub!$D791,FIX!$A$2:$D1000,4, FALSE),"")</f>
        <v/>
      </c>
      <c r="E791" s="10"/>
      <c r="F791" s="10"/>
      <c r="G791" s="10"/>
      <c r="H791" s="10"/>
      <c r="I791" s="10"/>
      <c r="J791" s="10"/>
      <c r="K791" s="10"/>
    </row>
    <row r="792">
      <c r="A792" s="10" t="str">
        <f>IFNA(VLOOKUP(pts_sub!$A792,sub!$B$2:$E1000,4,FALSE),"")</f>
        <v/>
      </c>
      <c r="B792" s="10"/>
      <c r="C792" s="10"/>
      <c r="D792" s="10" t="str">
        <f>IFNA(VLOOKUP(pts_sub!$D792,FIX!$A$2:$D1000,4, FALSE),"")</f>
        <v/>
      </c>
      <c r="E792" s="10"/>
      <c r="F792" s="10"/>
      <c r="G792" s="10"/>
      <c r="H792" s="10"/>
      <c r="I792" s="10"/>
      <c r="J792" s="10"/>
      <c r="K792" s="10"/>
    </row>
    <row r="793">
      <c r="A793" s="10" t="str">
        <f>IFNA(VLOOKUP(pts_sub!$A793,sub!$B$2:$E1000,4,FALSE),"")</f>
        <v/>
      </c>
      <c r="B793" s="10"/>
      <c r="C793" s="10"/>
      <c r="D793" s="10" t="str">
        <f>IFNA(VLOOKUP(pts_sub!$D793,FIX!$A$2:$D1000,4, FALSE),"")</f>
        <v/>
      </c>
      <c r="E793" s="10"/>
      <c r="F793" s="10"/>
      <c r="G793" s="10"/>
      <c r="H793" s="10"/>
      <c r="I793" s="10"/>
      <c r="J793" s="10"/>
      <c r="K793" s="10"/>
    </row>
    <row r="794">
      <c r="A794" s="10" t="str">
        <f>IFNA(VLOOKUP(pts_sub!$A794,sub!$B$2:$E1000,4,FALSE),"")</f>
        <v/>
      </c>
      <c r="B794" s="10"/>
      <c r="C794" s="10"/>
      <c r="D794" s="10" t="str">
        <f>IFNA(VLOOKUP(pts_sub!$D794,FIX!$A$2:$D1000,4, FALSE),"")</f>
        <v/>
      </c>
      <c r="E794" s="10"/>
      <c r="F794" s="10"/>
      <c r="G794" s="10"/>
      <c r="H794" s="10"/>
      <c r="I794" s="10"/>
      <c r="J794" s="10"/>
      <c r="K794" s="10"/>
    </row>
    <row r="795">
      <c r="A795" s="10" t="str">
        <f>IFNA(VLOOKUP(pts_sub!$A795,sub!$B$2:$E1000,4,FALSE),"")</f>
        <v/>
      </c>
      <c r="B795" s="10"/>
      <c r="C795" s="10"/>
      <c r="D795" s="10" t="str">
        <f>IFNA(VLOOKUP(pts_sub!$D795,FIX!$A$2:$D1000,4, FALSE),"")</f>
        <v/>
      </c>
      <c r="E795" s="10"/>
      <c r="F795" s="10"/>
      <c r="G795" s="10"/>
      <c r="H795" s="10"/>
      <c r="I795" s="10"/>
      <c r="J795" s="10"/>
      <c r="K795" s="10"/>
    </row>
    <row r="796">
      <c r="A796" s="10" t="str">
        <f>IFNA(VLOOKUP(pts_sub!$A796,sub!$B$2:$E1000,4,FALSE),"")</f>
        <v/>
      </c>
      <c r="B796" s="10"/>
      <c r="C796" s="10"/>
      <c r="D796" s="10" t="str">
        <f>IFNA(VLOOKUP(pts_sub!$D796,FIX!$A$2:$D1000,4, FALSE),"")</f>
        <v/>
      </c>
      <c r="E796" s="10"/>
      <c r="F796" s="10"/>
      <c r="G796" s="10"/>
      <c r="H796" s="10"/>
      <c r="I796" s="10"/>
      <c r="J796" s="10"/>
      <c r="K796" s="10"/>
    </row>
    <row r="797">
      <c r="A797" s="10" t="str">
        <f>IFNA(VLOOKUP(pts_sub!$A797,sub!$B$2:$E1000,4,FALSE),"")</f>
        <v/>
      </c>
      <c r="B797" s="10"/>
      <c r="C797" s="10"/>
      <c r="D797" s="10" t="str">
        <f>IFNA(VLOOKUP(pts_sub!$D797,FIX!$A$2:$D1000,4, FALSE),"")</f>
        <v/>
      </c>
      <c r="E797" s="10"/>
      <c r="F797" s="10"/>
      <c r="G797" s="10"/>
      <c r="H797" s="10"/>
      <c r="I797" s="10"/>
      <c r="J797" s="10"/>
      <c r="K797" s="10"/>
    </row>
    <row r="798">
      <c r="A798" s="10" t="str">
        <f>IFNA(VLOOKUP(pts_sub!$A798,sub!$B$2:$E1000,4,FALSE),"")</f>
        <v/>
      </c>
      <c r="B798" s="10"/>
      <c r="C798" s="10"/>
      <c r="D798" s="10" t="str">
        <f>IFNA(VLOOKUP(pts_sub!$D798,FIX!$A$2:$D1000,4, FALSE),"")</f>
        <v/>
      </c>
      <c r="E798" s="10"/>
      <c r="F798" s="10"/>
      <c r="G798" s="10"/>
      <c r="H798" s="10"/>
      <c r="I798" s="10"/>
      <c r="J798" s="10"/>
      <c r="K798" s="10"/>
    </row>
    <row r="799">
      <c r="A799" s="10" t="str">
        <f>IFNA(VLOOKUP(pts_sub!$A799,sub!$B$2:$E1000,4,FALSE),"")</f>
        <v/>
      </c>
      <c r="B799" s="10"/>
      <c r="C799" s="10"/>
      <c r="D799" s="10" t="str">
        <f>IFNA(VLOOKUP(pts_sub!$D799,FIX!$A$2:$D1000,4, FALSE),"")</f>
        <v/>
      </c>
      <c r="E799" s="10"/>
      <c r="F799" s="10"/>
      <c r="G799" s="10"/>
      <c r="H799" s="10"/>
      <c r="I799" s="10"/>
      <c r="J799" s="10"/>
      <c r="K799" s="10"/>
    </row>
    <row r="800">
      <c r="A800" s="10" t="str">
        <f>IFNA(VLOOKUP(pts_sub!$A800,sub!$B$2:$E1000,4,FALSE),"")</f>
        <v/>
      </c>
      <c r="B800" s="10"/>
      <c r="C800" s="10"/>
      <c r="D800" s="10" t="str">
        <f>IFNA(VLOOKUP(pts_sub!$D800,FIX!$A$2:$D1000,4, FALSE),"")</f>
        <v/>
      </c>
      <c r="E800" s="10"/>
      <c r="F800" s="10"/>
      <c r="G800" s="10"/>
      <c r="H800" s="10"/>
      <c r="I800" s="10"/>
      <c r="J800" s="10"/>
      <c r="K800" s="10"/>
    </row>
    <row r="801">
      <c r="A801" s="10" t="str">
        <f>IFNA(VLOOKUP(pts_sub!$A801,sub!$B$2:$E1000,4,FALSE),"")</f>
        <v/>
      </c>
      <c r="B801" s="10"/>
      <c r="C801" s="10"/>
      <c r="D801" s="10" t="str">
        <f>IFNA(VLOOKUP(pts_sub!$D801,FIX!$A$2:$D1000,4, FALSE),"")</f>
        <v/>
      </c>
      <c r="E801" s="10"/>
      <c r="F801" s="10"/>
      <c r="G801" s="10"/>
      <c r="H801" s="10"/>
      <c r="I801" s="10"/>
      <c r="J801" s="10"/>
      <c r="K801" s="10"/>
    </row>
    <row r="802">
      <c r="A802" s="10" t="str">
        <f>IFNA(VLOOKUP(pts_sub!$A802,sub!$B$2:$E1000,4,FALSE),"")</f>
        <v/>
      </c>
      <c r="B802" s="10"/>
      <c r="C802" s="10"/>
      <c r="D802" s="10" t="str">
        <f>IFNA(VLOOKUP(pts_sub!$D802,FIX!$A$2:$D1000,4, FALSE),"")</f>
        <v/>
      </c>
      <c r="E802" s="10"/>
      <c r="F802" s="10"/>
      <c r="G802" s="10"/>
      <c r="H802" s="10"/>
      <c r="I802" s="10"/>
      <c r="J802" s="10"/>
      <c r="K802" s="10"/>
    </row>
    <row r="803">
      <c r="A803" s="10" t="str">
        <f>IFNA(VLOOKUP(pts_sub!$A803,sub!$B$2:$E1000,4,FALSE),"")</f>
        <v/>
      </c>
      <c r="B803" s="10"/>
      <c r="C803" s="10"/>
      <c r="D803" s="10" t="str">
        <f>IFNA(VLOOKUP(pts_sub!$D803,FIX!$A$2:$D1000,4, FALSE),"")</f>
        <v/>
      </c>
      <c r="E803" s="10"/>
      <c r="F803" s="10"/>
      <c r="G803" s="10"/>
      <c r="H803" s="10"/>
      <c r="I803" s="10"/>
      <c r="J803" s="10"/>
      <c r="K803" s="10"/>
    </row>
    <row r="804">
      <c r="A804" s="10" t="str">
        <f>IFNA(VLOOKUP(pts_sub!$A804,sub!$B$2:$E1000,4,FALSE),"")</f>
        <v/>
      </c>
      <c r="B804" s="10"/>
      <c r="C804" s="10"/>
      <c r="D804" s="10" t="str">
        <f>IFNA(VLOOKUP(pts_sub!$D804,FIX!$A$2:$D1000,4, FALSE),"")</f>
        <v/>
      </c>
      <c r="E804" s="10"/>
      <c r="F804" s="10"/>
      <c r="G804" s="10"/>
      <c r="H804" s="10"/>
      <c r="I804" s="10"/>
      <c r="J804" s="10"/>
      <c r="K804" s="10"/>
    </row>
    <row r="805">
      <c r="A805" s="10" t="str">
        <f>IFNA(VLOOKUP(pts_sub!$A805,sub!$B$2:$E1000,4,FALSE),"")</f>
        <v/>
      </c>
      <c r="B805" s="10"/>
      <c r="C805" s="10"/>
      <c r="D805" s="10" t="str">
        <f>IFNA(VLOOKUP(pts_sub!$D805,FIX!$A$2:$D1000,4, FALSE),"")</f>
        <v/>
      </c>
      <c r="E805" s="10"/>
      <c r="F805" s="10"/>
      <c r="G805" s="10"/>
      <c r="H805" s="10"/>
      <c r="I805" s="10"/>
      <c r="J805" s="10"/>
      <c r="K805" s="10"/>
    </row>
    <row r="806">
      <c r="A806" s="10" t="str">
        <f>IFNA(VLOOKUP(pts_sub!$A806,sub!$B$2:$E1000,4,FALSE),"")</f>
        <v/>
      </c>
      <c r="B806" s="10"/>
      <c r="C806" s="10"/>
      <c r="D806" s="10" t="str">
        <f>IFNA(VLOOKUP(pts_sub!$D806,FIX!$A$2:$D1000,4, FALSE),"")</f>
        <v/>
      </c>
      <c r="E806" s="10"/>
      <c r="F806" s="10"/>
      <c r="G806" s="10"/>
      <c r="H806" s="10"/>
      <c r="I806" s="10"/>
      <c r="J806" s="10"/>
      <c r="K806" s="10"/>
    </row>
    <row r="807">
      <c r="A807" s="10" t="str">
        <f>IFNA(VLOOKUP(pts_sub!$A807,sub!$B$2:$E1000,4,FALSE),"")</f>
        <v/>
      </c>
      <c r="B807" s="10"/>
      <c r="C807" s="10"/>
      <c r="D807" s="10" t="str">
        <f>IFNA(VLOOKUP(pts_sub!$D807,FIX!$A$2:$D1000,4, FALSE),"")</f>
        <v/>
      </c>
      <c r="E807" s="10"/>
      <c r="F807" s="10"/>
      <c r="G807" s="10"/>
      <c r="H807" s="10"/>
      <c r="I807" s="10"/>
      <c r="J807" s="10"/>
      <c r="K807" s="10"/>
    </row>
    <row r="808">
      <c r="A808" s="10" t="str">
        <f>IFNA(VLOOKUP(pts_sub!$A808,sub!$B$2:$E1000,4,FALSE),"")</f>
        <v/>
      </c>
      <c r="B808" s="10"/>
      <c r="C808" s="10"/>
      <c r="D808" s="10" t="str">
        <f>IFNA(VLOOKUP(pts_sub!$D808,FIX!$A$2:$D1000,4, FALSE),"")</f>
        <v/>
      </c>
      <c r="E808" s="10"/>
      <c r="F808" s="10"/>
      <c r="G808" s="10"/>
      <c r="H808" s="10"/>
      <c r="I808" s="10"/>
      <c r="J808" s="10"/>
      <c r="K808" s="10"/>
    </row>
    <row r="809">
      <c r="A809" s="10" t="str">
        <f>IFNA(VLOOKUP(pts_sub!$A809,sub!$B$2:$E1000,4,FALSE),"")</f>
        <v/>
      </c>
      <c r="B809" s="10"/>
      <c r="C809" s="10"/>
      <c r="D809" s="10" t="str">
        <f>IFNA(VLOOKUP(pts_sub!$D809,FIX!$A$2:$D1000,4, FALSE),"")</f>
        <v/>
      </c>
      <c r="E809" s="10"/>
      <c r="F809" s="10"/>
      <c r="G809" s="10"/>
      <c r="H809" s="10"/>
      <c r="I809" s="10"/>
      <c r="J809" s="10"/>
      <c r="K809" s="10"/>
    </row>
    <row r="810">
      <c r="A810" s="10" t="str">
        <f>IFNA(VLOOKUP(pts_sub!$A810,sub!$B$2:$E1000,4,FALSE),"")</f>
        <v/>
      </c>
      <c r="B810" s="10"/>
      <c r="C810" s="10"/>
      <c r="D810" s="10" t="str">
        <f>IFNA(VLOOKUP(pts_sub!$D810,FIX!$A$2:$D1000,4, FALSE),"")</f>
        <v/>
      </c>
      <c r="E810" s="10"/>
      <c r="F810" s="10"/>
      <c r="G810" s="10"/>
      <c r="H810" s="10"/>
      <c r="I810" s="10"/>
      <c r="J810" s="10"/>
      <c r="K810" s="10"/>
    </row>
    <row r="811">
      <c r="A811" s="10" t="str">
        <f>IFNA(VLOOKUP(pts_sub!$A811,sub!$B$2:$E1000,4,FALSE),"")</f>
        <v/>
      </c>
      <c r="B811" s="10"/>
      <c r="C811" s="10"/>
      <c r="D811" s="10" t="str">
        <f>IFNA(VLOOKUP(pts_sub!$D811,FIX!$A$2:$D1000,4, FALSE),"")</f>
        <v/>
      </c>
      <c r="E811" s="10"/>
      <c r="F811" s="10"/>
      <c r="G811" s="10"/>
      <c r="H811" s="10"/>
      <c r="I811" s="10"/>
      <c r="J811" s="10"/>
      <c r="K811" s="10"/>
    </row>
    <row r="812">
      <c r="A812" s="10" t="str">
        <f>IFNA(VLOOKUP(pts_sub!$A812,sub!$B$2:$E1000,4,FALSE),"")</f>
        <v/>
      </c>
      <c r="B812" s="10"/>
      <c r="C812" s="10"/>
      <c r="D812" s="10" t="str">
        <f>IFNA(VLOOKUP(pts_sub!$D812,FIX!$A$2:$D1000,4, FALSE),"")</f>
        <v/>
      </c>
      <c r="E812" s="10"/>
      <c r="F812" s="10"/>
      <c r="G812" s="10"/>
      <c r="H812" s="10"/>
      <c r="I812" s="10"/>
      <c r="J812" s="10"/>
      <c r="K812" s="10"/>
    </row>
    <row r="813">
      <c r="A813" s="10" t="str">
        <f>IFNA(VLOOKUP(pts_sub!$A813,sub!$B$2:$E1000,4,FALSE),"")</f>
        <v/>
      </c>
      <c r="B813" s="10"/>
      <c r="C813" s="10"/>
      <c r="D813" s="10" t="str">
        <f>IFNA(VLOOKUP(pts_sub!$D813,FIX!$A$2:$D1000,4, FALSE),"")</f>
        <v/>
      </c>
      <c r="E813" s="10"/>
      <c r="F813" s="10"/>
      <c r="G813" s="10"/>
      <c r="H813" s="10"/>
      <c r="I813" s="10"/>
      <c r="J813" s="10"/>
      <c r="K813" s="10"/>
    </row>
    <row r="814">
      <c r="A814" s="10" t="str">
        <f>IFNA(VLOOKUP(pts_sub!$A814,sub!$B$2:$E1000,4,FALSE),"")</f>
        <v/>
      </c>
      <c r="B814" s="10"/>
      <c r="C814" s="10"/>
      <c r="D814" s="10" t="str">
        <f>IFNA(VLOOKUP(pts_sub!$D814,FIX!$A$2:$D1000,4, FALSE),"")</f>
        <v/>
      </c>
      <c r="E814" s="10"/>
      <c r="F814" s="10"/>
      <c r="G814" s="10"/>
      <c r="H814" s="10"/>
      <c r="I814" s="10"/>
      <c r="J814" s="10"/>
      <c r="K814" s="10"/>
    </row>
    <row r="815">
      <c r="A815" s="10" t="str">
        <f>IFNA(VLOOKUP(pts_sub!$A815,sub!$B$2:$E1000,4,FALSE),"")</f>
        <v/>
      </c>
      <c r="B815" s="10"/>
      <c r="C815" s="10"/>
      <c r="D815" s="10" t="str">
        <f>IFNA(VLOOKUP(pts_sub!$D815,FIX!$A$2:$D1000,4, FALSE),"")</f>
        <v/>
      </c>
      <c r="E815" s="10"/>
      <c r="F815" s="10"/>
      <c r="G815" s="10"/>
      <c r="H815" s="10"/>
      <c r="I815" s="10"/>
      <c r="J815" s="10"/>
      <c r="K815" s="10"/>
    </row>
    <row r="816">
      <c r="A816" s="10" t="str">
        <f>IFNA(VLOOKUP(pts_sub!$A816,sub!$B$2:$E1000,4,FALSE),"")</f>
        <v/>
      </c>
      <c r="B816" s="10"/>
      <c r="C816" s="10"/>
      <c r="D816" s="10" t="str">
        <f>IFNA(VLOOKUP(pts_sub!$D816,FIX!$A$2:$D1000,4, FALSE),"")</f>
        <v/>
      </c>
      <c r="E816" s="10"/>
      <c r="F816" s="10"/>
      <c r="G816" s="10"/>
      <c r="H816" s="10"/>
      <c r="I816" s="10"/>
      <c r="J816" s="10"/>
      <c r="K816" s="10"/>
    </row>
    <row r="817">
      <c r="A817" s="10" t="str">
        <f>IFNA(VLOOKUP(pts_sub!$A817,sub!$B$2:$E1000,4,FALSE),"")</f>
        <v/>
      </c>
      <c r="B817" s="10"/>
      <c r="C817" s="10"/>
      <c r="D817" s="10" t="str">
        <f>IFNA(VLOOKUP(pts_sub!$D817,FIX!$A$2:$D1000,4, FALSE),"")</f>
        <v/>
      </c>
      <c r="E817" s="10"/>
      <c r="F817" s="10"/>
      <c r="G817" s="10"/>
      <c r="H817" s="10"/>
      <c r="I817" s="10"/>
      <c r="J817" s="10"/>
      <c r="K817" s="10"/>
    </row>
    <row r="818">
      <c r="A818" s="10" t="str">
        <f>IFNA(VLOOKUP(pts_sub!$A818,sub!$B$2:$E1000,4,FALSE),"")</f>
        <v/>
      </c>
      <c r="B818" s="10"/>
      <c r="C818" s="10"/>
      <c r="D818" s="10" t="str">
        <f>IFNA(VLOOKUP(pts_sub!$D818,FIX!$A$2:$D1000,4, FALSE),"")</f>
        <v/>
      </c>
      <c r="E818" s="10"/>
      <c r="F818" s="10"/>
      <c r="G818" s="10"/>
      <c r="H818" s="10"/>
      <c r="I818" s="10"/>
      <c r="J818" s="10"/>
      <c r="K818" s="10"/>
    </row>
    <row r="819">
      <c r="A819" s="10" t="str">
        <f>IFNA(VLOOKUP(pts_sub!$A819,sub!$B$2:$E1000,4,FALSE),"")</f>
        <v/>
      </c>
      <c r="B819" s="10"/>
      <c r="C819" s="10"/>
      <c r="D819" s="10" t="str">
        <f>IFNA(VLOOKUP(pts_sub!$D819,FIX!$A$2:$D1000,4, FALSE),"")</f>
        <v/>
      </c>
      <c r="E819" s="10"/>
      <c r="F819" s="10"/>
      <c r="G819" s="10"/>
      <c r="H819" s="10"/>
      <c r="I819" s="10"/>
      <c r="J819" s="10"/>
      <c r="K819" s="10"/>
    </row>
    <row r="820">
      <c r="A820" s="10" t="str">
        <f>IFNA(VLOOKUP(pts_sub!$A820,sub!$B$2:$E1000,4,FALSE),"")</f>
        <v/>
      </c>
      <c r="B820" s="10"/>
      <c r="C820" s="10"/>
      <c r="D820" s="10" t="str">
        <f>IFNA(VLOOKUP(pts_sub!$D820,FIX!$A$2:$D1000,4, FALSE),"")</f>
        <v/>
      </c>
      <c r="E820" s="10"/>
      <c r="F820" s="10"/>
      <c r="G820" s="10"/>
      <c r="H820" s="10"/>
      <c r="I820" s="10"/>
      <c r="J820" s="10"/>
      <c r="K820" s="10"/>
    </row>
    <row r="821">
      <c r="A821" s="10" t="str">
        <f>IFNA(VLOOKUP(pts_sub!$A821,sub!$B$2:$E1000,4,FALSE),"")</f>
        <v/>
      </c>
      <c r="B821" s="10"/>
      <c r="C821" s="10"/>
      <c r="D821" s="10" t="str">
        <f>IFNA(VLOOKUP(pts_sub!$D821,FIX!$A$2:$D1000,4, FALSE),"")</f>
        <v/>
      </c>
      <c r="E821" s="10"/>
      <c r="F821" s="10"/>
      <c r="G821" s="10"/>
      <c r="H821" s="10"/>
      <c r="I821" s="10"/>
      <c r="J821" s="10"/>
      <c r="K821" s="10"/>
    </row>
    <row r="822">
      <c r="A822" s="10" t="str">
        <f>IFNA(VLOOKUP(pts_sub!$A822,sub!$B$2:$E1000,4,FALSE),"")</f>
        <v/>
      </c>
      <c r="B822" s="10"/>
      <c r="C822" s="10"/>
      <c r="D822" s="10" t="str">
        <f>IFNA(VLOOKUP(pts_sub!$D822,FIX!$A$2:$D1000,4, FALSE),"")</f>
        <v/>
      </c>
      <c r="E822" s="10"/>
      <c r="F822" s="10"/>
      <c r="G822" s="10"/>
      <c r="H822" s="10"/>
      <c r="I822" s="10"/>
      <c r="J822" s="10"/>
      <c r="K822" s="10"/>
    </row>
    <row r="823">
      <c r="A823" s="10" t="str">
        <f>IFNA(VLOOKUP(pts_sub!$A823,sub!$B$2:$E1000,4,FALSE),"")</f>
        <v/>
      </c>
      <c r="B823" s="10"/>
      <c r="C823" s="10"/>
      <c r="D823" s="10" t="str">
        <f>IFNA(VLOOKUP(pts_sub!$D823,FIX!$A$2:$D1000,4, FALSE),"")</f>
        <v/>
      </c>
      <c r="E823" s="10"/>
      <c r="F823" s="10"/>
      <c r="G823" s="10"/>
      <c r="H823" s="10"/>
      <c r="I823" s="10"/>
      <c r="J823" s="10"/>
      <c r="K823" s="10"/>
    </row>
    <row r="824">
      <c r="A824" s="10" t="str">
        <f>IFNA(VLOOKUP(pts_sub!$A824,sub!$B$2:$E1000,4,FALSE),"")</f>
        <v/>
      </c>
      <c r="B824" s="10"/>
      <c r="C824" s="10"/>
      <c r="D824" s="10" t="str">
        <f>IFNA(VLOOKUP(pts_sub!$D824,FIX!$A$2:$D1000,4, FALSE),"")</f>
        <v/>
      </c>
      <c r="E824" s="10"/>
      <c r="F824" s="10"/>
      <c r="G824" s="10"/>
      <c r="H824" s="10"/>
      <c r="I824" s="10"/>
      <c r="J824" s="10"/>
      <c r="K824" s="10"/>
    </row>
    <row r="825">
      <c r="A825" s="10" t="str">
        <f>IFNA(VLOOKUP(pts_sub!$A825,sub!$B$2:$E1000,4,FALSE),"")</f>
        <v/>
      </c>
      <c r="B825" s="10"/>
      <c r="C825" s="10"/>
      <c r="D825" s="10" t="str">
        <f>IFNA(VLOOKUP(pts_sub!$D825,FIX!$A$2:$D1000,4, FALSE),"")</f>
        <v/>
      </c>
      <c r="E825" s="10"/>
      <c r="F825" s="10"/>
      <c r="G825" s="10"/>
      <c r="H825" s="10"/>
      <c r="I825" s="10"/>
      <c r="J825" s="10"/>
      <c r="K825" s="10"/>
    </row>
    <row r="826">
      <c r="A826" s="10" t="str">
        <f>IFNA(VLOOKUP(pts_sub!$A826,sub!$B$2:$E1000,4,FALSE),"")</f>
        <v/>
      </c>
      <c r="B826" s="10"/>
      <c r="C826" s="10"/>
      <c r="D826" s="10" t="str">
        <f>IFNA(VLOOKUP(pts_sub!$D826,FIX!$A$2:$D1000,4, FALSE),"")</f>
        <v/>
      </c>
      <c r="E826" s="10"/>
      <c r="F826" s="10"/>
      <c r="G826" s="10"/>
      <c r="H826" s="10"/>
      <c r="I826" s="10"/>
      <c r="J826" s="10"/>
      <c r="K826" s="10"/>
    </row>
    <row r="827">
      <c r="A827" s="10" t="str">
        <f>IFNA(VLOOKUP(pts_sub!$A827,sub!$B$2:$E1000,4,FALSE),"")</f>
        <v/>
      </c>
      <c r="B827" s="10"/>
      <c r="C827" s="10"/>
      <c r="D827" s="10" t="str">
        <f>IFNA(VLOOKUP(pts_sub!$D827,FIX!$A$2:$D1000,4, FALSE),"")</f>
        <v/>
      </c>
      <c r="E827" s="10"/>
      <c r="F827" s="10"/>
      <c r="G827" s="10"/>
      <c r="H827" s="10"/>
      <c r="I827" s="10"/>
      <c r="J827" s="10"/>
      <c r="K827" s="10"/>
    </row>
    <row r="828">
      <c r="A828" s="10" t="str">
        <f>IFNA(VLOOKUP(pts_sub!$A828,sub!$B$2:$E1000,4,FALSE),"")</f>
        <v/>
      </c>
      <c r="B828" s="10"/>
      <c r="C828" s="10"/>
      <c r="D828" s="10" t="str">
        <f>IFNA(VLOOKUP(pts_sub!$D828,FIX!$A$2:$D1000,4, FALSE),"")</f>
        <v/>
      </c>
      <c r="E828" s="10"/>
      <c r="F828" s="10"/>
      <c r="G828" s="10"/>
      <c r="H828" s="10"/>
      <c r="I828" s="10"/>
      <c r="J828" s="10"/>
      <c r="K828" s="10"/>
    </row>
    <row r="829">
      <c r="A829" s="10" t="str">
        <f>IFNA(VLOOKUP(pts_sub!$A829,sub!$B$2:$E1000,4,FALSE),"")</f>
        <v/>
      </c>
      <c r="B829" s="10"/>
      <c r="C829" s="10"/>
      <c r="D829" s="10" t="str">
        <f>IFNA(VLOOKUP(pts_sub!$D829,FIX!$A$2:$D1000,4, FALSE),"")</f>
        <v/>
      </c>
      <c r="E829" s="10"/>
      <c r="F829" s="10"/>
      <c r="G829" s="10"/>
      <c r="H829" s="10"/>
      <c r="I829" s="10"/>
      <c r="J829" s="10"/>
      <c r="K829" s="10"/>
    </row>
    <row r="830">
      <c r="A830" s="10" t="str">
        <f>IFNA(VLOOKUP(pts_sub!$A830,sub!$B$2:$E1000,4,FALSE),"")</f>
        <v/>
      </c>
      <c r="B830" s="10"/>
      <c r="C830" s="10"/>
      <c r="D830" s="10" t="str">
        <f>IFNA(VLOOKUP(pts_sub!$D830,FIX!$A$2:$D1000,4, FALSE),"")</f>
        <v/>
      </c>
      <c r="E830" s="10"/>
      <c r="F830" s="10"/>
      <c r="G830" s="10"/>
      <c r="H830" s="10"/>
      <c r="I830" s="10"/>
      <c r="J830" s="10"/>
      <c r="K830" s="10"/>
    </row>
    <row r="831">
      <c r="A831" s="10" t="str">
        <f>IFNA(VLOOKUP(pts_sub!$A831,sub!$B$2:$E1000,4,FALSE),"")</f>
        <v/>
      </c>
      <c r="B831" s="10"/>
      <c r="C831" s="10"/>
      <c r="D831" s="10" t="str">
        <f>IFNA(VLOOKUP(pts_sub!$D831,FIX!$A$2:$D1000,4, FALSE),"")</f>
        <v/>
      </c>
      <c r="E831" s="10"/>
      <c r="F831" s="10"/>
      <c r="G831" s="10"/>
      <c r="H831" s="10"/>
      <c r="I831" s="10"/>
      <c r="J831" s="10"/>
      <c r="K831" s="10"/>
    </row>
    <row r="832">
      <c r="A832" s="10" t="str">
        <f>IFNA(VLOOKUP(pts_sub!$A832,sub!$B$2:$E1000,4,FALSE),"")</f>
        <v/>
      </c>
      <c r="B832" s="10"/>
      <c r="C832" s="10"/>
      <c r="D832" s="10" t="str">
        <f>IFNA(VLOOKUP(pts_sub!$D832,FIX!$A$2:$D1000,4, FALSE),"")</f>
        <v/>
      </c>
      <c r="E832" s="10"/>
      <c r="F832" s="10"/>
      <c r="G832" s="10"/>
      <c r="H832" s="10"/>
      <c r="I832" s="10"/>
      <c r="J832" s="10"/>
      <c r="K832" s="10"/>
    </row>
    <row r="833">
      <c r="A833" s="10" t="str">
        <f>IFNA(VLOOKUP(pts_sub!$A833,sub!$B$2:$E1000,4,FALSE),"")</f>
        <v/>
      </c>
      <c r="B833" s="10"/>
      <c r="C833" s="10"/>
      <c r="D833" s="10" t="str">
        <f>IFNA(VLOOKUP(pts_sub!$D833,FIX!$A$2:$D1000,4, FALSE),"")</f>
        <v/>
      </c>
      <c r="E833" s="10"/>
      <c r="F833" s="10"/>
      <c r="G833" s="10"/>
      <c r="H833" s="10"/>
      <c r="I833" s="10"/>
      <c r="J833" s="10"/>
      <c r="K833" s="10"/>
    </row>
    <row r="834">
      <c r="A834" s="10" t="str">
        <f>IFNA(VLOOKUP(pts_sub!$A834,sub!$B$2:$E1000,4,FALSE),"")</f>
        <v/>
      </c>
      <c r="B834" s="10"/>
      <c r="C834" s="10"/>
      <c r="D834" s="10" t="str">
        <f>IFNA(VLOOKUP(pts_sub!$D834,FIX!$A$2:$D1000,4, FALSE),"")</f>
        <v/>
      </c>
      <c r="E834" s="10"/>
      <c r="F834" s="10"/>
      <c r="G834" s="10"/>
      <c r="H834" s="10"/>
      <c r="I834" s="10"/>
      <c r="J834" s="10"/>
      <c r="K834" s="10"/>
    </row>
    <row r="835">
      <c r="A835" s="10" t="str">
        <f>IFNA(VLOOKUP(pts_sub!$A835,sub!$B$2:$E1000,4,FALSE),"")</f>
        <v/>
      </c>
      <c r="B835" s="10"/>
      <c r="C835" s="10"/>
      <c r="D835" s="10" t="str">
        <f>IFNA(VLOOKUP(pts_sub!$D835,FIX!$A$2:$D1000,4, FALSE),"")</f>
        <v/>
      </c>
      <c r="E835" s="10"/>
      <c r="F835" s="10"/>
      <c r="G835" s="10"/>
      <c r="H835" s="10"/>
      <c r="I835" s="10"/>
      <c r="J835" s="10"/>
      <c r="K835" s="10"/>
    </row>
    <row r="836">
      <c r="A836" s="10" t="str">
        <f>IFNA(VLOOKUP(pts_sub!$A836,sub!$B$2:$E1000,4,FALSE),"")</f>
        <v/>
      </c>
      <c r="B836" s="10"/>
      <c r="C836" s="10"/>
      <c r="D836" s="10" t="str">
        <f>IFNA(VLOOKUP(pts_sub!$D836,FIX!$A$2:$D1000,4, FALSE),"")</f>
        <v/>
      </c>
      <c r="E836" s="10"/>
      <c r="F836" s="10"/>
      <c r="G836" s="10"/>
      <c r="H836" s="10"/>
      <c r="I836" s="10"/>
      <c r="J836" s="10"/>
      <c r="K836" s="10"/>
    </row>
    <row r="837">
      <c r="A837" s="10" t="str">
        <f>IFNA(VLOOKUP(pts_sub!$A837,sub!$B$2:$E1000,4,FALSE),"")</f>
        <v/>
      </c>
      <c r="B837" s="10"/>
      <c r="C837" s="10"/>
      <c r="D837" s="10" t="str">
        <f>IFNA(VLOOKUP(pts_sub!$D837,FIX!$A$2:$D1000,4, FALSE),"")</f>
        <v/>
      </c>
      <c r="E837" s="10"/>
      <c r="F837" s="10"/>
      <c r="G837" s="10"/>
      <c r="H837" s="10"/>
      <c r="I837" s="10"/>
      <c r="J837" s="10"/>
      <c r="K837" s="10"/>
    </row>
    <row r="838">
      <c r="A838" s="10" t="str">
        <f>IFNA(VLOOKUP(pts_sub!$A838,sub!$B$2:$E1000,4,FALSE),"")</f>
        <v/>
      </c>
      <c r="B838" s="10"/>
      <c r="C838" s="10"/>
      <c r="D838" s="10" t="str">
        <f>IFNA(VLOOKUP(pts_sub!$D838,FIX!$A$2:$D1000,4, FALSE),"")</f>
        <v/>
      </c>
      <c r="E838" s="10"/>
      <c r="F838" s="10"/>
      <c r="G838" s="10"/>
      <c r="H838" s="10"/>
      <c r="I838" s="10"/>
      <c r="J838" s="10"/>
      <c r="K838" s="10"/>
    </row>
    <row r="839">
      <c r="A839" s="10" t="str">
        <f>IFNA(VLOOKUP(pts_sub!$A839,sub!$B$2:$E1000,4,FALSE),"")</f>
        <v/>
      </c>
      <c r="B839" s="10"/>
      <c r="C839" s="10"/>
      <c r="D839" s="10" t="str">
        <f>IFNA(VLOOKUP(pts_sub!$D839,FIX!$A$2:$D1000,4, FALSE),"")</f>
        <v/>
      </c>
      <c r="E839" s="10"/>
      <c r="F839" s="10"/>
      <c r="G839" s="10"/>
      <c r="H839" s="10"/>
      <c r="I839" s="10"/>
      <c r="J839" s="10"/>
      <c r="K839" s="10"/>
    </row>
    <row r="840">
      <c r="A840" s="10" t="str">
        <f>IFNA(VLOOKUP(pts_sub!$A840,sub!$B$2:$E1000,4,FALSE),"")</f>
        <v/>
      </c>
      <c r="B840" s="10"/>
      <c r="C840" s="10"/>
      <c r="D840" s="10" t="str">
        <f>IFNA(VLOOKUP(pts_sub!$D840,FIX!$A$2:$D1000,4, FALSE),"")</f>
        <v/>
      </c>
      <c r="E840" s="10"/>
      <c r="F840" s="10"/>
      <c r="G840" s="10"/>
      <c r="H840" s="10"/>
      <c r="I840" s="10"/>
      <c r="J840" s="10"/>
      <c r="K840" s="10"/>
    </row>
    <row r="841">
      <c r="A841" s="10" t="str">
        <f>IFNA(VLOOKUP(pts_sub!$A841,sub!$B$2:$E1000,4,FALSE),"")</f>
        <v/>
      </c>
      <c r="B841" s="10"/>
      <c r="C841" s="10"/>
      <c r="D841" s="10" t="str">
        <f>IFNA(VLOOKUP(pts_sub!$D841,FIX!$A$2:$D1000,4, FALSE),"")</f>
        <v/>
      </c>
      <c r="E841" s="10"/>
      <c r="F841" s="10"/>
      <c r="G841" s="10"/>
      <c r="H841" s="10"/>
      <c r="I841" s="10"/>
      <c r="J841" s="10"/>
      <c r="K841" s="10"/>
    </row>
    <row r="842">
      <c r="A842" s="10" t="str">
        <f>IFNA(VLOOKUP(pts_sub!$A842,sub!$B$2:$E1000,4,FALSE),"")</f>
        <v/>
      </c>
      <c r="B842" s="10"/>
      <c r="C842" s="10"/>
      <c r="D842" s="10" t="str">
        <f>IFNA(VLOOKUP(pts_sub!$D842,FIX!$A$2:$D1000,4, FALSE),"")</f>
        <v/>
      </c>
      <c r="E842" s="10"/>
      <c r="F842" s="10"/>
      <c r="G842" s="10"/>
      <c r="H842" s="10"/>
      <c r="I842" s="10"/>
      <c r="J842" s="10"/>
      <c r="K842" s="10"/>
    </row>
    <row r="843">
      <c r="A843" s="10" t="str">
        <f>IFNA(VLOOKUP(pts_sub!$A843,sub!$B$2:$E1000,4,FALSE),"")</f>
        <v/>
      </c>
      <c r="B843" s="10"/>
      <c r="C843" s="10"/>
      <c r="D843" s="10" t="str">
        <f>IFNA(VLOOKUP(pts_sub!$D843,FIX!$A$2:$D1000,4, FALSE),"")</f>
        <v/>
      </c>
      <c r="E843" s="10"/>
      <c r="F843" s="10"/>
      <c r="G843" s="10"/>
      <c r="H843" s="10"/>
      <c r="I843" s="10"/>
      <c r="J843" s="10"/>
      <c r="K843" s="10"/>
    </row>
    <row r="844">
      <c r="A844" s="10" t="str">
        <f>IFNA(VLOOKUP(pts_sub!$A844,sub!$B$2:$E1000,4,FALSE),"")</f>
        <v/>
      </c>
      <c r="B844" s="10"/>
      <c r="C844" s="10"/>
      <c r="D844" s="10" t="str">
        <f>IFNA(VLOOKUP(pts_sub!$D844,FIX!$A$2:$D1000,4, FALSE),"")</f>
        <v/>
      </c>
      <c r="E844" s="10"/>
      <c r="F844" s="10"/>
      <c r="G844" s="10"/>
      <c r="H844" s="10"/>
      <c r="I844" s="10"/>
      <c r="J844" s="10"/>
      <c r="K844" s="10"/>
    </row>
    <row r="845">
      <c r="A845" s="10" t="str">
        <f>IFNA(VLOOKUP(pts_sub!$A845,sub!$B$2:$E1000,4,FALSE),"")</f>
        <v/>
      </c>
      <c r="B845" s="10"/>
      <c r="C845" s="10"/>
      <c r="D845" s="10" t="str">
        <f>IFNA(VLOOKUP(pts_sub!$D845,FIX!$A$2:$D1000,4, FALSE),"")</f>
        <v/>
      </c>
      <c r="E845" s="10"/>
      <c r="F845" s="10"/>
      <c r="G845" s="10"/>
      <c r="H845" s="10"/>
      <c r="I845" s="10"/>
      <c r="J845" s="10"/>
      <c r="K845" s="10"/>
    </row>
    <row r="846">
      <c r="A846" s="10" t="str">
        <f>IFNA(VLOOKUP(pts_sub!$A846,sub!$B$2:$E1000,4,FALSE),"")</f>
        <v/>
      </c>
      <c r="B846" s="10"/>
      <c r="C846" s="10"/>
      <c r="D846" s="10" t="str">
        <f>IFNA(VLOOKUP(pts_sub!$D846,FIX!$A$2:$D1000,4, FALSE),"")</f>
        <v/>
      </c>
      <c r="E846" s="10"/>
      <c r="F846" s="10"/>
      <c r="G846" s="10"/>
      <c r="H846" s="10"/>
      <c r="I846" s="10"/>
      <c r="J846" s="10"/>
      <c r="K846" s="10"/>
    </row>
    <row r="847">
      <c r="A847" s="10" t="str">
        <f>IFNA(VLOOKUP(pts_sub!$A847,sub!$B$2:$E1000,4,FALSE),"")</f>
        <v/>
      </c>
      <c r="B847" s="10"/>
      <c r="C847" s="10"/>
      <c r="D847" s="10" t="str">
        <f>IFNA(VLOOKUP(pts_sub!$D847,FIX!$A$2:$D1000,4, FALSE),"")</f>
        <v/>
      </c>
      <c r="E847" s="10"/>
      <c r="F847" s="10"/>
      <c r="G847" s="10"/>
      <c r="H847" s="10"/>
      <c r="I847" s="10"/>
      <c r="J847" s="10"/>
      <c r="K847" s="10"/>
    </row>
    <row r="848">
      <c r="A848" s="10" t="str">
        <f>IFNA(VLOOKUP(pts_sub!$A848,sub!$B$2:$E1000,4,FALSE),"")</f>
        <v/>
      </c>
      <c r="B848" s="10"/>
      <c r="C848" s="10"/>
      <c r="D848" s="10" t="str">
        <f>IFNA(VLOOKUP(pts_sub!$D848,FIX!$A$2:$D1000,4, FALSE),"")</f>
        <v/>
      </c>
      <c r="E848" s="10"/>
      <c r="F848" s="10"/>
      <c r="G848" s="10"/>
      <c r="H848" s="10"/>
      <c r="I848" s="10"/>
      <c r="J848" s="10"/>
      <c r="K848" s="10"/>
    </row>
    <row r="849">
      <c r="A849" s="10" t="str">
        <f>IFNA(VLOOKUP(pts_sub!$A849,sub!$B$2:$E1000,4,FALSE),"")</f>
        <v/>
      </c>
      <c r="B849" s="10"/>
      <c r="C849" s="10"/>
      <c r="D849" s="10" t="str">
        <f>IFNA(VLOOKUP(pts_sub!$D849,FIX!$A$2:$D1000,4, FALSE),"")</f>
        <v/>
      </c>
      <c r="E849" s="10"/>
      <c r="F849" s="10"/>
      <c r="G849" s="10"/>
      <c r="H849" s="10"/>
      <c r="I849" s="10"/>
      <c r="J849" s="10"/>
      <c r="K849" s="10"/>
    </row>
    <row r="850">
      <c r="A850" s="10" t="str">
        <f>IFNA(VLOOKUP(pts_sub!$A850,sub!$B$2:$E1000,4,FALSE),"")</f>
        <v/>
      </c>
      <c r="B850" s="10"/>
      <c r="C850" s="10"/>
      <c r="D850" s="10" t="str">
        <f>IFNA(VLOOKUP(pts_sub!$D850,FIX!$A$2:$D1000,4, FALSE),"")</f>
        <v/>
      </c>
      <c r="E850" s="10"/>
      <c r="F850" s="10"/>
      <c r="G850" s="10"/>
      <c r="H850" s="10"/>
      <c r="I850" s="10"/>
      <c r="J850" s="10"/>
      <c r="K850" s="10"/>
    </row>
    <row r="851">
      <c r="A851" s="10" t="str">
        <f>IFNA(VLOOKUP(pts_sub!$A851,sub!$B$2:$E1000,4,FALSE),"")</f>
        <v/>
      </c>
      <c r="B851" s="10"/>
      <c r="C851" s="10"/>
      <c r="D851" s="10" t="str">
        <f>IFNA(VLOOKUP(pts_sub!$D851,FIX!$A$2:$D1000,4, FALSE),"")</f>
        <v/>
      </c>
      <c r="E851" s="10"/>
      <c r="F851" s="10"/>
      <c r="G851" s="10"/>
      <c r="H851" s="10"/>
      <c r="I851" s="10"/>
      <c r="J851" s="10"/>
      <c r="K851" s="10"/>
    </row>
    <row r="852">
      <c r="A852" s="10" t="str">
        <f>IFNA(VLOOKUP(pts_sub!$A852,sub!$B$2:$E1000,4,FALSE),"")</f>
        <v/>
      </c>
      <c r="B852" s="10"/>
      <c r="C852" s="10"/>
      <c r="D852" s="10" t="str">
        <f>IFNA(VLOOKUP(pts_sub!$D852,FIX!$A$2:$D1000,4, FALSE),"")</f>
        <v/>
      </c>
      <c r="E852" s="10"/>
      <c r="F852" s="10"/>
      <c r="G852" s="10"/>
      <c r="H852" s="10"/>
      <c r="I852" s="10"/>
      <c r="J852" s="10"/>
      <c r="K852" s="10"/>
    </row>
    <row r="853">
      <c r="A853" s="10" t="str">
        <f>IFNA(VLOOKUP(pts_sub!$A853,sub!$B$2:$E1000,4,FALSE),"")</f>
        <v/>
      </c>
      <c r="B853" s="10"/>
      <c r="C853" s="10"/>
      <c r="D853" s="10" t="str">
        <f>IFNA(VLOOKUP(pts_sub!$D853,FIX!$A$2:$D1000,4, FALSE),"")</f>
        <v/>
      </c>
      <c r="E853" s="10"/>
      <c r="F853" s="10"/>
      <c r="G853" s="10"/>
      <c r="H853" s="10"/>
      <c r="I853" s="10"/>
      <c r="J853" s="10"/>
      <c r="K853" s="10"/>
    </row>
    <row r="854">
      <c r="A854" s="10" t="str">
        <f>IFNA(VLOOKUP(pts_sub!$A854,sub!$B$2:$E1000,4,FALSE),"")</f>
        <v/>
      </c>
      <c r="B854" s="10"/>
      <c r="C854" s="10"/>
      <c r="D854" s="10" t="str">
        <f>IFNA(VLOOKUP(pts_sub!$D854,FIX!$A$2:$D1000,4, FALSE),"")</f>
        <v/>
      </c>
      <c r="E854" s="10"/>
      <c r="F854" s="10"/>
      <c r="G854" s="10"/>
      <c r="H854" s="10"/>
      <c r="I854" s="10"/>
      <c r="J854" s="10"/>
      <c r="K854" s="10"/>
    </row>
    <row r="855">
      <c r="A855" s="10" t="str">
        <f>IFNA(VLOOKUP(pts_sub!$A855,sub!$B$2:$E1000,4,FALSE),"")</f>
        <v/>
      </c>
      <c r="B855" s="10"/>
      <c r="C855" s="10"/>
      <c r="D855" s="10" t="str">
        <f>IFNA(VLOOKUP(pts_sub!$D855,FIX!$A$2:$D1000,4, FALSE),"")</f>
        <v/>
      </c>
      <c r="E855" s="10"/>
      <c r="F855" s="10"/>
      <c r="G855" s="10"/>
      <c r="H855" s="10"/>
      <c r="I855" s="10"/>
      <c r="J855" s="10"/>
      <c r="K855" s="10"/>
    </row>
    <row r="856">
      <c r="A856" s="10" t="str">
        <f>IFNA(VLOOKUP(pts_sub!$A856,sub!$B$2:$E1000,4,FALSE),"")</f>
        <v/>
      </c>
      <c r="B856" s="10"/>
      <c r="C856" s="10"/>
      <c r="D856" s="10" t="str">
        <f>IFNA(VLOOKUP(pts_sub!$D856,FIX!$A$2:$D1000,4, FALSE),"")</f>
        <v/>
      </c>
      <c r="E856" s="10"/>
      <c r="F856" s="10"/>
      <c r="G856" s="10"/>
      <c r="H856" s="10"/>
      <c r="I856" s="10"/>
      <c r="J856" s="10"/>
      <c r="K856" s="10"/>
    </row>
    <row r="857">
      <c r="A857" s="10" t="str">
        <f>IFNA(VLOOKUP(pts_sub!$A857,sub!$B$2:$E1000,4,FALSE),"")</f>
        <v/>
      </c>
      <c r="B857" s="10"/>
      <c r="C857" s="10"/>
      <c r="D857" s="10" t="str">
        <f>IFNA(VLOOKUP(pts_sub!$D857,FIX!$A$2:$D1000,4, FALSE),"")</f>
        <v/>
      </c>
      <c r="E857" s="10"/>
      <c r="F857" s="10"/>
      <c r="G857" s="10"/>
      <c r="H857" s="10"/>
      <c r="I857" s="10"/>
      <c r="J857" s="10"/>
      <c r="K857" s="10"/>
    </row>
    <row r="858">
      <c r="A858" s="10" t="str">
        <f>IFNA(VLOOKUP(pts_sub!$A858,sub!$B$2:$E1000,4,FALSE),"")</f>
        <v/>
      </c>
      <c r="B858" s="10"/>
      <c r="C858" s="10"/>
      <c r="D858" s="10" t="str">
        <f>IFNA(VLOOKUP(pts_sub!$D858,FIX!$A$2:$D1000,4, FALSE),"")</f>
        <v/>
      </c>
      <c r="E858" s="10"/>
      <c r="F858" s="10"/>
      <c r="G858" s="10"/>
      <c r="H858" s="10"/>
      <c r="I858" s="10"/>
      <c r="J858" s="10"/>
      <c r="K858" s="10"/>
    </row>
    <row r="859">
      <c r="A859" s="10" t="str">
        <f>IFNA(VLOOKUP(pts_sub!$A859,sub!$B$2:$E1000,4,FALSE),"")</f>
        <v/>
      </c>
      <c r="B859" s="10"/>
      <c r="C859" s="10"/>
      <c r="D859" s="10" t="str">
        <f>IFNA(VLOOKUP(pts_sub!$D859,FIX!$A$2:$D1000,4, FALSE),"")</f>
        <v/>
      </c>
      <c r="E859" s="10"/>
      <c r="F859" s="10"/>
      <c r="G859" s="10"/>
      <c r="H859" s="10"/>
      <c r="I859" s="10"/>
      <c r="J859" s="10"/>
      <c r="K859" s="10"/>
    </row>
    <row r="860">
      <c r="A860" s="10" t="str">
        <f>IFNA(VLOOKUP(pts_sub!$A860,sub!$B$2:$E1000,4,FALSE),"")</f>
        <v/>
      </c>
      <c r="B860" s="10"/>
      <c r="C860" s="10"/>
      <c r="D860" s="10" t="str">
        <f>IFNA(VLOOKUP(pts_sub!$D860,FIX!$A$2:$D1000,4, FALSE),"")</f>
        <v/>
      </c>
      <c r="E860" s="10"/>
      <c r="F860" s="10"/>
      <c r="G860" s="10"/>
      <c r="H860" s="10"/>
      <c r="I860" s="10"/>
      <c r="J860" s="10"/>
      <c r="K860" s="10"/>
    </row>
    <row r="861">
      <c r="A861" s="10" t="str">
        <f>IFNA(VLOOKUP(pts_sub!$A861,sub!$B$2:$E1000,4,FALSE),"")</f>
        <v/>
      </c>
      <c r="B861" s="10"/>
      <c r="C861" s="10"/>
      <c r="D861" s="10" t="str">
        <f>IFNA(VLOOKUP(pts_sub!$D861,FIX!$A$2:$D1000,4, FALSE),"")</f>
        <v/>
      </c>
      <c r="E861" s="10"/>
      <c r="F861" s="10"/>
      <c r="G861" s="10"/>
      <c r="H861" s="10"/>
      <c r="I861" s="10"/>
      <c r="J861" s="10"/>
      <c r="K861" s="10"/>
    </row>
    <row r="862">
      <c r="A862" s="10" t="str">
        <f>IFNA(VLOOKUP(pts_sub!$A862,sub!$B$2:$E1000,4,FALSE),"")</f>
        <v/>
      </c>
      <c r="B862" s="10"/>
      <c r="C862" s="10"/>
      <c r="D862" s="10" t="str">
        <f>IFNA(VLOOKUP(pts_sub!$D862,FIX!$A$2:$D1000,4, FALSE),"")</f>
        <v/>
      </c>
      <c r="E862" s="10"/>
      <c r="F862" s="10"/>
      <c r="G862" s="10"/>
      <c r="H862" s="10"/>
      <c r="I862" s="10"/>
      <c r="J862" s="10"/>
      <c r="K862" s="10"/>
    </row>
    <row r="863">
      <c r="A863" s="10" t="str">
        <f>IFNA(VLOOKUP(pts_sub!$A863,sub!$B$2:$E1000,4,FALSE),"")</f>
        <v/>
      </c>
      <c r="B863" s="10"/>
      <c r="C863" s="10"/>
      <c r="D863" s="10" t="str">
        <f>IFNA(VLOOKUP(pts_sub!$D863,FIX!$A$2:$D1000,4, FALSE),"")</f>
        <v/>
      </c>
      <c r="E863" s="10"/>
      <c r="F863" s="10"/>
      <c r="G863" s="10"/>
      <c r="H863" s="10"/>
      <c r="I863" s="10"/>
      <c r="J863" s="10"/>
      <c r="K863" s="10"/>
    </row>
    <row r="864">
      <c r="A864" s="10" t="str">
        <f>IFNA(VLOOKUP(pts_sub!$A864,sub!$B$2:$E1000,4,FALSE),"")</f>
        <v/>
      </c>
      <c r="B864" s="10"/>
      <c r="C864" s="10"/>
      <c r="D864" s="10" t="str">
        <f>IFNA(VLOOKUP(pts_sub!$D864,FIX!$A$2:$D1000,4, FALSE),"")</f>
        <v/>
      </c>
      <c r="E864" s="10"/>
      <c r="F864" s="10"/>
      <c r="G864" s="10"/>
      <c r="H864" s="10"/>
      <c r="I864" s="10"/>
      <c r="J864" s="10"/>
      <c r="K864" s="10"/>
    </row>
    <row r="865">
      <c r="A865" s="10" t="str">
        <f>IFNA(VLOOKUP(pts_sub!$A865,sub!$B$2:$E1000,4,FALSE),"")</f>
        <v/>
      </c>
      <c r="B865" s="10"/>
      <c r="C865" s="10"/>
      <c r="D865" s="10" t="str">
        <f>IFNA(VLOOKUP(pts_sub!$D865,FIX!$A$2:$D1000,4, FALSE),"")</f>
        <v/>
      </c>
      <c r="E865" s="10"/>
      <c r="F865" s="10"/>
      <c r="G865" s="10"/>
      <c r="H865" s="10"/>
      <c r="I865" s="10"/>
      <c r="J865" s="10"/>
      <c r="K865" s="10"/>
    </row>
    <row r="866">
      <c r="A866" s="10" t="str">
        <f>IFNA(VLOOKUP(pts_sub!$A866,sub!$B$2:$E1000,4,FALSE),"")</f>
        <v/>
      </c>
      <c r="B866" s="10"/>
      <c r="C866" s="10"/>
      <c r="D866" s="10" t="str">
        <f>IFNA(VLOOKUP(pts_sub!$D866,FIX!$A$2:$D1000,4, FALSE),"")</f>
        <v/>
      </c>
      <c r="E866" s="10"/>
      <c r="F866" s="10"/>
      <c r="G866" s="10"/>
      <c r="H866" s="10"/>
      <c r="I866" s="10"/>
      <c r="J866" s="10"/>
      <c r="K866" s="10"/>
    </row>
    <row r="867">
      <c r="A867" s="10" t="str">
        <f>IFNA(VLOOKUP(pts_sub!$A867,sub!$B$2:$E1000,4,FALSE),"")</f>
        <v/>
      </c>
      <c r="B867" s="10"/>
      <c r="C867" s="10"/>
      <c r="D867" s="10" t="str">
        <f>IFNA(VLOOKUP(pts_sub!$D867,FIX!$A$2:$D1000,4, FALSE),"")</f>
        <v/>
      </c>
      <c r="E867" s="10"/>
      <c r="F867" s="10"/>
      <c r="G867" s="10"/>
      <c r="H867" s="10"/>
      <c r="I867" s="10"/>
      <c r="J867" s="10"/>
      <c r="K867" s="10"/>
    </row>
    <row r="868">
      <c r="A868" s="10" t="str">
        <f>IFNA(VLOOKUP(pts_sub!$A868,sub!$B$2:$E1000,4,FALSE),"")</f>
        <v/>
      </c>
      <c r="B868" s="10"/>
      <c r="C868" s="10"/>
      <c r="D868" s="10" t="str">
        <f>IFNA(VLOOKUP(pts_sub!$D868,FIX!$A$2:$D1000,4, FALSE),"")</f>
        <v/>
      </c>
      <c r="E868" s="10"/>
      <c r="F868" s="10"/>
      <c r="G868" s="10"/>
      <c r="H868" s="10"/>
      <c r="I868" s="10"/>
      <c r="J868" s="10"/>
      <c r="K868" s="10"/>
    </row>
    <row r="869">
      <c r="A869" s="10" t="str">
        <f>IFNA(VLOOKUP(pts_sub!$A869,sub!$B$2:$E1000,4,FALSE),"")</f>
        <v/>
      </c>
      <c r="B869" s="10"/>
      <c r="C869" s="10"/>
      <c r="D869" s="10" t="str">
        <f>IFNA(VLOOKUP(pts_sub!$D869,FIX!$A$2:$D1000,4, FALSE),"")</f>
        <v/>
      </c>
      <c r="E869" s="10"/>
      <c r="F869" s="10"/>
      <c r="G869" s="10"/>
      <c r="H869" s="10"/>
      <c r="I869" s="10"/>
      <c r="J869" s="10"/>
      <c r="K869" s="10"/>
    </row>
    <row r="870">
      <c r="A870" s="10" t="str">
        <f>IFNA(VLOOKUP(pts_sub!$A870,sub!$B$2:$E1000,4,FALSE),"")</f>
        <v/>
      </c>
      <c r="B870" s="10"/>
      <c r="C870" s="10"/>
      <c r="D870" s="10" t="str">
        <f>IFNA(VLOOKUP(pts_sub!$D870,FIX!$A$2:$D1000,4, FALSE),"")</f>
        <v/>
      </c>
      <c r="E870" s="10"/>
      <c r="F870" s="10"/>
      <c r="G870" s="10"/>
      <c r="H870" s="10"/>
      <c r="I870" s="10"/>
      <c r="J870" s="10"/>
      <c r="K870" s="10"/>
    </row>
    <row r="871">
      <c r="A871" s="10" t="str">
        <f>IFNA(VLOOKUP(pts_sub!$A871,sub!$B$2:$E1000,4,FALSE),"")</f>
        <v/>
      </c>
      <c r="B871" s="10"/>
      <c r="C871" s="10"/>
      <c r="D871" s="10" t="str">
        <f>IFNA(VLOOKUP(pts_sub!$D871,FIX!$A$2:$D1000,4, FALSE),"")</f>
        <v/>
      </c>
      <c r="E871" s="10"/>
      <c r="F871" s="10"/>
      <c r="G871" s="10"/>
      <c r="H871" s="10"/>
      <c r="I871" s="10"/>
      <c r="J871" s="10"/>
      <c r="K871" s="10"/>
    </row>
    <row r="872">
      <c r="A872" s="10" t="str">
        <f>IFNA(VLOOKUP(pts_sub!$A872,sub!$B$2:$E1000,4,FALSE),"")</f>
        <v/>
      </c>
      <c r="B872" s="10"/>
      <c r="C872" s="10"/>
      <c r="D872" s="10" t="str">
        <f>IFNA(VLOOKUP(pts_sub!$D872,FIX!$A$2:$D1000,4, FALSE),"")</f>
        <v/>
      </c>
      <c r="E872" s="10"/>
      <c r="F872" s="10"/>
      <c r="G872" s="10"/>
      <c r="H872" s="10"/>
      <c r="I872" s="10"/>
      <c r="J872" s="10"/>
      <c r="K872" s="10"/>
    </row>
    <row r="873">
      <c r="A873" s="10" t="str">
        <f>IFNA(VLOOKUP(pts_sub!$A873,sub!$B$2:$E1000,4,FALSE),"")</f>
        <v/>
      </c>
      <c r="B873" s="10"/>
      <c r="C873" s="10"/>
      <c r="D873" s="10" t="str">
        <f>IFNA(VLOOKUP(pts_sub!$D873,FIX!$A$2:$D1000,4, FALSE),"")</f>
        <v/>
      </c>
      <c r="E873" s="10"/>
      <c r="F873" s="10"/>
      <c r="G873" s="10"/>
      <c r="H873" s="10"/>
      <c r="I873" s="10"/>
      <c r="J873" s="10"/>
      <c r="K873" s="10"/>
    </row>
    <row r="874">
      <c r="A874" s="10" t="str">
        <f>IFNA(VLOOKUP(pts_sub!$A874,sub!$B$2:$E1000,4,FALSE),"")</f>
        <v/>
      </c>
      <c r="B874" s="10"/>
      <c r="C874" s="10"/>
      <c r="D874" s="10" t="str">
        <f>IFNA(VLOOKUP(pts_sub!$D874,FIX!$A$2:$D1000,4, FALSE),"")</f>
        <v/>
      </c>
      <c r="E874" s="10"/>
      <c r="F874" s="10"/>
      <c r="G874" s="10"/>
      <c r="H874" s="10"/>
      <c r="I874" s="10"/>
      <c r="J874" s="10"/>
      <c r="K874" s="10"/>
    </row>
    <row r="875">
      <c r="A875" s="10" t="str">
        <f>IFNA(VLOOKUP(pts_sub!$A875,sub!$B$2:$E1000,4,FALSE),"")</f>
        <v/>
      </c>
      <c r="B875" s="10"/>
      <c r="C875" s="10"/>
      <c r="D875" s="10" t="str">
        <f>IFNA(VLOOKUP(pts_sub!$D875,FIX!$A$2:$D1000,4, FALSE),"")</f>
        <v/>
      </c>
      <c r="E875" s="10"/>
      <c r="F875" s="10"/>
      <c r="G875" s="10"/>
      <c r="H875" s="10"/>
      <c r="I875" s="10"/>
      <c r="J875" s="10"/>
      <c r="K875" s="10"/>
    </row>
    <row r="876">
      <c r="A876" s="10" t="str">
        <f>IFNA(VLOOKUP(pts_sub!$A876,sub!$B$2:$E1000,4,FALSE),"")</f>
        <v/>
      </c>
      <c r="B876" s="10"/>
      <c r="C876" s="10"/>
      <c r="D876" s="10" t="str">
        <f>IFNA(VLOOKUP(pts_sub!$D876,FIX!$A$2:$D1000,4, FALSE),"")</f>
        <v/>
      </c>
      <c r="E876" s="10"/>
      <c r="F876" s="10"/>
      <c r="G876" s="10"/>
      <c r="H876" s="10"/>
      <c r="I876" s="10"/>
      <c r="J876" s="10"/>
      <c r="K876" s="10"/>
    </row>
    <row r="877">
      <c r="A877" s="10" t="str">
        <f>IFNA(VLOOKUP(pts_sub!$A877,sub!$B$2:$E1000,4,FALSE),"")</f>
        <v/>
      </c>
      <c r="B877" s="10"/>
      <c r="C877" s="10"/>
      <c r="D877" s="10" t="str">
        <f>IFNA(VLOOKUP(pts_sub!$D877,FIX!$A$2:$D1000,4, FALSE),"")</f>
        <v/>
      </c>
      <c r="E877" s="10"/>
      <c r="F877" s="10"/>
      <c r="G877" s="10"/>
      <c r="H877" s="10"/>
      <c r="I877" s="10"/>
      <c r="J877" s="10"/>
      <c r="K877" s="10"/>
    </row>
    <row r="878">
      <c r="A878" s="10" t="str">
        <f>IFNA(VLOOKUP(pts_sub!$A878,sub!$B$2:$E1000,4,FALSE),"")</f>
        <v/>
      </c>
      <c r="B878" s="10"/>
      <c r="C878" s="10"/>
      <c r="D878" s="10" t="str">
        <f>IFNA(VLOOKUP(pts_sub!$D878,FIX!$A$2:$D1000,4, FALSE),"")</f>
        <v/>
      </c>
      <c r="E878" s="10"/>
      <c r="F878" s="10"/>
      <c r="G878" s="10"/>
      <c r="H878" s="10"/>
      <c r="I878" s="10"/>
      <c r="J878" s="10"/>
      <c r="K878" s="10"/>
    </row>
    <row r="879">
      <c r="A879" s="10" t="str">
        <f>IFNA(VLOOKUP(pts_sub!$A879,sub!$B$2:$E1000,4,FALSE),"")</f>
        <v/>
      </c>
      <c r="B879" s="10"/>
      <c r="C879" s="10"/>
      <c r="D879" s="10" t="str">
        <f>IFNA(VLOOKUP(pts_sub!$D879,FIX!$A$2:$D1000,4, FALSE),"")</f>
        <v/>
      </c>
      <c r="E879" s="10"/>
      <c r="F879" s="10"/>
      <c r="G879" s="10"/>
      <c r="H879" s="10"/>
      <c r="I879" s="10"/>
      <c r="J879" s="10"/>
      <c r="K879" s="10"/>
    </row>
    <row r="880">
      <c r="A880" s="10" t="str">
        <f>IFNA(VLOOKUP(pts_sub!$A880,sub!$B$2:$E1000,4,FALSE),"")</f>
        <v/>
      </c>
      <c r="B880" s="10"/>
      <c r="C880" s="10"/>
      <c r="D880" s="10" t="str">
        <f>IFNA(VLOOKUP(pts_sub!$D880,FIX!$A$2:$D1000,4, FALSE),"")</f>
        <v/>
      </c>
      <c r="E880" s="10"/>
      <c r="F880" s="10"/>
      <c r="G880" s="10"/>
      <c r="H880" s="10"/>
      <c r="I880" s="10"/>
      <c r="J880" s="10"/>
      <c r="K880" s="10"/>
    </row>
    <row r="881">
      <c r="A881" s="10" t="str">
        <f>IFNA(VLOOKUP(pts_sub!$A881,sub!$B$2:$E1000,4,FALSE),"")</f>
        <v/>
      </c>
      <c r="B881" s="10"/>
      <c r="C881" s="10"/>
      <c r="D881" s="10" t="str">
        <f>IFNA(VLOOKUP(pts_sub!$D881,FIX!$A$2:$D1000,4, FALSE),"")</f>
        <v/>
      </c>
      <c r="E881" s="10"/>
      <c r="F881" s="10"/>
      <c r="G881" s="10"/>
      <c r="H881" s="10"/>
      <c r="I881" s="10"/>
      <c r="J881" s="10"/>
      <c r="K881" s="10"/>
    </row>
    <row r="882">
      <c r="A882" s="10" t="str">
        <f>IFNA(VLOOKUP(pts_sub!$A882,sub!$B$2:$E1000,4,FALSE),"")</f>
        <v/>
      </c>
      <c r="B882" s="10"/>
      <c r="C882" s="10"/>
      <c r="D882" s="10" t="str">
        <f>IFNA(VLOOKUP(pts_sub!$D882,FIX!$A$2:$D1000,4, FALSE),"")</f>
        <v/>
      </c>
      <c r="E882" s="10"/>
      <c r="F882" s="10"/>
      <c r="G882" s="10"/>
      <c r="H882" s="10"/>
      <c r="I882" s="10"/>
      <c r="J882" s="10"/>
      <c r="K882" s="10"/>
    </row>
    <row r="883">
      <c r="A883" s="10" t="str">
        <f>IFNA(VLOOKUP(pts_sub!$A883,sub!$B$2:$E1000,4,FALSE),"")</f>
        <v/>
      </c>
      <c r="B883" s="10"/>
      <c r="C883" s="10"/>
      <c r="D883" s="10" t="str">
        <f>IFNA(VLOOKUP(pts_sub!$D883,FIX!$A$2:$D1000,4, FALSE),"")</f>
        <v/>
      </c>
      <c r="E883" s="10"/>
      <c r="F883" s="10"/>
      <c r="G883" s="10"/>
      <c r="H883" s="10"/>
      <c r="I883" s="10"/>
      <c r="J883" s="10"/>
      <c r="K883" s="10"/>
    </row>
    <row r="884">
      <c r="A884" s="10" t="str">
        <f>IFNA(VLOOKUP(pts_sub!$A884,sub!$B$2:$E1000,4,FALSE),"")</f>
        <v/>
      </c>
      <c r="B884" s="10"/>
      <c r="C884" s="10"/>
      <c r="D884" s="10" t="str">
        <f>IFNA(VLOOKUP(pts_sub!$D884,FIX!$A$2:$D1000,4, FALSE),"")</f>
        <v/>
      </c>
      <c r="E884" s="10"/>
      <c r="F884" s="10"/>
      <c r="G884" s="10"/>
      <c r="H884" s="10"/>
      <c r="I884" s="10"/>
      <c r="J884" s="10"/>
      <c r="K884" s="10"/>
    </row>
    <row r="885">
      <c r="A885" s="10" t="str">
        <f>IFNA(VLOOKUP(pts_sub!$A885,sub!$B$2:$E1000,4,FALSE),"")</f>
        <v/>
      </c>
      <c r="B885" s="10"/>
      <c r="C885" s="10"/>
      <c r="D885" s="10" t="str">
        <f>IFNA(VLOOKUP(pts_sub!$D885,FIX!$A$2:$D1000,4, FALSE),"")</f>
        <v/>
      </c>
      <c r="E885" s="10"/>
      <c r="F885" s="10"/>
      <c r="G885" s="10"/>
      <c r="H885" s="10"/>
      <c r="I885" s="10"/>
      <c r="J885" s="10"/>
      <c r="K885" s="10"/>
    </row>
    <row r="886">
      <c r="A886" s="10" t="str">
        <f>IFNA(VLOOKUP(pts_sub!$A886,sub!$B$2:$E1000,4,FALSE),"")</f>
        <v/>
      </c>
      <c r="B886" s="10"/>
      <c r="C886" s="10"/>
      <c r="D886" s="10" t="str">
        <f>IFNA(VLOOKUP(pts_sub!$D886,FIX!$A$2:$D1000,4, FALSE),"")</f>
        <v/>
      </c>
      <c r="E886" s="10"/>
      <c r="F886" s="10"/>
      <c r="G886" s="10"/>
      <c r="H886" s="10"/>
      <c r="I886" s="10"/>
      <c r="J886" s="10"/>
      <c r="K886" s="10"/>
    </row>
    <row r="887">
      <c r="A887" s="10" t="str">
        <f>IFNA(VLOOKUP(pts_sub!$A887,sub!$B$2:$E1000,4,FALSE),"")</f>
        <v/>
      </c>
      <c r="B887" s="10"/>
      <c r="C887" s="10"/>
      <c r="D887" s="10" t="str">
        <f>IFNA(VLOOKUP(pts_sub!$D887,FIX!$A$2:$D1000,4, FALSE),"")</f>
        <v/>
      </c>
      <c r="E887" s="10"/>
      <c r="F887" s="10"/>
      <c r="G887" s="10"/>
      <c r="H887" s="10"/>
      <c r="I887" s="10"/>
      <c r="J887" s="10"/>
      <c r="K887" s="10"/>
    </row>
    <row r="888">
      <c r="A888" s="10" t="str">
        <f>IFNA(VLOOKUP(pts_sub!$A888,sub!$B$2:$E1000,4,FALSE),"")</f>
        <v/>
      </c>
      <c r="B888" s="10"/>
      <c r="C888" s="10"/>
      <c r="D888" s="10" t="str">
        <f>IFNA(VLOOKUP(pts_sub!$D888,FIX!$A$2:$D1000,4, FALSE),"")</f>
        <v/>
      </c>
      <c r="E888" s="10"/>
      <c r="F888" s="10"/>
      <c r="G888" s="10"/>
      <c r="H888" s="10"/>
      <c r="I888" s="10"/>
      <c r="J888" s="10"/>
      <c r="K888" s="10"/>
    </row>
    <row r="889">
      <c r="A889" s="10" t="str">
        <f>IFNA(VLOOKUP(pts_sub!$A889,sub!$B$2:$E1000,4,FALSE),"")</f>
        <v/>
      </c>
      <c r="B889" s="10"/>
      <c r="C889" s="10"/>
      <c r="D889" s="10" t="str">
        <f>IFNA(VLOOKUP(pts_sub!$D889,FIX!$A$2:$D1000,4, FALSE),"")</f>
        <v/>
      </c>
      <c r="E889" s="10"/>
      <c r="F889" s="10"/>
      <c r="G889" s="10"/>
      <c r="H889" s="10"/>
      <c r="I889" s="10"/>
      <c r="J889" s="10"/>
      <c r="K889" s="10"/>
    </row>
    <row r="890">
      <c r="A890" s="10" t="str">
        <f>IFNA(VLOOKUP(pts_sub!$A890,sub!$B$2:$E1000,4,FALSE),"")</f>
        <v/>
      </c>
      <c r="B890" s="10"/>
      <c r="C890" s="10"/>
      <c r="D890" s="10" t="str">
        <f>IFNA(VLOOKUP(pts_sub!$D890,FIX!$A$2:$D1000,4, FALSE),"")</f>
        <v/>
      </c>
      <c r="E890" s="10"/>
      <c r="F890" s="10"/>
      <c r="G890" s="10"/>
      <c r="H890" s="10"/>
      <c r="I890" s="10"/>
      <c r="J890" s="10"/>
      <c r="K890" s="10"/>
    </row>
    <row r="891">
      <c r="A891" s="10" t="str">
        <f>IFNA(VLOOKUP(pts_sub!$A891,sub!$B$2:$E1000,4,FALSE),"")</f>
        <v/>
      </c>
      <c r="B891" s="10"/>
      <c r="C891" s="10"/>
      <c r="D891" s="10" t="str">
        <f>IFNA(VLOOKUP(pts_sub!$D891,FIX!$A$2:$D1000,4, FALSE),"")</f>
        <v/>
      </c>
      <c r="E891" s="10"/>
      <c r="F891" s="10"/>
      <c r="G891" s="10"/>
      <c r="H891" s="10"/>
      <c r="I891" s="10"/>
      <c r="J891" s="10"/>
      <c r="K891" s="10"/>
    </row>
    <row r="892">
      <c r="A892" s="10" t="str">
        <f>IFNA(VLOOKUP(pts_sub!$A892,sub!$B$2:$E1000,4,FALSE),"")</f>
        <v/>
      </c>
      <c r="B892" s="10"/>
      <c r="C892" s="10"/>
      <c r="D892" s="10" t="str">
        <f>IFNA(VLOOKUP(pts_sub!$D892,FIX!$A$2:$D1000,4, FALSE),"")</f>
        <v/>
      </c>
      <c r="E892" s="10"/>
      <c r="F892" s="10"/>
      <c r="G892" s="10"/>
      <c r="H892" s="10"/>
      <c r="I892" s="10"/>
      <c r="J892" s="10"/>
      <c r="K892" s="10"/>
    </row>
    <row r="893">
      <c r="A893" s="10" t="str">
        <f>IFNA(VLOOKUP(pts_sub!$A893,sub!$B$2:$E1000,4,FALSE),"")</f>
        <v/>
      </c>
      <c r="B893" s="10"/>
      <c r="C893" s="10"/>
      <c r="D893" s="10" t="str">
        <f>IFNA(VLOOKUP(pts_sub!$D893,FIX!$A$2:$D1000,4, FALSE),"")</f>
        <v/>
      </c>
      <c r="E893" s="10"/>
      <c r="F893" s="10"/>
      <c r="G893" s="10"/>
      <c r="H893" s="10"/>
      <c r="I893" s="10"/>
      <c r="J893" s="10"/>
      <c r="K893" s="10"/>
    </row>
    <row r="894">
      <c r="A894" s="10" t="str">
        <f>IFNA(VLOOKUP(pts_sub!$A894,sub!$B$2:$E1000,4,FALSE),"")</f>
        <v/>
      </c>
      <c r="B894" s="10"/>
      <c r="C894" s="10"/>
      <c r="D894" s="10" t="str">
        <f>IFNA(VLOOKUP(pts_sub!$D894,FIX!$A$2:$D1000,4, FALSE),"")</f>
        <v/>
      </c>
      <c r="E894" s="10"/>
      <c r="F894" s="10"/>
      <c r="G894" s="10"/>
      <c r="H894" s="10"/>
      <c r="I894" s="10"/>
      <c r="J894" s="10"/>
      <c r="K894" s="10"/>
    </row>
    <row r="895">
      <c r="A895" s="10" t="str">
        <f>IFNA(VLOOKUP(pts_sub!$A895,sub!$B$2:$E1000,4,FALSE),"")</f>
        <v/>
      </c>
      <c r="B895" s="10"/>
      <c r="C895" s="10"/>
      <c r="D895" s="10" t="str">
        <f>IFNA(VLOOKUP(pts_sub!$D895,FIX!$A$2:$D1000,4, FALSE),"")</f>
        <v/>
      </c>
      <c r="E895" s="10"/>
      <c r="F895" s="10"/>
      <c r="G895" s="10"/>
      <c r="H895" s="10"/>
      <c r="I895" s="10"/>
      <c r="J895" s="10"/>
      <c r="K895" s="10"/>
    </row>
    <row r="896">
      <c r="A896" s="10" t="str">
        <f>IFNA(VLOOKUP(pts_sub!$A896,sub!$B$2:$E1000,4,FALSE),"")</f>
        <v/>
      </c>
      <c r="B896" s="10"/>
      <c r="C896" s="10"/>
      <c r="D896" s="10" t="str">
        <f>IFNA(VLOOKUP(pts_sub!$D896,FIX!$A$2:$D1000,4, FALSE),"")</f>
        <v/>
      </c>
      <c r="E896" s="10"/>
      <c r="F896" s="10"/>
      <c r="G896" s="10"/>
      <c r="H896" s="10"/>
      <c r="I896" s="10"/>
      <c r="J896" s="10"/>
      <c r="K896" s="10"/>
    </row>
    <row r="897">
      <c r="A897" s="10" t="str">
        <f>IFNA(VLOOKUP(pts_sub!$A897,sub!$B$2:$E1000,4,FALSE),"")</f>
        <v/>
      </c>
      <c r="B897" s="10"/>
      <c r="C897" s="10"/>
      <c r="D897" s="10" t="str">
        <f>IFNA(VLOOKUP(pts_sub!$D897,FIX!$A$2:$D1000,4, FALSE),"")</f>
        <v/>
      </c>
      <c r="E897" s="10"/>
      <c r="F897" s="10"/>
      <c r="G897" s="10"/>
      <c r="H897" s="10"/>
      <c r="I897" s="10"/>
      <c r="J897" s="10"/>
      <c r="K897" s="10"/>
    </row>
    <row r="898">
      <c r="A898" s="10" t="str">
        <f>IFNA(VLOOKUP(pts_sub!$A898,sub!$B$2:$E1000,4,FALSE),"")</f>
        <v/>
      </c>
      <c r="B898" s="10"/>
      <c r="C898" s="10"/>
      <c r="D898" s="10" t="str">
        <f>IFNA(VLOOKUP(pts_sub!$D898,FIX!$A$2:$D1000,4, FALSE),"")</f>
        <v/>
      </c>
      <c r="E898" s="10"/>
      <c r="F898" s="10"/>
      <c r="G898" s="10"/>
      <c r="H898" s="10"/>
      <c r="I898" s="10"/>
      <c r="J898" s="10"/>
      <c r="K898" s="10"/>
    </row>
    <row r="899">
      <c r="A899" s="10" t="str">
        <f>IFNA(VLOOKUP(pts_sub!$A899,sub!$B$2:$E1000,4,FALSE),"")</f>
        <v/>
      </c>
      <c r="B899" s="10"/>
      <c r="C899" s="10"/>
      <c r="D899" s="10" t="str">
        <f>IFNA(VLOOKUP(pts_sub!$D899,FIX!$A$2:$D1000,4, FALSE),"")</f>
        <v/>
      </c>
      <c r="E899" s="10"/>
      <c r="F899" s="10"/>
      <c r="G899" s="10"/>
      <c r="H899" s="10"/>
      <c r="I899" s="10"/>
      <c r="J899" s="10"/>
      <c r="K899" s="10"/>
    </row>
    <row r="900">
      <c r="A900" s="10" t="str">
        <f>IFNA(VLOOKUP(pts_sub!$A900,sub!$B$2:$E1000,4,FALSE),"")</f>
        <v/>
      </c>
      <c r="B900" s="10"/>
      <c r="C900" s="10"/>
      <c r="D900" s="10" t="str">
        <f>IFNA(VLOOKUP(pts_sub!$D900,FIX!$A$2:$D1000,4, FALSE),"")</f>
        <v/>
      </c>
      <c r="E900" s="10"/>
      <c r="F900" s="10"/>
      <c r="G900" s="10"/>
      <c r="H900" s="10"/>
      <c r="I900" s="10"/>
      <c r="J900" s="10"/>
      <c r="K900" s="10"/>
    </row>
    <row r="901">
      <c r="A901" s="10" t="str">
        <f>IFNA(VLOOKUP(pts_sub!$A901,sub!$B$2:$E1000,4,FALSE),"")</f>
        <v/>
      </c>
      <c r="B901" s="10"/>
      <c r="C901" s="10"/>
      <c r="D901" s="10" t="str">
        <f>IFNA(VLOOKUP(pts_sub!$D901,FIX!$A$2:$D1000,4, FALSE),"")</f>
        <v/>
      </c>
      <c r="E901" s="10"/>
      <c r="F901" s="10"/>
      <c r="G901" s="10"/>
      <c r="H901" s="10"/>
      <c r="I901" s="10"/>
      <c r="J901" s="10"/>
      <c r="K901" s="10"/>
    </row>
    <row r="902">
      <c r="A902" s="10" t="str">
        <f>IFNA(VLOOKUP(pts_sub!$A902,sub!$B$2:$E1000,4,FALSE),"")</f>
        <v/>
      </c>
      <c r="B902" s="10"/>
      <c r="C902" s="10"/>
      <c r="D902" s="10" t="str">
        <f>IFNA(VLOOKUP(pts_sub!$D902,FIX!$A$2:$D1000,4, FALSE),"")</f>
        <v/>
      </c>
      <c r="E902" s="10"/>
      <c r="F902" s="10"/>
      <c r="G902" s="10"/>
      <c r="H902" s="10"/>
      <c r="I902" s="10"/>
      <c r="J902" s="10"/>
      <c r="K902" s="10"/>
    </row>
    <row r="903">
      <c r="A903" s="10" t="str">
        <f>IFNA(VLOOKUP(pts_sub!$A903,sub!$B$2:$E1000,4,FALSE),"")</f>
        <v/>
      </c>
      <c r="B903" s="10"/>
      <c r="C903" s="10"/>
      <c r="D903" s="10" t="str">
        <f>IFNA(VLOOKUP(pts_sub!$D903,FIX!$A$2:$D1000,4, FALSE),"")</f>
        <v/>
      </c>
      <c r="E903" s="10"/>
      <c r="F903" s="10"/>
      <c r="G903" s="10"/>
      <c r="H903" s="10"/>
      <c r="I903" s="10"/>
      <c r="J903" s="10"/>
      <c r="K903" s="10"/>
    </row>
    <row r="904">
      <c r="A904" s="10" t="str">
        <f>IFNA(VLOOKUP(pts_sub!$A904,sub!$B$2:$E1000,4,FALSE),"")</f>
        <v/>
      </c>
      <c r="B904" s="10"/>
      <c r="C904" s="10"/>
      <c r="D904" s="10" t="str">
        <f>IFNA(VLOOKUP(pts_sub!$D904,FIX!$A$2:$D1000,4, FALSE),"")</f>
        <v/>
      </c>
      <c r="E904" s="10"/>
      <c r="F904" s="10"/>
      <c r="G904" s="10"/>
      <c r="H904" s="10"/>
      <c r="I904" s="10"/>
      <c r="J904" s="10"/>
      <c r="K904" s="10"/>
    </row>
    <row r="905">
      <c r="A905" s="10" t="str">
        <f>IFNA(VLOOKUP(pts_sub!$A905,sub!$B$2:$E1000,4,FALSE),"")</f>
        <v/>
      </c>
      <c r="B905" s="10"/>
      <c r="C905" s="10"/>
      <c r="D905" s="10" t="str">
        <f>IFNA(VLOOKUP(pts_sub!$D905,FIX!$A$2:$D1000,4, FALSE),"")</f>
        <v/>
      </c>
      <c r="E905" s="10"/>
      <c r="F905" s="10"/>
      <c r="G905" s="10"/>
      <c r="H905" s="10"/>
      <c r="I905" s="10"/>
      <c r="J905" s="10"/>
      <c r="K905" s="10"/>
    </row>
    <row r="906">
      <c r="A906" s="10" t="str">
        <f>IFNA(VLOOKUP(pts_sub!$A906,sub!$B$2:$E1000,4,FALSE),"")</f>
        <v/>
      </c>
      <c r="B906" s="10"/>
      <c r="C906" s="10"/>
      <c r="D906" s="10" t="str">
        <f>IFNA(VLOOKUP(pts_sub!$D906,FIX!$A$2:$D1000,4, FALSE),"")</f>
        <v/>
      </c>
      <c r="E906" s="10"/>
      <c r="F906" s="10"/>
      <c r="G906" s="10"/>
      <c r="H906" s="10"/>
      <c r="I906" s="10"/>
      <c r="J906" s="10"/>
      <c r="K906" s="10"/>
    </row>
    <row r="907">
      <c r="A907" s="10" t="str">
        <f>IFNA(VLOOKUP(pts_sub!$A907,sub!$B$2:$E1000,4,FALSE),"")</f>
        <v/>
      </c>
      <c r="B907" s="10"/>
      <c r="C907" s="10"/>
      <c r="D907" s="10" t="str">
        <f>IFNA(VLOOKUP(pts_sub!$D907,FIX!$A$2:$D1000,4, FALSE),"")</f>
        <v/>
      </c>
      <c r="E907" s="10"/>
      <c r="F907" s="10"/>
      <c r="G907" s="10"/>
      <c r="H907" s="10"/>
      <c r="I907" s="10"/>
      <c r="J907" s="10"/>
      <c r="K907" s="10"/>
    </row>
    <row r="908">
      <c r="A908" s="10" t="str">
        <f>IFNA(VLOOKUP(pts_sub!$A908,sub!$B$2:$E1000,4,FALSE),"")</f>
        <v/>
      </c>
      <c r="B908" s="10"/>
      <c r="C908" s="10"/>
      <c r="D908" s="10" t="str">
        <f>IFNA(VLOOKUP(pts_sub!$D908,FIX!$A$2:$D1000,4, FALSE),"")</f>
        <v/>
      </c>
      <c r="E908" s="10"/>
      <c r="F908" s="10"/>
      <c r="G908" s="10"/>
      <c r="H908" s="10"/>
      <c r="I908" s="10"/>
      <c r="J908" s="10"/>
      <c r="K908" s="10"/>
    </row>
    <row r="909">
      <c r="A909" s="10" t="str">
        <f>IFNA(VLOOKUP(pts_sub!$A909,sub!$B$2:$E1000,4,FALSE),"")</f>
        <v/>
      </c>
      <c r="B909" s="10"/>
      <c r="C909" s="10"/>
      <c r="D909" s="10" t="str">
        <f>IFNA(VLOOKUP(pts_sub!$D909,FIX!$A$2:$D1000,4, FALSE),"")</f>
        <v/>
      </c>
      <c r="E909" s="10"/>
      <c r="F909" s="10"/>
      <c r="G909" s="10"/>
      <c r="H909" s="10"/>
      <c r="I909" s="10"/>
      <c r="J909" s="10"/>
      <c r="K909" s="10"/>
    </row>
    <row r="910">
      <c r="A910" s="10" t="str">
        <f>IFNA(VLOOKUP(pts_sub!$A910,sub!$B$2:$E1000,4,FALSE),"")</f>
        <v/>
      </c>
      <c r="B910" s="10"/>
      <c r="C910" s="10"/>
      <c r="D910" s="10" t="str">
        <f>IFNA(VLOOKUP(pts_sub!$D910,FIX!$A$2:$D1000,4, FALSE),"")</f>
        <v/>
      </c>
      <c r="E910" s="10"/>
      <c r="F910" s="10"/>
      <c r="G910" s="10"/>
      <c r="H910" s="10"/>
      <c r="I910" s="10"/>
      <c r="J910" s="10"/>
      <c r="K910" s="10"/>
    </row>
    <row r="911">
      <c r="A911" s="10" t="str">
        <f>IFNA(VLOOKUP(pts_sub!$A911,sub!$B$2:$E1000,4,FALSE),"")</f>
        <v/>
      </c>
      <c r="B911" s="10"/>
      <c r="C911" s="10"/>
      <c r="D911" s="10" t="str">
        <f>IFNA(VLOOKUP(pts_sub!$D911,FIX!$A$2:$D1000,4, FALSE),"")</f>
        <v/>
      </c>
      <c r="E911" s="10"/>
      <c r="F911" s="10"/>
      <c r="G911" s="10"/>
      <c r="H911" s="10"/>
      <c r="I911" s="10"/>
      <c r="J911" s="10"/>
      <c r="K911" s="10"/>
    </row>
    <row r="912">
      <c r="A912" s="10" t="str">
        <f>IFNA(VLOOKUP(pts_sub!$A912,sub!$B$2:$E1000,4,FALSE),"")</f>
        <v/>
      </c>
      <c r="B912" s="10"/>
      <c r="C912" s="10"/>
      <c r="D912" s="10" t="str">
        <f>IFNA(VLOOKUP(pts_sub!$D912,FIX!$A$2:$D1000,4, FALSE),"")</f>
        <v/>
      </c>
      <c r="E912" s="10"/>
      <c r="F912" s="10"/>
      <c r="G912" s="10"/>
      <c r="H912" s="10"/>
      <c r="I912" s="10"/>
      <c r="J912" s="10"/>
      <c r="K912" s="10"/>
    </row>
    <row r="913">
      <c r="A913" s="10" t="str">
        <f>IFNA(VLOOKUP(pts_sub!$A913,sub!$B$2:$E1000,4,FALSE),"")</f>
        <v/>
      </c>
      <c r="B913" s="10"/>
      <c r="C913" s="10"/>
      <c r="D913" s="10" t="str">
        <f>IFNA(VLOOKUP(pts_sub!$D913,FIX!$A$2:$D1000,4, FALSE),"")</f>
        <v/>
      </c>
      <c r="E913" s="10"/>
      <c r="F913" s="10"/>
      <c r="G913" s="10"/>
      <c r="H913" s="10"/>
      <c r="I913" s="10"/>
      <c r="J913" s="10"/>
      <c r="K913" s="10"/>
    </row>
    <row r="914">
      <c r="A914" s="10" t="str">
        <f>IFNA(VLOOKUP(pts_sub!$A914,sub!$B$2:$E1000,4,FALSE),"")</f>
        <v/>
      </c>
      <c r="B914" s="10"/>
      <c r="C914" s="10"/>
      <c r="D914" s="10" t="str">
        <f>IFNA(VLOOKUP(pts_sub!$D914,FIX!$A$2:$D1000,4, FALSE),"")</f>
        <v/>
      </c>
      <c r="E914" s="10"/>
      <c r="F914" s="10"/>
      <c r="G914" s="10"/>
      <c r="H914" s="10"/>
      <c r="I914" s="10"/>
      <c r="J914" s="10"/>
      <c r="K914" s="10"/>
    </row>
    <row r="915">
      <c r="A915" s="10" t="str">
        <f>IFNA(VLOOKUP(pts_sub!$A915,sub!$B$2:$E1000,4,FALSE),"")</f>
        <v/>
      </c>
      <c r="B915" s="10"/>
      <c r="C915" s="10"/>
      <c r="D915" s="10" t="str">
        <f>IFNA(VLOOKUP(pts_sub!$D915,FIX!$A$2:$D1000,4, FALSE),"")</f>
        <v/>
      </c>
      <c r="E915" s="10"/>
      <c r="F915" s="10"/>
      <c r="G915" s="10"/>
      <c r="H915" s="10"/>
      <c r="I915" s="10"/>
      <c r="J915" s="10"/>
      <c r="K915" s="10"/>
    </row>
    <row r="916">
      <c r="A916" s="10" t="str">
        <f>IFNA(VLOOKUP(pts_sub!$A916,sub!$B$2:$E1000,4,FALSE),"")</f>
        <v/>
      </c>
      <c r="B916" s="10"/>
      <c r="C916" s="10"/>
      <c r="D916" s="10" t="str">
        <f>IFNA(VLOOKUP(pts_sub!$D916,FIX!$A$2:$D1000,4, FALSE),"")</f>
        <v/>
      </c>
      <c r="E916" s="10"/>
      <c r="F916" s="10"/>
      <c r="G916" s="10"/>
      <c r="H916" s="10"/>
      <c r="I916" s="10"/>
      <c r="J916" s="10"/>
      <c r="K916" s="10"/>
    </row>
    <row r="917">
      <c r="A917" s="10" t="str">
        <f>IFNA(VLOOKUP(pts_sub!$A917,sub!$B$2:$E1000,4,FALSE),"")</f>
        <v/>
      </c>
      <c r="B917" s="10"/>
      <c r="C917" s="10"/>
      <c r="D917" s="10" t="str">
        <f>IFNA(VLOOKUP(pts_sub!$D917,FIX!$A$2:$D1000,4, FALSE),"")</f>
        <v/>
      </c>
      <c r="E917" s="10"/>
      <c r="F917" s="10"/>
      <c r="G917" s="10"/>
      <c r="H917" s="10"/>
      <c r="I917" s="10"/>
      <c r="J917" s="10"/>
      <c r="K917" s="10"/>
    </row>
    <row r="918">
      <c r="A918" s="10" t="str">
        <f>IFNA(VLOOKUP(pts_sub!$A918,sub!$B$2:$E1000,4,FALSE),"")</f>
        <v/>
      </c>
      <c r="B918" s="10"/>
      <c r="C918" s="10"/>
      <c r="D918" s="10" t="str">
        <f>IFNA(VLOOKUP(pts_sub!$D918,FIX!$A$2:$D1000,4, FALSE),"")</f>
        <v/>
      </c>
      <c r="E918" s="10"/>
      <c r="F918" s="10"/>
      <c r="G918" s="10"/>
      <c r="H918" s="10"/>
      <c r="I918" s="10"/>
      <c r="J918" s="10"/>
      <c r="K918" s="10"/>
    </row>
    <row r="919">
      <c r="A919" s="10" t="str">
        <f>IFNA(VLOOKUP(pts_sub!$A919,sub!$B$2:$E1000,4,FALSE),"")</f>
        <v/>
      </c>
      <c r="B919" s="10"/>
      <c r="C919" s="10"/>
      <c r="D919" s="10" t="str">
        <f>IFNA(VLOOKUP(pts_sub!$D919,FIX!$A$2:$D1000,4, FALSE),"")</f>
        <v/>
      </c>
      <c r="E919" s="10"/>
      <c r="F919" s="10"/>
      <c r="G919" s="10"/>
      <c r="H919" s="10"/>
      <c r="I919" s="10"/>
      <c r="J919" s="10"/>
      <c r="K919" s="10"/>
    </row>
    <row r="920">
      <c r="A920" s="10" t="str">
        <f>IFNA(VLOOKUP(pts_sub!$A920,sub!$B$2:$E1000,4,FALSE),"")</f>
        <v/>
      </c>
      <c r="B920" s="10"/>
      <c r="C920" s="10"/>
      <c r="D920" s="10" t="str">
        <f>IFNA(VLOOKUP(pts_sub!$D920,FIX!$A$2:$D1000,4, FALSE),"")</f>
        <v/>
      </c>
      <c r="E920" s="10"/>
      <c r="F920" s="10"/>
      <c r="G920" s="10"/>
      <c r="H920" s="10"/>
      <c r="I920" s="10"/>
      <c r="J920" s="10"/>
      <c r="K920" s="10"/>
    </row>
    <row r="921">
      <c r="A921" s="10" t="str">
        <f>IFNA(VLOOKUP(pts_sub!$A921,sub!$B$2:$E1000,4,FALSE),"")</f>
        <v/>
      </c>
      <c r="B921" s="10"/>
      <c r="C921" s="10"/>
      <c r="D921" s="10" t="str">
        <f>IFNA(VLOOKUP(pts_sub!$D921,FIX!$A$2:$D1000,4, FALSE),"")</f>
        <v/>
      </c>
      <c r="E921" s="10"/>
      <c r="F921" s="10"/>
      <c r="G921" s="10"/>
      <c r="H921" s="10"/>
      <c r="I921" s="10"/>
      <c r="J921" s="10"/>
      <c r="K921" s="10"/>
    </row>
    <row r="922">
      <c r="A922" s="10" t="str">
        <f>IFNA(VLOOKUP(pts_sub!$A922,sub!$B$2:$E1000,4,FALSE),"")</f>
        <v/>
      </c>
      <c r="B922" s="10"/>
      <c r="C922" s="10"/>
      <c r="D922" s="10" t="str">
        <f>IFNA(VLOOKUP(pts_sub!$D922,FIX!$A$2:$D1000,4, FALSE),"")</f>
        <v/>
      </c>
      <c r="E922" s="10"/>
      <c r="F922" s="10"/>
      <c r="G922" s="10"/>
      <c r="H922" s="10"/>
      <c r="I922" s="10"/>
      <c r="J922" s="10"/>
      <c r="K922" s="10"/>
    </row>
    <row r="923">
      <c r="A923" s="10" t="str">
        <f>IFNA(VLOOKUP(pts_sub!$A923,sub!$B$2:$E1000,4,FALSE),"")</f>
        <v/>
      </c>
      <c r="B923" s="10"/>
      <c r="C923" s="10"/>
      <c r="D923" s="10" t="str">
        <f>IFNA(VLOOKUP(pts_sub!$D923,FIX!$A$2:$D1000,4, FALSE),"")</f>
        <v/>
      </c>
      <c r="E923" s="10"/>
      <c r="F923" s="10"/>
      <c r="G923" s="10"/>
      <c r="H923" s="10"/>
      <c r="I923" s="10"/>
      <c r="J923" s="10"/>
      <c r="K923" s="10"/>
    </row>
    <row r="924">
      <c r="A924" s="10" t="str">
        <f>IFNA(VLOOKUP(pts_sub!$A924,sub!$B$2:$E1000,4,FALSE),"")</f>
        <v/>
      </c>
      <c r="B924" s="10"/>
      <c r="C924" s="10"/>
      <c r="D924" s="10" t="str">
        <f>IFNA(VLOOKUP(pts_sub!$D924,FIX!$A$2:$D1000,4, FALSE),"")</f>
        <v/>
      </c>
      <c r="E924" s="10"/>
      <c r="F924" s="10"/>
      <c r="G924" s="10"/>
      <c r="H924" s="10"/>
      <c r="I924" s="10"/>
      <c r="J924" s="10"/>
      <c r="K924" s="10"/>
    </row>
    <row r="925">
      <c r="A925" s="10" t="str">
        <f>IFNA(VLOOKUP(pts_sub!$A925,sub!$B$2:$E1000,4,FALSE),"")</f>
        <v/>
      </c>
      <c r="B925" s="10"/>
      <c r="C925" s="10"/>
      <c r="D925" s="10" t="str">
        <f>IFNA(VLOOKUP(pts_sub!$D925,FIX!$A$2:$D1000,4, FALSE),"")</f>
        <v/>
      </c>
      <c r="E925" s="10"/>
      <c r="F925" s="10"/>
      <c r="G925" s="10"/>
      <c r="H925" s="10"/>
      <c r="I925" s="10"/>
      <c r="J925" s="10"/>
      <c r="K925" s="10"/>
    </row>
    <row r="926">
      <c r="A926" s="10" t="str">
        <f>IFNA(VLOOKUP(pts_sub!$A926,sub!$B$2:$E1000,4,FALSE),"")</f>
        <v/>
      </c>
      <c r="B926" s="10"/>
      <c r="C926" s="10"/>
      <c r="D926" s="10" t="str">
        <f>IFNA(VLOOKUP(pts_sub!$D926,FIX!$A$2:$D1000,4, FALSE),"")</f>
        <v/>
      </c>
      <c r="E926" s="10"/>
      <c r="F926" s="10"/>
      <c r="G926" s="10"/>
      <c r="H926" s="10"/>
      <c r="I926" s="10"/>
      <c r="J926" s="10"/>
      <c r="K926" s="10"/>
    </row>
    <row r="927">
      <c r="A927" s="10" t="str">
        <f>IFNA(VLOOKUP(pts_sub!$A927,sub!$B$2:$E1000,4,FALSE),"")</f>
        <v/>
      </c>
      <c r="B927" s="10"/>
      <c r="C927" s="10"/>
      <c r="D927" s="10" t="str">
        <f>IFNA(VLOOKUP(pts_sub!$D927,FIX!$A$2:$D1000,4, FALSE),"")</f>
        <v/>
      </c>
      <c r="E927" s="10"/>
      <c r="F927" s="10"/>
      <c r="G927" s="10"/>
      <c r="H927" s="10"/>
      <c r="I927" s="10"/>
      <c r="J927" s="10"/>
      <c r="K927" s="10"/>
    </row>
    <row r="928">
      <c r="A928" s="10" t="str">
        <f>IFNA(VLOOKUP(pts_sub!$A928,sub!$B$2:$E1000,4,FALSE),"")</f>
        <v/>
      </c>
      <c r="B928" s="10"/>
      <c r="C928" s="10"/>
      <c r="D928" s="10" t="str">
        <f>IFNA(VLOOKUP(pts_sub!$D928,FIX!$A$2:$D1000,4, FALSE),"")</f>
        <v/>
      </c>
      <c r="E928" s="10"/>
      <c r="F928" s="10"/>
      <c r="G928" s="10"/>
      <c r="H928" s="10"/>
      <c r="I928" s="10"/>
      <c r="J928" s="10"/>
      <c r="K928" s="10"/>
    </row>
    <row r="929">
      <c r="A929" s="10" t="str">
        <f>IFNA(VLOOKUP(pts_sub!$A929,sub!$B$2:$E1000,4,FALSE),"")</f>
        <v/>
      </c>
      <c r="B929" s="10"/>
      <c r="C929" s="10"/>
      <c r="D929" s="10" t="str">
        <f>IFNA(VLOOKUP(pts_sub!$D929,FIX!$A$2:$D1000,4, FALSE),"")</f>
        <v/>
      </c>
      <c r="E929" s="10"/>
      <c r="F929" s="10"/>
      <c r="G929" s="10"/>
      <c r="H929" s="10"/>
      <c r="I929" s="10"/>
      <c r="J929" s="10"/>
      <c r="K929" s="10"/>
    </row>
    <row r="930">
      <c r="A930" s="10" t="str">
        <f>IFNA(VLOOKUP(pts_sub!$A930,sub!$B$2:$E1000,4,FALSE),"")</f>
        <v/>
      </c>
      <c r="B930" s="10"/>
      <c r="C930" s="10"/>
      <c r="D930" s="10" t="str">
        <f>IFNA(VLOOKUP(pts_sub!$D930,FIX!$A$2:$D1000,4, FALSE),"")</f>
        <v/>
      </c>
      <c r="E930" s="10"/>
      <c r="F930" s="10"/>
      <c r="G930" s="10"/>
      <c r="H930" s="10"/>
      <c r="I930" s="10"/>
      <c r="J930" s="10"/>
      <c r="K930" s="10"/>
    </row>
    <row r="931">
      <c r="A931" s="10" t="str">
        <f>IFNA(VLOOKUP(pts_sub!$A931,sub!$B$2:$E1000,4,FALSE),"")</f>
        <v/>
      </c>
      <c r="B931" s="10"/>
      <c r="C931" s="10"/>
      <c r="D931" s="10" t="str">
        <f>IFNA(VLOOKUP(pts_sub!$D931,FIX!$A$2:$D1000,4, FALSE),"")</f>
        <v/>
      </c>
      <c r="E931" s="10"/>
      <c r="F931" s="10"/>
      <c r="G931" s="10"/>
      <c r="H931" s="10"/>
      <c r="I931" s="10"/>
      <c r="J931" s="10"/>
      <c r="K931" s="10"/>
    </row>
    <row r="932">
      <c r="A932" s="10" t="str">
        <f>IFNA(VLOOKUP(pts_sub!$A932,sub!$B$2:$E1000,4,FALSE),"")</f>
        <v/>
      </c>
      <c r="B932" s="10"/>
      <c r="C932" s="10"/>
      <c r="D932" s="10" t="str">
        <f>IFNA(VLOOKUP(pts_sub!$D932,FIX!$A$2:$D1000,4, FALSE),"")</f>
        <v/>
      </c>
      <c r="E932" s="10"/>
      <c r="F932" s="10"/>
      <c r="G932" s="10"/>
      <c r="H932" s="10"/>
      <c r="I932" s="10"/>
      <c r="J932" s="10"/>
      <c r="K932" s="10"/>
    </row>
    <row r="933">
      <c r="A933" s="10" t="str">
        <f>IFNA(VLOOKUP(pts_sub!$A933,sub!$B$2:$E1000,4,FALSE),"")</f>
        <v/>
      </c>
      <c r="B933" s="10"/>
      <c r="C933" s="10"/>
      <c r="D933" s="10" t="str">
        <f>IFNA(VLOOKUP(pts_sub!$D933,FIX!$A$2:$D1000,4, FALSE),"")</f>
        <v/>
      </c>
      <c r="E933" s="10"/>
      <c r="F933" s="10"/>
      <c r="G933" s="10"/>
      <c r="H933" s="10"/>
      <c r="I933" s="10"/>
      <c r="J933" s="10"/>
      <c r="K933" s="10"/>
    </row>
    <row r="934">
      <c r="A934" s="10" t="str">
        <f>IFNA(VLOOKUP(pts_sub!$A934,sub!$B$2:$E1000,4,FALSE),"")</f>
        <v/>
      </c>
      <c r="B934" s="10"/>
      <c r="C934" s="10"/>
      <c r="D934" s="10" t="str">
        <f>IFNA(VLOOKUP(pts_sub!$D934,FIX!$A$2:$D1000,4, FALSE),"")</f>
        <v/>
      </c>
      <c r="E934" s="10"/>
      <c r="F934" s="10"/>
      <c r="G934" s="10"/>
      <c r="H934" s="10"/>
      <c r="I934" s="10"/>
      <c r="J934" s="10"/>
      <c r="K934" s="10"/>
    </row>
    <row r="935">
      <c r="A935" s="10" t="str">
        <f>IFNA(VLOOKUP(pts_sub!$A935,sub!$B$2:$E1000,4,FALSE),"")</f>
        <v/>
      </c>
      <c r="B935" s="10"/>
      <c r="C935" s="10"/>
      <c r="D935" s="10" t="str">
        <f>IFNA(VLOOKUP(pts_sub!$D935,FIX!$A$2:$D1000,4, FALSE),"")</f>
        <v/>
      </c>
      <c r="E935" s="10"/>
      <c r="F935" s="10"/>
      <c r="G935" s="10"/>
      <c r="H935" s="10"/>
      <c r="I935" s="10"/>
      <c r="J935" s="10"/>
      <c r="K935" s="10"/>
    </row>
    <row r="936">
      <c r="A936" s="10" t="str">
        <f>IFNA(VLOOKUP(pts_sub!$A936,sub!$B$2:$E1000,4,FALSE),"")</f>
        <v/>
      </c>
      <c r="B936" s="10"/>
      <c r="C936" s="10"/>
      <c r="D936" s="10" t="str">
        <f>IFNA(VLOOKUP(pts_sub!$D936,FIX!$A$2:$D1000,4, FALSE),"")</f>
        <v/>
      </c>
      <c r="E936" s="10"/>
      <c r="F936" s="10"/>
      <c r="G936" s="10"/>
      <c r="H936" s="10"/>
      <c r="I936" s="10"/>
      <c r="J936" s="10"/>
      <c r="K936" s="10"/>
    </row>
    <row r="937">
      <c r="A937" s="10" t="str">
        <f>IFNA(VLOOKUP(pts_sub!$A937,sub!$B$2:$E1000,4,FALSE),"")</f>
        <v/>
      </c>
      <c r="B937" s="10"/>
      <c r="C937" s="10"/>
      <c r="D937" s="10" t="str">
        <f>IFNA(VLOOKUP(pts_sub!$D937,FIX!$A$2:$D1000,4, FALSE),"")</f>
        <v/>
      </c>
      <c r="E937" s="10"/>
      <c r="F937" s="10"/>
      <c r="G937" s="10"/>
      <c r="H937" s="10"/>
      <c r="I937" s="10"/>
      <c r="J937" s="10"/>
      <c r="K937" s="10"/>
    </row>
    <row r="938">
      <c r="A938" s="10" t="str">
        <f>IFNA(VLOOKUP(pts_sub!$A938,sub!$B$2:$E1000,4,FALSE),"")</f>
        <v/>
      </c>
      <c r="B938" s="10"/>
      <c r="C938" s="10"/>
      <c r="D938" s="10" t="str">
        <f>IFNA(VLOOKUP(pts_sub!$D938,FIX!$A$2:$D1000,4, FALSE),"")</f>
        <v/>
      </c>
      <c r="E938" s="10"/>
      <c r="F938" s="10"/>
      <c r="G938" s="10"/>
      <c r="H938" s="10"/>
      <c r="I938" s="10"/>
      <c r="J938" s="10"/>
      <c r="K938" s="10"/>
    </row>
    <row r="939">
      <c r="A939" s="10" t="str">
        <f>IFNA(VLOOKUP(pts_sub!$A939,sub!$B$2:$E1000,4,FALSE),"")</f>
        <v/>
      </c>
      <c r="B939" s="10"/>
      <c r="C939" s="10"/>
      <c r="D939" s="10" t="str">
        <f>IFNA(VLOOKUP(pts_sub!$D939,FIX!$A$2:$D1000,4, FALSE),"")</f>
        <v/>
      </c>
      <c r="E939" s="10"/>
      <c r="F939" s="10"/>
      <c r="G939" s="10"/>
      <c r="H939" s="10"/>
      <c r="I939" s="10"/>
      <c r="J939" s="10"/>
      <c r="K939" s="10"/>
    </row>
    <row r="940">
      <c r="A940" s="10" t="str">
        <f>IFNA(VLOOKUP(pts_sub!$A940,sub!$B$2:$E1000,4,FALSE),"")</f>
        <v/>
      </c>
      <c r="B940" s="10"/>
      <c r="C940" s="10"/>
      <c r="D940" s="10" t="str">
        <f>IFNA(VLOOKUP(pts_sub!$D940,FIX!$A$2:$D1000,4, FALSE),"")</f>
        <v/>
      </c>
      <c r="E940" s="10"/>
      <c r="F940" s="10"/>
      <c r="G940" s="10"/>
      <c r="H940" s="10"/>
      <c r="I940" s="10"/>
      <c r="J940" s="10"/>
      <c r="K940" s="10"/>
    </row>
    <row r="941">
      <c r="A941" s="10" t="str">
        <f>IFNA(VLOOKUP(pts_sub!$A941,sub!$B$2:$E1000,4,FALSE),"")</f>
        <v/>
      </c>
      <c r="B941" s="10"/>
      <c r="C941" s="10"/>
      <c r="D941" s="10" t="str">
        <f>IFNA(VLOOKUP(pts_sub!$D941,FIX!$A$2:$D1000,4, FALSE),"")</f>
        <v/>
      </c>
      <c r="E941" s="10"/>
      <c r="F941" s="10"/>
      <c r="G941" s="10"/>
      <c r="H941" s="10"/>
      <c r="I941" s="10"/>
      <c r="J941" s="10"/>
      <c r="K941" s="10"/>
    </row>
    <row r="942">
      <c r="A942" s="10" t="str">
        <f>IFNA(VLOOKUP(pts_sub!$A942,sub!$B$2:$E1000,4,FALSE),"")</f>
        <v/>
      </c>
      <c r="B942" s="10"/>
      <c r="C942" s="10"/>
      <c r="D942" s="10" t="str">
        <f>IFNA(VLOOKUP(pts_sub!$D942,FIX!$A$2:$D1000,4, FALSE),"")</f>
        <v/>
      </c>
      <c r="E942" s="10"/>
      <c r="F942" s="10"/>
      <c r="G942" s="10"/>
      <c r="H942" s="10"/>
      <c r="I942" s="10"/>
      <c r="J942" s="10"/>
      <c r="K942" s="10"/>
    </row>
    <row r="943">
      <c r="A943" s="10" t="str">
        <f>IFNA(VLOOKUP(pts_sub!$A943,sub!$B$2:$E1000,4,FALSE),"")</f>
        <v/>
      </c>
      <c r="B943" s="10"/>
      <c r="C943" s="10"/>
      <c r="D943" s="10" t="str">
        <f>IFNA(VLOOKUP(pts_sub!$D943,FIX!$A$2:$D1000,4, FALSE),"")</f>
        <v/>
      </c>
      <c r="E943" s="10"/>
      <c r="F943" s="10"/>
      <c r="G943" s="10"/>
      <c r="H943" s="10"/>
      <c r="I943" s="10"/>
      <c r="J943" s="10"/>
      <c r="K943" s="10"/>
    </row>
    <row r="944">
      <c r="A944" s="10" t="str">
        <f>IFNA(VLOOKUP(pts_sub!$A944,sub!$B$2:$E1000,4,FALSE),"")</f>
        <v/>
      </c>
      <c r="B944" s="10"/>
      <c r="C944" s="10"/>
      <c r="D944" s="10" t="str">
        <f>IFNA(VLOOKUP(pts_sub!$D944,FIX!$A$2:$D1000,4, FALSE),"")</f>
        <v/>
      </c>
      <c r="E944" s="10"/>
      <c r="F944" s="10"/>
      <c r="G944" s="10"/>
      <c r="H944" s="10"/>
      <c r="I944" s="10"/>
      <c r="J944" s="10"/>
      <c r="K944" s="10"/>
    </row>
    <row r="945">
      <c r="A945" s="10" t="str">
        <f>IFNA(VLOOKUP(pts_sub!$A945,sub!$B$2:$E1000,4,FALSE),"")</f>
        <v/>
      </c>
      <c r="B945" s="10"/>
      <c r="C945" s="10"/>
      <c r="D945" s="10" t="str">
        <f>IFNA(VLOOKUP(pts_sub!$D945,FIX!$A$2:$D1000,4, FALSE),"")</f>
        <v/>
      </c>
      <c r="E945" s="10"/>
      <c r="F945" s="10"/>
      <c r="G945" s="10"/>
      <c r="H945" s="10"/>
      <c r="I945" s="10"/>
      <c r="J945" s="10"/>
      <c r="K945" s="10"/>
    </row>
    <row r="946">
      <c r="A946" s="10" t="str">
        <f>IFNA(VLOOKUP(pts_sub!$A946,sub!$B$2:$E1000,4,FALSE),"")</f>
        <v/>
      </c>
      <c r="B946" s="10"/>
      <c r="C946" s="10"/>
      <c r="D946" s="10" t="str">
        <f>IFNA(VLOOKUP(pts_sub!$D946,FIX!$A$2:$D1000,4, FALSE),"")</f>
        <v/>
      </c>
      <c r="E946" s="10"/>
      <c r="F946" s="10"/>
      <c r="G946" s="10"/>
      <c r="H946" s="10"/>
      <c r="I946" s="10"/>
      <c r="J946" s="10"/>
      <c r="K946" s="10"/>
    </row>
    <row r="947">
      <c r="A947" s="10" t="str">
        <f>IFNA(VLOOKUP(pts_sub!$A947,sub!$B$2:$E1000,4,FALSE),"")</f>
        <v/>
      </c>
      <c r="B947" s="10"/>
      <c r="C947" s="10"/>
      <c r="D947" s="10" t="str">
        <f>IFNA(VLOOKUP(pts_sub!$D947,FIX!$A$2:$D1000,4, FALSE),"")</f>
        <v/>
      </c>
      <c r="E947" s="10"/>
      <c r="F947" s="10"/>
      <c r="G947" s="10"/>
      <c r="H947" s="10"/>
      <c r="I947" s="10"/>
      <c r="J947" s="10"/>
      <c r="K947" s="10"/>
    </row>
    <row r="948">
      <c r="A948" s="10" t="str">
        <f>IFNA(VLOOKUP(pts_sub!$A948,sub!$B$2:$E1000,4,FALSE),"")</f>
        <v/>
      </c>
      <c r="B948" s="10"/>
      <c r="C948" s="10"/>
      <c r="D948" s="10" t="str">
        <f>IFNA(VLOOKUP(pts_sub!$D948,FIX!$A$2:$D1000,4, FALSE),"")</f>
        <v/>
      </c>
      <c r="E948" s="10"/>
      <c r="F948" s="10"/>
      <c r="G948" s="10"/>
      <c r="H948" s="10"/>
      <c r="I948" s="10"/>
      <c r="J948" s="10"/>
      <c r="K948" s="10"/>
    </row>
    <row r="949">
      <c r="A949" s="10" t="str">
        <f>IFNA(VLOOKUP(pts_sub!$A949,sub!$B$2:$E1000,4,FALSE),"")</f>
        <v/>
      </c>
      <c r="B949" s="10"/>
      <c r="C949" s="10"/>
      <c r="D949" s="10" t="str">
        <f>IFNA(VLOOKUP(pts_sub!$D949,FIX!$A$2:$D1000,4, FALSE),"")</f>
        <v/>
      </c>
      <c r="E949" s="10"/>
      <c r="F949" s="10"/>
      <c r="G949" s="10"/>
      <c r="H949" s="10"/>
      <c r="I949" s="10"/>
      <c r="J949" s="10"/>
      <c r="K949" s="10"/>
    </row>
    <row r="950">
      <c r="A950" s="10" t="str">
        <f>IFNA(VLOOKUP(pts_sub!$A950,sub!$B$2:$E1000,4,FALSE),"")</f>
        <v/>
      </c>
      <c r="B950" s="10"/>
      <c r="C950" s="10"/>
      <c r="D950" s="10" t="str">
        <f>IFNA(VLOOKUP(pts_sub!$D950,FIX!$A$2:$D1000,4, FALSE),"")</f>
        <v/>
      </c>
      <c r="E950" s="10"/>
      <c r="F950" s="10"/>
      <c r="G950" s="10"/>
      <c r="H950" s="10"/>
      <c r="I950" s="10"/>
      <c r="J950" s="10"/>
      <c r="K950" s="10"/>
    </row>
    <row r="951">
      <c r="A951" s="10" t="str">
        <f>IFNA(VLOOKUP(pts_sub!$A951,sub!$B$2:$E1000,4,FALSE),"")</f>
        <v/>
      </c>
      <c r="B951" s="10"/>
      <c r="C951" s="10"/>
      <c r="D951" s="10" t="str">
        <f>IFNA(VLOOKUP(pts_sub!$D951,FIX!$A$2:$D1000,4, FALSE),"")</f>
        <v/>
      </c>
      <c r="E951" s="10"/>
      <c r="F951" s="10"/>
      <c r="G951" s="10"/>
      <c r="H951" s="10"/>
      <c r="I951" s="10"/>
      <c r="J951" s="10"/>
      <c r="K951" s="10"/>
    </row>
    <row r="952">
      <c r="A952" s="10" t="str">
        <f>IFNA(VLOOKUP(pts_sub!$A952,sub!$B$2:$E1000,4,FALSE),"")</f>
        <v/>
      </c>
      <c r="B952" s="10"/>
      <c r="C952" s="10"/>
      <c r="D952" s="10" t="str">
        <f>IFNA(VLOOKUP(pts_sub!$D952,FIX!$A$2:$D1000,4, FALSE),"")</f>
        <v/>
      </c>
      <c r="E952" s="10"/>
      <c r="F952" s="10"/>
      <c r="G952" s="10"/>
      <c r="H952" s="10"/>
      <c r="I952" s="10"/>
      <c r="J952" s="10"/>
      <c r="K952" s="10"/>
    </row>
    <row r="953">
      <c r="A953" s="10" t="str">
        <f>IFNA(VLOOKUP(pts_sub!$A953,sub!$B$2:$E1000,4,FALSE),"")</f>
        <v/>
      </c>
      <c r="B953" s="10"/>
      <c r="C953" s="10"/>
      <c r="D953" s="10" t="str">
        <f>IFNA(VLOOKUP(pts_sub!$D953,FIX!$A$2:$D1000,4, FALSE),"")</f>
        <v/>
      </c>
      <c r="E953" s="10"/>
      <c r="F953" s="10"/>
      <c r="G953" s="10"/>
      <c r="H953" s="10"/>
      <c r="I953" s="10"/>
      <c r="J953" s="10"/>
      <c r="K953" s="10"/>
    </row>
    <row r="954">
      <c r="A954" s="10" t="str">
        <f>IFNA(VLOOKUP(pts_sub!$A954,sub!$B$2:$E1000,4,FALSE),"")</f>
        <v/>
      </c>
      <c r="B954" s="10"/>
      <c r="C954" s="10"/>
      <c r="D954" s="10" t="str">
        <f>IFNA(VLOOKUP(pts_sub!$D954,FIX!$A$2:$D1000,4, FALSE),"")</f>
        <v/>
      </c>
      <c r="E954" s="10"/>
      <c r="F954" s="10"/>
      <c r="G954" s="10"/>
      <c r="H954" s="10"/>
      <c r="I954" s="10"/>
      <c r="J954" s="10"/>
      <c r="K954" s="10"/>
    </row>
    <row r="955">
      <c r="A955" s="10" t="str">
        <f>IFNA(VLOOKUP(pts_sub!$A955,sub!$B$2:$E1000,4,FALSE),"")</f>
        <v/>
      </c>
      <c r="B955" s="10"/>
      <c r="C955" s="10"/>
      <c r="D955" s="10" t="str">
        <f>IFNA(VLOOKUP(pts_sub!$D955,FIX!$A$2:$D1000,4, FALSE),"")</f>
        <v/>
      </c>
      <c r="E955" s="10"/>
      <c r="F955" s="10"/>
      <c r="G955" s="10"/>
      <c r="H955" s="10"/>
      <c r="I955" s="10"/>
      <c r="J955" s="10"/>
      <c r="K955" s="10"/>
    </row>
    <row r="956">
      <c r="A956" s="10" t="str">
        <f>IFNA(VLOOKUP(pts_sub!$A956,sub!$B$2:$E1000,4,FALSE),"")</f>
        <v/>
      </c>
      <c r="B956" s="10"/>
      <c r="C956" s="10"/>
      <c r="D956" s="10" t="str">
        <f>IFNA(VLOOKUP(pts_sub!$D956,FIX!$A$2:$D1000,4, FALSE),"")</f>
        <v/>
      </c>
      <c r="E956" s="10"/>
      <c r="F956" s="10"/>
      <c r="G956" s="10"/>
      <c r="H956" s="10"/>
      <c r="I956" s="10"/>
      <c r="J956" s="10"/>
      <c r="K956" s="10"/>
    </row>
    <row r="957">
      <c r="A957" s="10" t="str">
        <f>IFNA(VLOOKUP(pts_sub!$A957,sub!$B$2:$E1000,4,FALSE),"")</f>
        <v/>
      </c>
      <c r="B957" s="10"/>
      <c r="C957" s="10"/>
      <c r="D957" s="10" t="str">
        <f>IFNA(VLOOKUP(pts_sub!$D957,FIX!$A$2:$D1000,4, FALSE),"")</f>
        <v/>
      </c>
      <c r="E957" s="10"/>
      <c r="F957" s="10"/>
      <c r="G957" s="10"/>
      <c r="H957" s="10"/>
      <c r="I957" s="10"/>
      <c r="J957" s="10"/>
      <c r="K957" s="10"/>
    </row>
    <row r="958">
      <c r="A958" s="10" t="str">
        <f>IFNA(VLOOKUP(pts_sub!$A958,sub!$B$2:$E1000,4,FALSE),"")</f>
        <v/>
      </c>
      <c r="B958" s="10"/>
      <c r="C958" s="10"/>
      <c r="D958" s="10" t="str">
        <f>IFNA(VLOOKUP(pts_sub!$D958,FIX!$A$2:$D1000,4, FALSE),"")</f>
        <v/>
      </c>
      <c r="E958" s="10"/>
      <c r="F958" s="10"/>
      <c r="G958" s="10"/>
      <c r="H958" s="10"/>
      <c r="I958" s="10"/>
      <c r="J958" s="10"/>
      <c r="K958" s="10"/>
    </row>
    <row r="959">
      <c r="A959" s="10" t="str">
        <f>IFNA(VLOOKUP(pts_sub!$A959,sub!$B$2:$E1000,4,FALSE),"")</f>
        <v/>
      </c>
      <c r="B959" s="10"/>
      <c r="C959" s="10"/>
      <c r="D959" s="10" t="str">
        <f>IFNA(VLOOKUP(pts_sub!$D959,FIX!$A$2:$D1000,4, FALSE),"")</f>
        <v/>
      </c>
      <c r="E959" s="10"/>
      <c r="F959" s="10"/>
      <c r="G959" s="10"/>
      <c r="H959" s="10"/>
      <c r="I959" s="10"/>
      <c r="J959" s="10"/>
      <c r="K959" s="10"/>
    </row>
    <row r="960">
      <c r="A960" s="10" t="str">
        <f>IFNA(VLOOKUP(pts_sub!$A960,sub!$B$2:$E1000,4,FALSE),"")</f>
        <v/>
      </c>
      <c r="B960" s="10"/>
      <c r="C960" s="10"/>
      <c r="D960" s="10" t="str">
        <f>IFNA(VLOOKUP(pts_sub!$D960,FIX!$A$2:$D1000,4, FALSE),"")</f>
        <v/>
      </c>
      <c r="E960" s="10"/>
      <c r="F960" s="10"/>
      <c r="G960" s="10"/>
      <c r="H960" s="10"/>
      <c r="I960" s="10"/>
      <c r="J960" s="10"/>
      <c r="K960" s="10"/>
    </row>
    <row r="961">
      <c r="A961" s="10" t="str">
        <f>IFNA(VLOOKUP(pts_sub!$A961,sub!$B$2:$E1000,4,FALSE),"")</f>
        <v/>
      </c>
      <c r="B961" s="10"/>
      <c r="C961" s="10"/>
      <c r="D961" s="10" t="str">
        <f>IFNA(VLOOKUP(pts_sub!$D961,FIX!$A$2:$D1000,4, FALSE),"")</f>
        <v/>
      </c>
      <c r="E961" s="10"/>
      <c r="F961" s="10"/>
      <c r="G961" s="10"/>
      <c r="H961" s="10"/>
      <c r="I961" s="10"/>
      <c r="J961" s="10"/>
      <c r="K961" s="10"/>
    </row>
    <row r="962">
      <c r="A962" s="10" t="str">
        <f>IFNA(VLOOKUP(pts_sub!$A962,sub!$B$2:$E1000,4,FALSE),"")</f>
        <v/>
      </c>
      <c r="B962" s="10"/>
      <c r="C962" s="10"/>
      <c r="D962" s="10" t="str">
        <f>IFNA(VLOOKUP(pts_sub!$D962,FIX!$A$2:$D1000,4, FALSE),"")</f>
        <v/>
      </c>
      <c r="E962" s="10"/>
      <c r="F962" s="10"/>
      <c r="G962" s="10"/>
      <c r="H962" s="10"/>
      <c r="I962" s="10"/>
      <c r="J962" s="10"/>
      <c r="K962" s="10"/>
    </row>
    <row r="963">
      <c r="A963" s="10" t="str">
        <f>IFNA(VLOOKUP(pts_sub!$A963,sub!$B$2:$E1000,4,FALSE),"")</f>
        <v/>
      </c>
      <c r="B963" s="10"/>
      <c r="C963" s="10"/>
      <c r="D963" s="10" t="str">
        <f>IFNA(VLOOKUP(pts_sub!$D963,FIX!$A$2:$D1000,4, FALSE),"")</f>
        <v/>
      </c>
      <c r="E963" s="10"/>
      <c r="F963" s="10"/>
      <c r="G963" s="10"/>
      <c r="H963" s="10"/>
      <c r="I963" s="10"/>
      <c r="J963" s="10"/>
      <c r="K963" s="10"/>
    </row>
    <row r="964">
      <c r="A964" s="10" t="str">
        <f>IFNA(VLOOKUP(pts_sub!$A964,sub!$B$2:$E1000,4,FALSE),"")</f>
        <v/>
      </c>
      <c r="B964" s="10"/>
      <c r="C964" s="10"/>
      <c r="D964" s="10" t="str">
        <f>IFNA(VLOOKUP(pts_sub!$D964,FIX!$A$2:$D1000,4, FALSE),"")</f>
        <v/>
      </c>
      <c r="E964" s="10"/>
      <c r="F964" s="10"/>
      <c r="G964" s="10"/>
      <c r="H964" s="10"/>
      <c r="I964" s="10"/>
      <c r="J964" s="10"/>
      <c r="K964" s="10"/>
    </row>
    <row r="965">
      <c r="A965" s="10" t="str">
        <f>IFNA(VLOOKUP(pts_sub!$A965,sub!$B$2:$E1000,4,FALSE),"")</f>
        <v/>
      </c>
      <c r="B965" s="10"/>
      <c r="C965" s="10"/>
      <c r="D965" s="10" t="str">
        <f>IFNA(VLOOKUP(pts_sub!$D965,FIX!$A$2:$D1000,4, FALSE),"")</f>
        <v/>
      </c>
      <c r="E965" s="10"/>
      <c r="F965" s="10"/>
      <c r="G965" s="10"/>
      <c r="H965" s="10"/>
      <c r="I965" s="10"/>
      <c r="J965" s="10"/>
      <c r="K965" s="10"/>
    </row>
    <row r="966">
      <c r="A966" s="10" t="str">
        <f>IFNA(VLOOKUP(pts_sub!$A966,sub!$B$2:$E1000,4,FALSE),"")</f>
        <v/>
      </c>
      <c r="B966" s="10"/>
      <c r="C966" s="10"/>
      <c r="D966" s="10" t="str">
        <f>IFNA(VLOOKUP(pts_sub!$D966,FIX!$A$2:$D1000,4, FALSE),"")</f>
        <v/>
      </c>
      <c r="E966" s="10"/>
      <c r="F966" s="10"/>
      <c r="G966" s="10"/>
      <c r="H966" s="10"/>
      <c r="I966" s="10"/>
      <c r="J966" s="10"/>
      <c r="K966" s="10"/>
    </row>
    <row r="967">
      <c r="A967" s="10" t="str">
        <f>IFNA(VLOOKUP(pts_sub!$A967,sub!$B$2:$E1000,4,FALSE),"")</f>
        <v/>
      </c>
      <c r="B967" s="10"/>
      <c r="C967" s="10"/>
      <c r="D967" s="10" t="str">
        <f>IFNA(VLOOKUP(pts_sub!$D967,FIX!$A$2:$D1000,4, FALSE),"")</f>
        <v/>
      </c>
      <c r="E967" s="10"/>
      <c r="F967" s="10"/>
      <c r="G967" s="10"/>
      <c r="H967" s="10"/>
      <c r="I967" s="10"/>
      <c r="J967" s="10"/>
      <c r="K967" s="10"/>
    </row>
    <row r="968">
      <c r="A968" s="10" t="str">
        <f>IFNA(VLOOKUP(pts_sub!$A968,sub!$B$2:$E1000,4,FALSE),"")</f>
        <v/>
      </c>
      <c r="B968" s="10"/>
      <c r="C968" s="10"/>
      <c r="D968" s="10" t="str">
        <f>IFNA(VLOOKUP(pts_sub!$D968,FIX!$A$2:$D1000,4, FALSE),"")</f>
        <v/>
      </c>
      <c r="E968" s="10"/>
      <c r="F968" s="10"/>
      <c r="G968" s="10"/>
      <c r="H968" s="10"/>
      <c r="I968" s="10"/>
      <c r="J968" s="10"/>
      <c r="K968" s="10"/>
    </row>
    <row r="969">
      <c r="A969" s="10" t="str">
        <f>IFNA(VLOOKUP(pts_sub!$A969,sub!$B$2:$E1000,4,FALSE),"")</f>
        <v/>
      </c>
      <c r="B969" s="10"/>
      <c r="C969" s="10"/>
      <c r="D969" s="10" t="str">
        <f>IFNA(VLOOKUP(pts_sub!$D969,FIX!$A$2:$D1000,4, FALSE),"")</f>
        <v/>
      </c>
      <c r="E969" s="10"/>
      <c r="F969" s="10"/>
      <c r="G969" s="10"/>
      <c r="H969" s="10"/>
      <c r="I969" s="10"/>
      <c r="J969" s="10"/>
      <c r="K969" s="10"/>
    </row>
    <row r="970">
      <c r="A970" s="10" t="str">
        <f>IFNA(VLOOKUP(pts_sub!$A970,sub!$B$2:$E1000,4,FALSE),"")</f>
        <v/>
      </c>
      <c r="B970" s="10"/>
      <c r="C970" s="10"/>
      <c r="D970" s="10" t="str">
        <f>IFNA(VLOOKUP(pts_sub!$D970,FIX!$A$2:$D1000,4, FALSE),"")</f>
        <v/>
      </c>
      <c r="E970" s="10"/>
      <c r="F970" s="10"/>
      <c r="G970" s="10"/>
      <c r="H970" s="10"/>
      <c r="I970" s="10"/>
      <c r="J970" s="10"/>
      <c r="K970" s="10"/>
    </row>
    <row r="971">
      <c r="A971" s="10" t="str">
        <f>IFNA(VLOOKUP(pts_sub!$A971,sub!$B$2:$E1000,4,FALSE),"")</f>
        <v/>
      </c>
      <c r="B971" s="10"/>
      <c r="C971" s="10"/>
      <c r="D971" s="10" t="str">
        <f>IFNA(VLOOKUP(pts_sub!$D971,FIX!$A$2:$D1000,4, FALSE),"")</f>
        <v/>
      </c>
      <c r="E971" s="10"/>
      <c r="F971" s="10"/>
      <c r="G971" s="10"/>
      <c r="H971" s="10"/>
      <c r="I971" s="10"/>
      <c r="J971" s="10"/>
      <c r="K971" s="10"/>
    </row>
    <row r="972">
      <c r="A972" s="10" t="str">
        <f>IFNA(VLOOKUP(pts_sub!$A972,sub!$B$2:$E1000,4,FALSE),"")</f>
        <v/>
      </c>
      <c r="B972" s="10"/>
      <c r="C972" s="10"/>
      <c r="D972" s="10" t="str">
        <f>IFNA(VLOOKUP(pts_sub!$D972,FIX!$A$2:$D1000,4, FALSE),"")</f>
        <v/>
      </c>
      <c r="E972" s="10"/>
      <c r="F972" s="10"/>
      <c r="G972" s="10"/>
      <c r="H972" s="10"/>
      <c r="I972" s="10"/>
      <c r="J972" s="10"/>
      <c r="K972" s="10"/>
    </row>
    <row r="973">
      <c r="A973" s="10" t="str">
        <f>IFNA(VLOOKUP(pts_sub!$A973,sub!$B$2:$E1000,4,FALSE),"")</f>
        <v/>
      </c>
      <c r="B973" s="10"/>
      <c r="C973" s="10"/>
      <c r="D973" s="10" t="str">
        <f>IFNA(VLOOKUP(pts_sub!$D973,FIX!$A$2:$D1000,4, FALSE),"")</f>
        <v/>
      </c>
      <c r="E973" s="10"/>
      <c r="F973" s="10"/>
      <c r="G973" s="10"/>
      <c r="H973" s="10"/>
      <c r="I973" s="10"/>
      <c r="J973" s="10"/>
      <c r="K973" s="10"/>
    </row>
    <row r="974">
      <c r="A974" s="10" t="str">
        <f>IFNA(VLOOKUP(pts_sub!$A974,sub!$B$2:$E1000,4,FALSE),"")</f>
        <v/>
      </c>
      <c r="B974" s="10"/>
      <c r="C974" s="10"/>
      <c r="D974" s="10" t="str">
        <f>IFNA(VLOOKUP(pts_sub!$D974,FIX!$A$2:$D1000,4, FALSE),"")</f>
        <v/>
      </c>
      <c r="E974" s="10"/>
      <c r="F974" s="10"/>
      <c r="G974" s="10"/>
      <c r="H974" s="10"/>
      <c r="I974" s="10"/>
      <c r="J974" s="10"/>
      <c r="K974" s="10"/>
    </row>
    <row r="975">
      <c r="A975" s="10" t="str">
        <f>IFNA(VLOOKUP(pts_sub!$A975,sub!$B$2:$E1000,4,FALSE),"")</f>
        <v/>
      </c>
      <c r="B975" s="10"/>
      <c r="C975" s="10"/>
      <c r="D975" s="10" t="str">
        <f>IFNA(VLOOKUP(pts_sub!$D975,FIX!$A$2:$D1000,4, FALSE),"")</f>
        <v/>
      </c>
      <c r="E975" s="10"/>
      <c r="F975" s="10"/>
      <c r="G975" s="10"/>
      <c r="H975" s="10"/>
      <c r="I975" s="10"/>
      <c r="J975" s="10"/>
      <c r="K975" s="10"/>
    </row>
    <row r="976">
      <c r="A976" s="10" t="str">
        <f>IFNA(VLOOKUP(pts_sub!$A976,sub!$B$2:$E1000,4,FALSE),"")</f>
        <v/>
      </c>
      <c r="B976" s="10"/>
      <c r="C976" s="10"/>
      <c r="D976" s="10" t="str">
        <f>IFNA(VLOOKUP(pts_sub!$D976,FIX!$A$2:$D1000,4, FALSE),"")</f>
        <v/>
      </c>
      <c r="E976" s="10"/>
      <c r="F976" s="10"/>
      <c r="G976" s="10"/>
      <c r="H976" s="10"/>
      <c r="I976" s="10"/>
      <c r="J976" s="10"/>
      <c r="K976" s="10"/>
    </row>
    <row r="977">
      <c r="A977" s="10" t="str">
        <f>IFNA(VLOOKUP(pts_sub!$A977,sub!$B$2:$E1000,4,FALSE),"")</f>
        <v/>
      </c>
      <c r="B977" s="10"/>
      <c r="C977" s="10"/>
      <c r="D977" s="10" t="str">
        <f>IFNA(VLOOKUP(pts_sub!$D977,FIX!$A$2:$D1000,4, FALSE),"")</f>
        <v/>
      </c>
      <c r="E977" s="10"/>
      <c r="F977" s="10"/>
      <c r="G977" s="10"/>
      <c r="H977" s="10"/>
      <c r="I977" s="10"/>
      <c r="J977" s="10"/>
      <c r="K977" s="10"/>
    </row>
    <row r="978">
      <c r="A978" s="10" t="str">
        <f>IFNA(VLOOKUP(pts_sub!$A978,sub!$B$2:$E1000,4,FALSE),"")</f>
        <v/>
      </c>
      <c r="B978" s="10"/>
      <c r="C978" s="10"/>
      <c r="D978" s="10" t="str">
        <f>IFNA(VLOOKUP(pts_sub!$D978,FIX!$A$2:$D1000,4, FALSE),"")</f>
        <v/>
      </c>
      <c r="E978" s="10"/>
      <c r="F978" s="10"/>
      <c r="G978" s="10"/>
      <c r="H978" s="10"/>
      <c r="I978" s="10"/>
      <c r="J978" s="10"/>
      <c r="K978" s="10"/>
    </row>
    <row r="979">
      <c r="A979" s="10" t="str">
        <f>IFNA(VLOOKUP(pts_sub!$A979,sub!$B$2:$E1000,4,FALSE),"")</f>
        <v/>
      </c>
      <c r="B979" s="10"/>
      <c r="C979" s="10"/>
      <c r="D979" s="10" t="str">
        <f>IFNA(VLOOKUP(pts_sub!$D979,FIX!$A$2:$D1000,4, FALSE),"")</f>
        <v/>
      </c>
      <c r="E979" s="10"/>
      <c r="F979" s="10"/>
      <c r="G979" s="10"/>
      <c r="H979" s="10"/>
      <c r="I979" s="10"/>
      <c r="J979" s="10"/>
      <c r="K979" s="10"/>
    </row>
    <row r="980">
      <c r="A980" s="10" t="str">
        <f>IFNA(VLOOKUP(pts_sub!$A980,sub!$B$2:$E1000,4,FALSE),"")</f>
        <v/>
      </c>
      <c r="B980" s="10"/>
      <c r="C980" s="10"/>
      <c r="D980" s="10" t="str">
        <f>IFNA(VLOOKUP(pts_sub!$D980,FIX!$A$2:$D1000,4, FALSE),"")</f>
        <v/>
      </c>
      <c r="E980" s="10"/>
      <c r="F980" s="10"/>
      <c r="G980" s="10"/>
      <c r="H980" s="10"/>
      <c r="I980" s="10"/>
      <c r="J980" s="10"/>
      <c r="K980" s="10"/>
    </row>
    <row r="981">
      <c r="A981" s="10" t="str">
        <f>IFNA(VLOOKUP(pts_sub!$A981,sub!$B$2:$E1000,4,FALSE),"")</f>
        <v/>
      </c>
      <c r="B981" s="10"/>
      <c r="C981" s="10"/>
      <c r="D981" s="10" t="str">
        <f>IFNA(VLOOKUP(pts_sub!$D981,FIX!$A$2:$D1000,4, FALSE),"")</f>
        <v/>
      </c>
      <c r="E981" s="10"/>
      <c r="F981" s="10"/>
      <c r="G981" s="10"/>
      <c r="H981" s="10"/>
      <c r="I981" s="10"/>
      <c r="J981" s="10"/>
      <c r="K981" s="10"/>
    </row>
    <row r="982">
      <c r="A982" s="10" t="str">
        <f>IFNA(VLOOKUP(pts_sub!$A982,sub!$B$2:$E1000,4,FALSE),"")</f>
        <v/>
      </c>
      <c r="B982" s="10"/>
      <c r="C982" s="10"/>
      <c r="D982" s="10" t="str">
        <f>IFNA(VLOOKUP(pts_sub!$D982,FIX!$A$2:$D1000,4, FALSE),"")</f>
        <v/>
      </c>
      <c r="E982" s="10"/>
      <c r="F982" s="10"/>
      <c r="G982" s="10"/>
      <c r="H982" s="10"/>
      <c r="I982" s="10"/>
      <c r="J982" s="10"/>
      <c r="K982" s="10"/>
    </row>
    <row r="983">
      <c r="A983" s="10" t="str">
        <f>IFNA(VLOOKUP(pts_sub!$A983,sub!$B$2:$E1000,4,FALSE),"")</f>
        <v/>
      </c>
      <c r="B983" s="10"/>
      <c r="C983" s="10"/>
      <c r="D983" s="10" t="str">
        <f>IFNA(VLOOKUP(pts_sub!$D983,FIX!$A$2:$D1000,4, FALSE),"")</f>
        <v/>
      </c>
      <c r="E983" s="10"/>
      <c r="F983" s="10"/>
      <c r="G983" s="10"/>
      <c r="H983" s="10"/>
      <c r="I983" s="10"/>
      <c r="J983" s="10"/>
      <c r="K983" s="10"/>
    </row>
    <row r="984">
      <c r="A984" s="10" t="str">
        <f>IFNA(VLOOKUP(pts_sub!$A984,sub!$B$2:$E1000,4,FALSE),"")</f>
        <v/>
      </c>
      <c r="B984" s="10"/>
      <c r="C984" s="10"/>
      <c r="D984" s="10" t="str">
        <f>IFNA(VLOOKUP(pts_sub!$D984,FIX!$A$2:$D1000,4, FALSE),"")</f>
        <v/>
      </c>
      <c r="E984" s="10"/>
      <c r="F984" s="10"/>
      <c r="G984" s="10"/>
      <c r="H984" s="10"/>
      <c r="I984" s="10"/>
      <c r="J984" s="10"/>
      <c r="K984" s="10"/>
    </row>
    <row r="985">
      <c r="A985" s="10" t="str">
        <f>IFNA(VLOOKUP(pts_sub!$A985,sub!$B$2:$E1000,4,FALSE),"")</f>
        <v/>
      </c>
      <c r="B985" s="10"/>
      <c r="C985" s="10"/>
      <c r="D985" s="10" t="str">
        <f>IFNA(VLOOKUP(pts_sub!$D985,FIX!$A$2:$D1000,4, FALSE),"")</f>
        <v/>
      </c>
      <c r="E985" s="10"/>
      <c r="F985" s="10"/>
      <c r="G985" s="10"/>
      <c r="H985" s="10"/>
      <c r="I985" s="10"/>
      <c r="J985" s="10"/>
      <c r="K985" s="10"/>
    </row>
    <row r="986">
      <c r="A986" s="10" t="str">
        <f>IFNA(VLOOKUP(pts_sub!$A986,sub!$B$2:$E1000,4,FALSE),"")</f>
        <v/>
      </c>
      <c r="B986" s="10"/>
      <c r="C986" s="10"/>
      <c r="D986" s="10" t="str">
        <f>IFNA(VLOOKUP(pts_sub!$D986,FIX!$A$2:$D1000,4, FALSE),"")</f>
        <v/>
      </c>
      <c r="E986" s="10"/>
      <c r="F986" s="10"/>
      <c r="G986" s="10"/>
      <c r="H986" s="10"/>
      <c r="I986" s="10"/>
      <c r="J986" s="10"/>
      <c r="K986" s="10"/>
    </row>
    <row r="987">
      <c r="A987" s="10" t="str">
        <f>IFNA(VLOOKUP(pts_sub!$A987,sub!$B$2:$E1000,4,FALSE),"")</f>
        <v/>
      </c>
      <c r="B987" s="10"/>
      <c r="C987" s="10"/>
      <c r="D987" s="10" t="str">
        <f>IFNA(VLOOKUP(pts_sub!$D987,FIX!$A$2:$D1000,4, FALSE),"")</f>
        <v/>
      </c>
      <c r="E987" s="10"/>
      <c r="F987" s="10"/>
      <c r="G987" s="10"/>
      <c r="H987" s="10"/>
      <c r="I987" s="10"/>
      <c r="J987" s="10"/>
      <c r="K987" s="10"/>
    </row>
    <row r="988">
      <c r="A988" s="10" t="str">
        <f>IFNA(VLOOKUP(pts_sub!$A988,sub!$B$2:$E1000,4,FALSE),"")</f>
        <v/>
      </c>
      <c r="B988" s="10"/>
      <c r="C988" s="10"/>
      <c r="D988" s="10" t="str">
        <f>IFNA(VLOOKUP(pts_sub!$D988,FIX!$A$2:$D1000,4, FALSE),"")</f>
        <v/>
      </c>
      <c r="E988" s="10"/>
      <c r="F988" s="10"/>
      <c r="G988" s="10"/>
      <c r="H988" s="10"/>
      <c r="I988" s="10"/>
      <c r="J988" s="10"/>
      <c r="K988" s="10"/>
    </row>
    <row r="989">
      <c r="A989" s="10" t="str">
        <f>IFNA(VLOOKUP(pts_sub!$A989,sub!$B$2:$E1000,4,FALSE),"")</f>
        <v/>
      </c>
      <c r="B989" s="10"/>
      <c r="C989" s="10"/>
      <c r="D989" s="10" t="str">
        <f>IFNA(VLOOKUP(pts_sub!$D989,FIX!$A$2:$D1000,4, FALSE),"")</f>
        <v/>
      </c>
      <c r="E989" s="10"/>
      <c r="F989" s="10"/>
      <c r="G989" s="10"/>
      <c r="H989" s="10"/>
      <c r="I989" s="10"/>
      <c r="J989" s="10"/>
      <c r="K989" s="10"/>
    </row>
    <row r="990">
      <c r="A990" s="10" t="str">
        <f>IFNA(VLOOKUP(pts_sub!$A990,sub!$B$2:$E1000,4,FALSE),"")</f>
        <v/>
      </c>
      <c r="B990" s="10"/>
      <c r="C990" s="10"/>
      <c r="D990" s="10" t="str">
        <f>IFNA(VLOOKUP(pts_sub!$D990,FIX!$A$2:$D1000,4, FALSE),"")</f>
        <v/>
      </c>
      <c r="E990" s="10"/>
      <c r="F990" s="10"/>
      <c r="G990" s="10"/>
      <c r="H990" s="10"/>
      <c r="I990" s="10"/>
      <c r="J990" s="10"/>
      <c r="K990" s="10"/>
    </row>
    <row r="991">
      <c r="A991" s="10" t="str">
        <f>IFNA(VLOOKUP(pts_sub!$A991,sub!$B$2:$E1000,4,FALSE),"")</f>
        <v/>
      </c>
      <c r="B991" s="10"/>
      <c r="C991" s="10"/>
      <c r="D991" s="10" t="str">
        <f>IFNA(VLOOKUP(pts_sub!$D991,FIX!$A$2:$D1000,4, FALSE),"")</f>
        <v/>
      </c>
      <c r="E991" s="10"/>
      <c r="F991" s="10"/>
      <c r="G991" s="10"/>
      <c r="H991" s="10"/>
      <c r="I991" s="10"/>
      <c r="J991" s="10"/>
      <c r="K991" s="10"/>
    </row>
    <row r="992">
      <c r="A992" s="10" t="str">
        <f>IFNA(VLOOKUP(pts_sub!$A992,sub!$B$2:$E1000,4,FALSE),"")</f>
        <v/>
      </c>
      <c r="B992" s="10"/>
      <c r="C992" s="10"/>
      <c r="D992" s="10" t="str">
        <f>IFNA(VLOOKUP(pts_sub!$D992,FIX!$A$2:$D1000,4, FALSE),"")</f>
        <v/>
      </c>
      <c r="E992" s="10"/>
      <c r="F992" s="10"/>
      <c r="G992" s="10"/>
      <c r="H992" s="10"/>
      <c r="I992" s="10"/>
      <c r="J992" s="10"/>
      <c r="K992" s="10"/>
    </row>
    <row r="993">
      <c r="A993" s="10" t="str">
        <f>IFNA(VLOOKUP(pts_sub!$A993,sub!$B$2:$E1000,4,FALSE),"")</f>
        <v/>
      </c>
      <c r="B993" s="10"/>
      <c r="C993" s="10"/>
      <c r="D993" s="10" t="str">
        <f>IFNA(VLOOKUP(pts_sub!$D993,FIX!$A$2:$D1000,4, FALSE),"")</f>
        <v/>
      </c>
      <c r="E993" s="10"/>
      <c r="F993" s="10"/>
      <c r="G993" s="10"/>
      <c r="H993" s="10"/>
      <c r="I993" s="10"/>
      <c r="J993" s="10"/>
      <c r="K993" s="10"/>
    </row>
    <row r="994">
      <c r="A994" s="10" t="str">
        <f>IFNA(VLOOKUP(pts_sub!$A994,sub!$B$2:$E1000,4,FALSE),"")</f>
        <v/>
      </c>
      <c r="B994" s="10"/>
      <c r="C994" s="10"/>
      <c r="D994" s="10" t="str">
        <f>IFNA(VLOOKUP(pts_sub!$D994,FIX!$A$2:$D1000,4, FALSE),"")</f>
        <v/>
      </c>
      <c r="E994" s="10"/>
      <c r="F994" s="10"/>
      <c r="G994" s="10"/>
      <c r="H994" s="10"/>
      <c r="I994" s="10"/>
      <c r="J994" s="10"/>
      <c r="K994" s="10"/>
    </row>
    <row r="995">
      <c r="A995" s="10" t="str">
        <f>IFNA(VLOOKUP(pts_sub!$A995,sub!$B$2:$E1000,4,FALSE),"")</f>
        <v/>
      </c>
      <c r="B995" s="10"/>
      <c r="C995" s="10"/>
      <c r="D995" s="10" t="str">
        <f>IFNA(VLOOKUP(pts_sub!$D995,FIX!$A$2:$D1000,4, FALSE),"")</f>
        <v/>
      </c>
      <c r="E995" s="10"/>
      <c r="F995" s="10"/>
      <c r="G995" s="10"/>
      <c r="H995" s="10"/>
      <c r="I995" s="10"/>
      <c r="J995" s="10"/>
      <c r="K995" s="10"/>
    </row>
    <row r="996">
      <c r="A996" s="10" t="str">
        <f>IFNA(VLOOKUP(pts_sub!$A996,sub!$B$2:$E1000,4,FALSE),"")</f>
        <v/>
      </c>
      <c r="B996" s="10"/>
      <c r="C996" s="10"/>
      <c r="D996" s="10" t="str">
        <f>IFNA(VLOOKUP(pts_sub!$D996,FIX!$A$2:$D1000,4, FALSE),"")</f>
        <v/>
      </c>
      <c r="E996" s="10"/>
      <c r="F996" s="10"/>
      <c r="G996" s="10"/>
      <c r="H996" s="10"/>
      <c r="I996" s="10"/>
      <c r="J996" s="10"/>
      <c r="K996" s="10"/>
    </row>
    <row r="997">
      <c r="A997" s="10" t="str">
        <f>IFNA(VLOOKUP(pts_sub!$A997,sub!$B$2:$E1000,4,FALSE),"")</f>
        <v/>
      </c>
      <c r="B997" s="10"/>
      <c r="C997" s="10"/>
      <c r="D997" s="10" t="str">
        <f>IFNA(VLOOKUP(pts_sub!$D997,FIX!$A$2:$D1000,4, FALSE),"")</f>
        <v/>
      </c>
      <c r="E997" s="10"/>
      <c r="F997" s="10"/>
      <c r="G997" s="10"/>
      <c r="H997" s="10"/>
      <c r="I997" s="10"/>
      <c r="J997" s="10"/>
      <c r="K997" s="10"/>
    </row>
    <row r="998">
      <c r="A998" s="10" t="str">
        <f>IFNA(VLOOKUP(pts_sub!$A998,sub!$B$2:$E1000,4,FALSE),"")</f>
        <v/>
      </c>
      <c r="B998" s="10"/>
      <c r="C998" s="10"/>
      <c r="D998" s="10" t="str">
        <f>IFNA(VLOOKUP(pts_sub!$D998,FIX!$A$2:$D1000,4, FALSE),"")</f>
        <v/>
      </c>
      <c r="E998" s="10"/>
      <c r="F998" s="10"/>
      <c r="G998" s="10"/>
      <c r="H998" s="10"/>
      <c r="I998" s="10"/>
      <c r="J998" s="10"/>
      <c r="K998" s="10"/>
    </row>
    <row r="999">
      <c r="A999" s="10" t="str">
        <f>IFNA(VLOOKUP(pts_sub!$A999,sub!$B$2:$E1000,4,FALSE),"")</f>
        <v/>
      </c>
      <c r="B999" s="10"/>
      <c r="C999" s="10"/>
      <c r="D999" s="10" t="str">
        <f>IFNA(VLOOKUP(pts_sub!$D999,FIX!$A$2:$D1000,4, FALSE),"")</f>
        <v/>
      </c>
      <c r="E999" s="10"/>
      <c r="F999" s="10"/>
      <c r="G999" s="10"/>
      <c r="H999" s="10"/>
      <c r="I999" s="10"/>
      <c r="J999" s="10"/>
      <c r="K999" s="10"/>
    </row>
    <row r="1000">
      <c r="A1000" s="10" t="str">
        <f>IFNA(VLOOKUP(pts_sub!$A1000,sub!$B$2:$E1000,4,FALSE),"")</f>
        <v/>
      </c>
      <c r="B1000" s="10"/>
      <c r="C1000" s="10"/>
      <c r="D1000" s="10" t="str">
        <f>IFNA(VLOOKUP(pts_sub!$D1000,FIX!$A$2:$D1000,4, FALSE),"")</f>
        <v/>
      </c>
      <c r="E1000" s="10"/>
      <c r="F1000" s="10"/>
      <c r="G1000" s="10"/>
      <c r="H1000" s="10"/>
      <c r="I1000" s="10"/>
      <c r="J1000" s="10"/>
      <c r="K1000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75"/>
    <col customWidth="1" min="3" max="3" width="15.5"/>
    <col customWidth="1" min="4" max="4" width="15.25"/>
    <col customWidth="1" min="5" max="5" width="14.0"/>
    <col customWidth="1" min="6" max="6" width="15.75"/>
  </cols>
  <sheetData>
    <row r="1">
      <c r="A1" s="1" t="s">
        <v>46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H1" s="11"/>
      <c r="M1" s="12"/>
    </row>
    <row r="2">
      <c r="A2" s="10" t="s">
        <v>84</v>
      </c>
      <c r="B2" s="10" t="s">
        <v>85</v>
      </c>
      <c r="C2" s="10" t="s">
        <v>86</v>
      </c>
      <c r="D2" s="13">
        <v>1.0</v>
      </c>
      <c r="E2" s="14" t="str">
        <f t="shared" ref="E2:E169" si="1">concatenate(RIGHT($G2,2),text($H2+$J2,"00.000"),LEFT($G2,1))</f>
        <v>1955.251S</v>
      </c>
      <c r="F2" s="14" t="str">
        <f t="shared" ref="F2:F169" si="2">concatenate(RIGHT($L2,3),text($M2+$O2,"00.000"),LEFT($L2,1))</f>
        <v>04439.147W</v>
      </c>
      <c r="G2" s="14" t="str">
        <f>IFERROR(__xludf.DUMMYFUNCTION("SPLIT($B2,"" "")"),"S19")</f>
        <v>S19</v>
      </c>
      <c r="H2" s="15">
        <f>IFERROR(__xludf.DUMMYFUNCTION("""COMPUTED_VALUE"""),55.0)</f>
        <v>55</v>
      </c>
      <c r="I2" s="16">
        <f>IFERROR(__xludf.DUMMYFUNCTION("""COMPUTED_VALUE"""),15.03)</f>
        <v>15.03</v>
      </c>
      <c r="J2" s="14" t="str">
        <f t="shared" ref="J2:J169" si="3">text(ROUND(I2/60,3),"0.000")</f>
        <v>0.251</v>
      </c>
      <c r="K2" s="14"/>
      <c r="L2" s="14" t="str">
        <f>IFERROR(__xludf.DUMMYFUNCTION("SPLIT($C2,"" "")"),"W044")</f>
        <v>W044</v>
      </c>
      <c r="M2" s="17">
        <f>IFERROR(__xludf.DUMMYFUNCTION("""COMPUTED_VALUE"""),39.0)</f>
        <v>39</v>
      </c>
      <c r="N2" s="16">
        <f>IFERROR(__xludf.DUMMYFUNCTION("""COMPUTED_VALUE"""),8.84)</f>
        <v>8.84</v>
      </c>
      <c r="O2" s="14" t="str">
        <f t="shared" ref="O2:O257" si="4">text(round(N2/60,3),"0.000")</f>
        <v>0.147</v>
      </c>
      <c r="P2" s="14"/>
      <c r="Q2" s="10">
        <f t="shared" ref="Q2:Q257" si="5">-1*(RIGHT(G2,2)+H2/60+INT(I2)/3600)</f>
        <v>-19.92083333</v>
      </c>
      <c r="R2" s="10">
        <f t="shared" ref="R2:R257" si="6">-1*(RIGHT(L2,3)+M2/60+int(N2)/3600)</f>
        <v>-44.65222222</v>
      </c>
    </row>
    <row r="3">
      <c r="A3" s="10" t="s">
        <v>74</v>
      </c>
      <c r="B3" s="10" t="s">
        <v>87</v>
      </c>
      <c r="C3" s="10" t="s">
        <v>88</v>
      </c>
      <c r="D3" s="13">
        <v>2.0</v>
      </c>
      <c r="E3" s="14" t="str">
        <f t="shared" si="1"/>
        <v>1944.173S</v>
      </c>
      <c r="F3" s="14" t="str">
        <f t="shared" si="2"/>
        <v>04413.606W</v>
      </c>
      <c r="G3" s="14" t="str">
        <f>IFERROR(__xludf.DUMMYFUNCTION("SPLIT($B3,"" "")"),"S19")</f>
        <v>S19</v>
      </c>
      <c r="H3" s="15">
        <f>IFERROR(__xludf.DUMMYFUNCTION("""COMPUTED_VALUE"""),44.0)</f>
        <v>44</v>
      </c>
      <c r="I3" s="16">
        <f>IFERROR(__xludf.DUMMYFUNCTION("""COMPUTED_VALUE"""),10.4)</f>
        <v>10.4</v>
      </c>
      <c r="J3" s="14" t="str">
        <f t="shared" si="3"/>
        <v>0.173</v>
      </c>
      <c r="K3" s="14"/>
      <c r="L3" s="14" t="str">
        <f>IFERROR(__xludf.DUMMYFUNCTION("SPLIT($C3,"" "")"),"W044")</f>
        <v>W044</v>
      </c>
      <c r="M3" s="17">
        <f>IFERROR(__xludf.DUMMYFUNCTION("""COMPUTED_VALUE"""),13.0)</f>
        <v>13</v>
      </c>
      <c r="N3" s="16">
        <f>IFERROR(__xludf.DUMMYFUNCTION("""COMPUTED_VALUE"""),36.38)</f>
        <v>36.38</v>
      </c>
      <c r="O3" s="14" t="str">
        <f t="shared" si="4"/>
        <v>0.606</v>
      </c>
      <c r="Q3" s="10">
        <f t="shared" si="5"/>
        <v>-19.73611111</v>
      </c>
      <c r="R3" s="10">
        <f t="shared" si="6"/>
        <v>-44.22666667</v>
      </c>
    </row>
    <row r="4">
      <c r="A4" s="10" t="s">
        <v>75</v>
      </c>
      <c r="B4" s="10" t="s">
        <v>89</v>
      </c>
      <c r="C4" s="10" t="s">
        <v>90</v>
      </c>
      <c r="D4" s="13">
        <v>3.0</v>
      </c>
      <c r="E4" s="14" t="str">
        <f t="shared" si="1"/>
        <v>1944.540S</v>
      </c>
      <c r="F4" s="14" t="str">
        <f t="shared" si="2"/>
        <v>04420.306W</v>
      </c>
      <c r="G4" s="14" t="str">
        <f>IFERROR(__xludf.DUMMYFUNCTION("SPLIT($B4,"" "")"),"S19")</f>
        <v>S19</v>
      </c>
      <c r="H4" s="15">
        <f>IFERROR(__xludf.DUMMYFUNCTION("""COMPUTED_VALUE"""),44.0)</f>
        <v>44</v>
      </c>
      <c r="I4" s="16">
        <f>IFERROR(__xludf.DUMMYFUNCTION("""COMPUTED_VALUE"""),32.37)</f>
        <v>32.37</v>
      </c>
      <c r="J4" s="14" t="str">
        <f t="shared" si="3"/>
        <v>0.540</v>
      </c>
      <c r="K4" s="14"/>
      <c r="L4" s="14" t="str">
        <f>IFERROR(__xludf.DUMMYFUNCTION("SPLIT($C4,"" "")"),"W044")</f>
        <v>W044</v>
      </c>
      <c r="M4" s="17">
        <f>IFERROR(__xludf.DUMMYFUNCTION("""COMPUTED_VALUE"""),20.0)</f>
        <v>20</v>
      </c>
      <c r="N4" s="16">
        <f>IFERROR(__xludf.DUMMYFUNCTION("""COMPUTED_VALUE"""),18.34)</f>
        <v>18.34</v>
      </c>
      <c r="O4" s="14" t="str">
        <f t="shared" si="4"/>
        <v>0.306</v>
      </c>
      <c r="Q4" s="10">
        <f t="shared" si="5"/>
        <v>-19.74222222</v>
      </c>
      <c r="R4" s="10">
        <f t="shared" si="6"/>
        <v>-44.33833333</v>
      </c>
    </row>
    <row r="5">
      <c r="A5" s="10" t="s">
        <v>91</v>
      </c>
      <c r="B5" s="10" t="s">
        <v>92</v>
      </c>
      <c r="C5" s="10" t="s">
        <v>93</v>
      </c>
      <c r="D5" s="13">
        <v>4.0</v>
      </c>
      <c r="E5" s="14" t="str">
        <f t="shared" si="1"/>
        <v>1956.714S</v>
      </c>
      <c r="F5" s="14" t="str">
        <f t="shared" si="2"/>
        <v>04342.163W</v>
      </c>
      <c r="G5" s="14" t="str">
        <f>IFERROR(__xludf.DUMMYFUNCTION("SPLIT($B5,"" "")"),"S19")</f>
        <v>S19</v>
      </c>
      <c r="H5" s="15">
        <f>IFERROR(__xludf.DUMMYFUNCTION("""COMPUTED_VALUE"""),56.0)</f>
        <v>56</v>
      </c>
      <c r="I5" s="16">
        <f>IFERROR(__xludf.DUMMYFUNCTION("""COMPUTED_VALUE"""),42.81)</f>
        <v>42.81</v>
      </c>
      <c r="J5" s="14" t="str">
        <f t="shared" si="3"/>
        <v>0.714</v>
      </c>
      <c r="K5" s="14"/>
      <c r="L5" s="14" t="str">
        <f>IFERROR(__xludf.DUMMYFUNCTION("SPLIT($C5,"" "")"),"W043")</f>
        <v>W043</v>
      </c>
      <c r="M5" s="17">
        <f>IFERROR(__xludf.DUMMYFUNCTION("""COMPUTED_VALUE"""),42.0)</f>
        <v>42</v>
      </c>
      <c r="N5" s="16">
        <f>IFERROR(__xludf.DUMMYFUNCTION("""COMPUTED_VALUE"""),9.79)</f>
        <v>9.79</v>
      </c>
      <c r="O5" s="14" t="str">
        <f t="shared" si="4"/>
        <v>0.163</v>
      </c>
      <c r="Q5" s="10">
        <f t="shared" si="5"/>
        <v>-19.945</v>
      </c>
      <c r="R5" s="10">
        <f t="shared" si="6"/>
        <v>-43.7025</v>
      </c>
    </row>
    <row r="6">
      <c r="A6" s="10" t="s">
        <v>94</v>
      </c>
      <c r="B6" s="10" t="s">
        <v>95</v>
      </c>
      <c r="C6" s="10" t="s">
        <v>96</v>
      </c>
      <c r="D6" s="13">
        <v>5.0</v>
      </c>
      <c r="E6" s="14" t="str">
        <f t="shared" si="1"/>
        <v>1957.307S</v>
      </c>
      <c r="F6" s="14" t="str">
        <f t="shared" si="2"/>
        <v>04330.843W</v>
      </c>
      <c r="G6" s="14" t="str">
        <f>IFERROR(__xludf.DUMMYFUNCTION("SPLIT($B6,"" "")"),"S19")</f>
        <v>S19</v>
      </c>
      <c r="H6" s="15">
        <f>IFERROR(__xludf.DUMMYFUNCTION("""COMPUTED_VALUE"""),57.0)</f>
        <v>57</v>
      </c>
      <c r="I6" s="16">
        <f>IFERROR(__xludf.DUMMYFUNCTION("""COMPUTED_VALUE"""),18.4)</f>
        <v>18.4</v>
      </c>
      <c r="J6" s="14" t="str">
        <f t="shared" si="3"/>
        <v>0.307</v>
      </c>
      <c r="K6" s="14"/>
      <c r="L6" s="14" t="str">
        <f>IFERROR(__xludf.DUMMYFUNCTION("SPLIT($C6,"" "")"),"W043")</f>
        <v>W043</v>
      </c>
      <c r="M6" s="17">
        <f>IFERROR(__xludf.DUMMYFUNCTION("""COMPUTED_VALUE"""),30.0)</f>
        <v>30</v>
      </c>
      <c r="N6" s="16">
        <f>IFERROR(__xludf.DUMMYFUNCTION("""COMPUTED_VALUE"""),50.6)</f>
        <v>50.6</v>
      </c>
      <c r="O6" s="14" t="str">
        <f t="shared" si="4"/>
        <v>0.843</v>
      </c>
      <c r="Q6" s="10">
        <f t="shared" si="5"/>
        <v>-19.955</v>
      </c>
      <c r="R6" s="10">
        <f t="shared" si="6"/>
        <v>-43.51388889</v>
      </c>
    </row>
    <row r="7">
      <c r="A7" s="10" t="s">
        <v>97</v>
      </c>
      <c r="B7" s="10" t="s">
        <v>98</v>
      </c>
      <c r="C7" s="10" t="s">
        <v>99</v>
      </c>
      <c r="D7" s="13">
        <v>6.0</v>
      </c>
      <c r="E7" s="14" t="str">
        <f t="shared" si="1"/>
        <v>1958.459S</v>
      </c>
      <c r="F7" s="14" t="str">
        <f t="shared" si="2"/>
        <v>04308.121W</v>
      </c>
      <c r="G7" s="14" t="str">
        <f>IFERROR(__xludf.DUMMYFUNCTION("SPLIT($B7,"" "")"),"S19")</f>
        <v>S19</v>
      </c>
      <c r="H7" s="15">
        <f>IFERROR(__xludf.DUMMYFUNCTION("""COMPUTED_VALUE"""),58.0)</f>
        <v>58</v>
      </c>
      <c r="I7" s="16">
        <f>IFERROR(__xludf.DUMMYFUNCTION("""COMPUTED_VALUE"""),27.56)</f>
        <v>27.56</v>
      </c>
      <c r="J7" s="14" t="str">
        <f t="shared" si="3"/>
        <v>0.459</v>
      </c>
      <c r="K7" s="14"/>
      <c r="L7" s="14" t="str">
        <f>IFERROR(__xludf.DUMMYFUNCTION("SPLIT($C7,"" "")"),"W043")</f>
        <v>W043</v>
      </c>
      <c r="M7" s="17">
        <f>IFERROR(__xludf.DUMMYFUNCTION("""COMPUTED_VALUE"""),8.0)</f>
        <v>8</v>
      </c>
      <c r="N7" s="16">
        <f>IFERROR(__xludf.DUMMYFUNCTION("""COMPUTED_VALUE"""),7.27)</f>
        <v>7.27</v>
      </c>
      <c r="O7" s="14" t="str">
        <f t="shared" si="4"/>
        <v>0.121</v>
      </c>
      <c r="Q7" s="10">
        <f t="shared" si="5"/>
        <v>-19.97416667</v>
      </c>
      <c r="R7" s="10">
        <f t="shared" si="6"/>
        <v>-43.13527778</v>
      </c>
    </row>
    <row r="8">
      <c r="A8" s="10" t="s">
        <v>100</v>
      </c>
      <c r="B8" s="10" t="s">
        <v>101</v>
      </c>
      <c r="C8" s="10" t="s">
        <v>102</v>
      </c>
      <c r="D8" s="13">
        <v>7.0</v>
      </c>
      <c r="E8" s="14" t="str">
        <f t="shared" si="1"/>
        <v>2001.108S</v>
      </c>
      <c r="F8" s="14" t="str">
        <f t="shared" si="2"/>
        <v>04407.751W</v>
      </c>
      <c r="G8" s="14" t="str">
        <f>IFERROR(__xludf.DUMMYFUNCTION("SPLIT($B8,"" "")"),"S20")</f>
        <v>S20</v>
      </c>
      <c r="H8" s="15">
        <f>IFERROR(__xludf.DUMMYFUNCTION("""COMPUTED_VALUE"""),1.0)</f>
        <v>1</v>
      </c>
      <c r="I8" s="16">
        <f>IFERROR(__xludf.DUMMYFUNCTION("""COMPUTED_VALUE"""),6.5)</f>
        <v>6.5</v>
      </c>
      <c r="J8" s="14" t="str">
        <f t="shared" si="3"/>
        <v>0.108</v>
      </c>
      <c r="K8" s="14"/>
      <c r="L8" s="14" t="str">
        <f>IFERROR(__xludf.DUMMYFUNCTION("SPLIT($C8,"" "")"),"W044")</f>
        <v>W044</v>
      </c>
      <c r="M8" s="17">
        <f>IFERROR(__xludf.DUMMYFUNCTION("""COMPUTED_VALUE"""),7.0)</f>
        <v>7</v>
      </c>
      <c r="N8" s="16">
        <f>IFERROR(__xludf.DUMMYFUNCTION("""COMPUTED_VALUE"""),45.04)</f>
        <v>45.04</v>
      </c>
      <c r="O8" s="14" t="str">
        <f t="shared" si="4"/>
        <v>0.751</v>
      </c>
      <c r="Q8" s="10">
        <f t="shared" si="5"/>
        <v>-20.01833333</v>
      </c>
      <c r="R8" s="10">
        <f t="shared" si="6"/>
        <v>-44.12916667</v>
      </c>
    </row>
    <row r="9">
      <c r="A9" s="10" t="s">
        <v>103</v>
      </c>
      <c r="B9" s="10" t="s">
        <v>104</v>
      </c>
      <c r="C9" s="10" t="s">
        <v>105</v>
      </c>
      <c r="D9" s="13">
        <v>8.0</v>
      </c>
      <c r="E9" s="14" t="str">
        <f t="shared" si="1"/>
        <v>1852.481S</v>
      </c>
      <c r="F9" s="14" t="str">
        <f t="shared" si="2"/>
        <v>04358.475W</v>
      </c>
      <c r="G9" s="14" t="str">
        <f>IFERROR(__xludf.DUMMYFUNCTION("SPLIT($B9,"" "")"),"S18")</f>
        <v>S18</v>
      </c>
      <c r="H9" s="15">
        <f>IFERROR(__xludf.DUMMYFUNCTION("""COMPUTED_VALUE"""),52.0)</f>
        <v>52</v>
      </c>
      <c r="I9" s="16">
        <f>IFERROR(__xludf.DUMMYFUNCTION("""COMPUTED_VALUE"""),28.86)</f>
        <v>28.86</v>
      </c>
      <c r="J9" s="14" t="str">
        <f t="shared" si="3"/>
        <v>0.481</v>
      </c>
      <c r="K9" s="14"/>
      <c r="L9" s="14" t="str">
        <f>IFERROR(__xludf.DUMMYFUNCTION("SPLIT($C9,"" "")"),"W043")</f>
        <v>W043</v>
      </c>
      <c r="M9" s="17">
        <f>IFERROR(__xludf.DUMMYFUNCTION("""COMPUTED_VALUE"""),58.0)</f>
        <v>58</v>
      </c>
      <c r="N9" s="16">
        <f>IFERROR(__xludf.DUMMYFUNCTION("""COMPUTED_VALUE"""),28.48)</f>
        <v>28.48</v>
      </c>
      <c r="O9" s="14" t="str">
        <f t="shared" si="4"/>
        <v>0.475</v>
      </c>
      <c r="Q9" s="10">
        <f t="shared" si="5"/>
        <v>-18.87444444</v>
      </c>
      <c r="R9" s="10">
        <f t="shared" si="6"/>
        <v>-43.97444444</v>
      </c>
    </row>
    <row r="10">
      <c r="A10" s="10" t="s">
        <v>106</v>
      </c>
      <c r="B10" s="10" t="s">
        <v>107</v>
      </c>
      <c r="C10" s="10" t="s">
        <v>108</v>
      </c>
      <c r="D10" s="13">
        <v>9.0</v>
      </c>
      <c r="E10" s="14" t="str">
        <f t="shared" si="1"/>
        <v>1957.260S</v>
      </c>
      <c r="F10" s="14" t="str">
        <f t="shared" si="2"/>
        <v>04357.554W</v>
      </c>
      <c r="G10" s="14" t="str">
        <f>IFERROR(__xludf.DUMMYFUNCTION("SPLIT($B10,"" "")"),"S19")</f>
        <v>S19</v>
      </c>
      <c r="H10" s="15">
        <f>IFERROR(__xludf.DUMMYFUNCTION("""COMPUTED_VALUE"""),57.0)</f>
        <v>57</v>
      </c>
      <c r="I10" s="16">
        <f>IFERROR(__xludf.DUMMYFUNCTION("""COMPUTED_VALUE"""),15.62)</f>
        <v>15.62</v>
      </c>
      <c r="J10" s="14" t="str">
        <f t="shared" si="3"/>
        <v>0.260</v>
      </c>
      <c r="K10" s="14"/>
      <c r="L10" s="14" t="str">
        <f>IFERROR(__xludf.DUMMYFUNCTION("SPLIT($C10,"" "")"),"W043")</f>
        <v>W043</v>
      </c>
      <c r="M10" s="17">
        <f>IFERROR(__xludf.DUMMYFUNCTION("""COMPUTED_VALUE"""),57.0)</f>
        <v>57</v>
      </c>
      <c r="N10" s="16">
        <f>IFERROR(__xludf.DUMMYFUNCTION("""COMPUTED_VALUE"""),33.24)</f>
        <v>33.24</v>
      </c>
      <c r="O10" s="14" t="str">
        <f t="shared" si="4"/>
        <v>0.554</v>
      </c>
      <c r="Q10" s="10">
        <f t="shared" si="5"/>
        <v>-19.95416667</v>
      </c>
      <c r="R10" s="10">
        <f t="shared" si="6"/>
        <v>-43.95916667</v>
      </c>
    </row>
    <row r="11">
      <c r="A11" s="10" t="s">
        <v>109</v>
      </c>
      <c r="B11" s="10" t="s">
        <v>110</v>
      </c>
      <c r="C11" s="10" t="s">
        <v>111</v>
      </c>
      <c r="D11" s="13">
        <v>10.0</v>
      </c>
      <c r="E11" s="14" t="str">
        <f t="shared" si="1"/>
        <v>1912.013S</v>
      </c>
      <c r="F11" s="14" t="str">
        <f t="shared" si="2"/>
        <v>04319.230W</v>
      </c>
      <c r="G11" s="14" t="str">
        <f>IFERROR(__xludf.DUMMYFUNCTION("SPLIT($B11,"" "")"),"S19")</f>
        <v>S19</v>
      </c>
      <c r="H11" s="15">
        <f>IFERROR(__xludf.DUMMYFUNCTION("""COMPUTED_VALUE"""),12.0)</f>
        <v>12</v>
      </c>
      <c r="I11" s="16">
        <f>IFERROR(__xludf.DUMMYFUNCTION("""COMPUTED_VALUE"""),0.79)</f>
        <v>0.79</v>
      </c>
      <c r="J11" s="14" t="str">
        <f t="shared" si="3"/>
        <v>0.013</v>
      </c>
      <c r="K11" s="14"/>
      <c r="L11" s="14" t="str">
        <f>IFERROR(__xludf.DUMMYFUNCTION("SPLIT($C11,"" "")"),"W043")</f>
        <v>W043</v>
      </c>
      <c r="M11" s="17">
        <f>IFERROR(__xludf.DUMMYFUNCTION("""COMPUTED_VALUE"""),19.0)</f>
        <v>19</v>
      </c>
      <c r="N11" s="16">
        <f>IFERROR(__xludf.DUMMYFUNCTION("""COMPUTED_VALUE"""),13.79)</f>
        <v>13.79</v>
      </c>
      <c r="O11" s="14" t="str">
        <f t="shared" si="4"/>
        <v>0.230</v>
      </c>
      <c r="Q11" s="10">
        <f t="shared" si="5"/>
        <v>-19.2</v>
      </c>
      <c r="R11" s="10">
        <f t="shared" si="6"/>
        <v>-43.32027778</v>
      </c>
    </row>
    <row r="12">
      <c r="A12" s="10" t="s">
        <v>112</v>
      </c>
      <c r="B12" s="10" t="s">
        <v>113</v>
      </c>
      <c r="C12" s="10" t="s">
        <v>114</v>
      </c>
      <c r="D12" s="13">
        <v>11.0</v>
      </c>
      <c r="E12" s="14" t="str">
        <f t="shared" si="1"/>
        <v>2016.555S</v>
      </c>
      <c r="F12" s="14" t="str">
        <f t="shared" si="2"/>
        <v>04347.451W</v>
      </c>
      <c r="G12" s="14" t="str">
        <f>IFERROR(__xludf.DUMMYFUNCTION("SPLIT($B12,"" "")"),"S20")</f>
        <v>S20</v>
      </c>
      <c r="H12" s="15">
        <f>IFERROR(__xludf.DUMMYFUNCTION("""COMPUTED_VALUE"""),16.0)</f>
        <v>16</v>
      </c>
      <c r="I12" s="16">
        <f>IFERROR(__xludf.DUMMYFUNCTION("""COMPUTED_VALUE"""),33.27)</f>
        <v>33.27</v>
      </c>
      <c r="J12" s="14" t="str">
        <f t="shared" si="3"/>
        <v>0.555</v>
      </c>
      <c r="K12" s="14"/>
      <c r="L12" s="14" t="str">
        <f>IFERROR(__xludf.DUMMYFUNCTION("SPLIT($C12,"" "")"),"W043")</f>
        <v>W043</v>
      </c>
      <c r="M12" s="17">
        <f>IFERROR(__xludf.DUMMYFUNCTION("""COMPUTED_VALUE"""),47.0)</f>
        <v>47</v>
      </c>
      <c r="N12" s="16">
        <f>IFERROR(__xludf.DUMMYFUNCTION("""COMPUTED_VALUE"""),27.08)</f>
        <v>27.08</v>
      </c>
      <c r="O12" s="14" t="str">
        <f t="shared" si="4"/>
        <v>0.451</v>
      </c>
      <c r="Q12" s="10">
        <f t="shared" si="5"/>
        <v>-20.27583333</v>
      </c>
      <c r="R12" s="10">
        <f t="shared" si="6"/>
        <v>-43.79083333</v>
      </c>
    </row>
    <row r="13">
      <c r="A13" s="10" t="s">
        <v>115</v>
      </c>
      <c r="B13" s="10" t="s">
        <v>116</v>
      </c>
      <c r="C13" s="10" t="s">
        <v>117</v>
      </c>
      <c r="D13" s="13">
        <v>12.0</v>
      </c>
      <c r="E13" s="14" t="str">
        <f t="shared" si="1"/>
        <v>2022.102S</v>
      </c>
      <c r="F13" s="14" t="str">
        <f t="shared" si="2"/>
        <v>04353.764W</v>
      </c>
      <c r="G13" s="14" t="str">
        <f>IFERROR(__xludf.DUMMYFUNCTION("SPLIT($B13,"" "")"),"S20")</f>
        <v>S20</v>
      </c>
      <c r="H13" s="15">
        <f>IFERROR(__xludf.DUMMYFUNCTION("""COMPUTED_VALUE"""),22.0)</f>
        <v>22</v>
      </c>
      <c r="I13" s="16">
        <f>IFERROR(__xludf.DUMMYFUNCTION("""COMPUTED_VALUE"""),6.13)</f>
        <v>6.13</v>
      </c>
      <c r="J13" s="14" t="str">
        <f t="shared" si="3"/>
        <v>0.102</v>
      </c>
      <c r="K13" s="14"/>
      <c r="L13" s="14" t="str">
        <f>IFERROR(__xludf.DUMMYFUNCTION("SPLIT($C13,"" "")"),"W043")</f>
        <v>W043</v>
      </c>
      <c r="M13" s="17">
        <f>IFERROR(__xludf.DUMMYFUNCTION("""COMPUTED_VALUE"""),53.0)</f>
        <v>53</v>
      </c>
      <c r="N13" s="16">
        <f>IFERROR(__xludf.DUMMYFUNCTION("""COMPUTED_VALUE"""),45.81)</f>
        <v>45.81</v>
      </c>
      <c r="O13" s="14" t="str">
        <f t="shared" si="4"/>
        <v>0.764</v>
      </c>
      <c r="Q13" s="10">
        <f t="shared" si="5"/>
        <v>-20.36833333</v>
      </c>
      <c r="R13" s="10">
        <f t="shared" si="6"/>
        <v>-43.89583333</v>
      </c>
    </row>
    <row r="14">
      <c r="A14" s="10" t="s">
        <v>118</v>
      </c>
      <c r="B14" s="10" t="s">
        <v>119</v>
      </c>
      <c r="C14" s="10" t="s">
        <v>120</v>
      </c>
      <c r="D14" s="13">
        <v>13.0</v>
      </c>
      <c r="E14" s="14" t="str">
        <f t="shared" si="1"/>
        <v>1907.449S</v>
      </c>
      <c r="F14" s="14" t="str">
        <f t="shared" si="2"/>
        <v>04349.994W</v>
      </c>
      <c r="G14" s="14" t="str">
        <f>IFERROR(__xludf.DUMMYFUNCTION("SPLIT($B14,"" "")"),"S19")</f>
        <v>S19</v>
      </c>
      <c r="H14" s="15">
        <f>IFERROR(__xludf.DUMMYFUNCTION("""COMPUTED_VALUE"""),7.0)</f>
        <v>7</v>
      </c>
      <c r="I14" s="16">
        <f>IFERROR(__xludf.DUMMYFUNCTION("""COMPUTED_VALUE"""),26.96)</f>
        <v>26.96</v>
      </c>
      <c r="J14" s="14" t="str">
        <f t="shared" si="3"/>
        <v>0.449</v>
      </c>
      <c r="K14" s="14"/>
      <c r="L14" s="14" t="str">
        <f>IFERROR(__xludf.DUMMYFUNCTION("SPLIT($C14,"" "")"),"W043")</f>
        <v>W043</v>
      </c>
      <c r="M14" s="17">
        <f>IFERROR(__xludf.DUMMYFUNCTION("""COMPUTED_VALUE"""),49.0)</f>
        <v>49</v>
      </c>
      <c r="N14" s="16">
        <f>IFERROR(__xludf.DUMMYFUNCTION("""COMPUTED_VALUE"""),59.65)</f>
        <v>59.65</v>
      </c>
      <c r="O14" s="14" t="str">
        <f t="shared" si="4"/>
        <v>0.994</v>
      </c>
      <c r="Q14" s="10">
        <f t="shared" si="5"/>
        <v>-19.12388889</v>
      </c>
      <c r="R14" s="10">
        <f t="shared" si="6"/>
        <v>-43.83305556</v>
      </c>
    </row>
    <row r="15">
      <c r="A15" s="10" t="s">
        <v>121</v>
      </c>
      <c r="B15" s="10" t="s">
        <v>122</v>
      </c>
      <c r="C15" s="10" t="s">
        <v>123</v>
      </c>
      <c r="D15" s="13">
        <v>14.0</v>
      </c>
      <c r="E15" s="14" t="str">
        <f t="shared" si="1"/>
        <v>1951.347S</v>
      </c>
      <c r="F15" s="14" t="str">
        <f t="shared" si="2"/>
        <v>04417.155W</v>
      </c>
      <c r="G15" s="14" t="str">
        <f>IFERROR(__xludf.DUMMYFUNCTION("SPLIT($B15,"" "")"),"S19")</f>
        <v>S19</v>
      </c>
      <c r="H15" s="15">
        <f>IFERROR(__xludf.DUMMYFUNCTION("""COMPUTED_VALUE"""),51.0)</f>
        <v>51</v>
      </c>
      <c r="I15" s="16">
        <f>IFERROR(__xludf.DUMMYFUNCTION("""COMPUTED_VALUE"""),20.84)</f>
        <v>20.84</v>
      </c>
      <c r="J15" s="14" t="str">
        <f t="shared" si="3"/>
        <v>0.347</v>
      </c>
      <c r="K15" s="14"/>
      <c r="L15" s="14" t="str">
        <f>IFERROR(__xludf.DUMMYFUNCTION("SPLIT($C15,"" "")"),"W044")</f>
        <v>W044</v>
      </c>
      <c r="M15" s="17">
        <f>IFERROR(__xludf.DUMMYFUNCTION("""COMPUTED_VALUE"""),17.0)</f>
        <v>17</v>
      </c>
      <c r="N15" s="16">
        <f>IFERROR(__xludf.DUMMYFUNCTION("""COMPUTED_VALUE"""),9.3)</f>
        <v>9.3</v>
      </c>
      <c r="O15" s="14" t="str">
        <f t="shared" si="4"/>
        <v>0.155</v>
      </c>
      <c r="Q15" s="10">
        <f t="shared" si="5"/>
        <v>-19.85555556</v>
      </c>
      <c r="R15" s="10">
        <f t="shared" si="6"/>
        <v>-44.28583333</v>
      </c>
    </row>
    <row r="16">
      <c r="A16" s="10" t="s">
        <v>58</v>
      </c>
      <c r="B16" s="10" t="s">
        <v>124</v>
      </c>
      <c r="C16" s="10" t="s">
        <v>125</v>
      </c>
      <c r="D16" s="13">
        <v>15.0</v>
      </c>
      <c r="E16" s="14" t="str">
        <f t="shared" si="1"/>
        <v>2029.181S</v>
      </c>
      <c r="F16" s="14" t="str">
        <f t="shared" si="2"/>
        <v>04420.118W</v>
      </c>
      <c r="G16" s="14" t="str">
        <f>IFERROR(__xludf.DUMMYFUNCTION("SPLIT($B16,"" "")"),"S20")</f>
        <v>S20</v>
      </c>
      <c r="H16" s="15">
        <f>IFERROR(__xludf.DUMMYFUNCTION("""COMPUTED_VALUE"""),29.0)</f>
        <v>29</v>
      </c>
      <c r="I16" s="16">
        <f>IFERROR(__xludf.DUMMYFUNCTION("""COMPUTED_VALUE"""),10.83)</f>
        <v>10.83</v>
      </c>
      <c r="J16" s="14" t="str">
        <f t="shared" si="3"/>
        <v>0.181</v>
      </c>
      <c r="K16" s="14"/>
      <c r="L16" s="14" t="str">
        <f>IFERROR(__xludf.DUMMYFUNCTION("SPLIT($C16,"" "")"),"W044")</f>
        <v>W044</v>
      </c>
      <c r="M16" s="17">
        <f>IFERROR(__xludf.DUMMYFUNCTION("""COMPUTED_VALUE"""),20.0)</f>
        <v>20</v>
      </c>
      <c r="N16" s="16">
        <f>IFERROR(__xludf.DUMMYFUNCTION("""COMPUTED_VALUE"""),7.08)</f>
        <v>7.08</v>
      </c>
      <c r="O16" s="14" t="str">
        <f t="shared" si="4"/>
        <v>0.118</v>
      </c>
      <c r="Q16" s="10">
        <f t="shared" si="5"/>
        <v>-20.48611111</v>
      </c>
      <c r="R16" s="10">
        <f t="shared" si="6"/>
        <v>-44.33527778</v>
      </c>
    </row>
    <row r="17">
      <c r="A17" s="10" t="s">
        <v>126</v>
      </c>
      <c r="B17" s="10" t="s">
        <v>127</v>
      </c>
      <c r="C17" s="10" t="s">
        <v>128</v>
      </c>
      <c r="D17" s="13">
        <v>16.0</v>
      </c>
      <c r="E17" s="14" t="str">
        <f t="shared" si="1"/>
        <v>2011.659S</v>
      </c>
      <c r="F17" s="14" t="str">
        <f t="shared" si="2"/>
        <v>04315.549W</v>
      </c>
      <c r="G17" s="14" t="str">
        <f>IFERROR(__xludf.DUMMYFUNCTION("SPLIT($B17,"" "")"),"S20")</f>
        <v>S20</v>
      </c>
      <c r="H17" s="15">
        <f>IFERROR(__xludf.DUMMYFUNCTION("""COMPUTED_VALUE"""),11.0)</f>
        <v>11</v>
      </c>
      <c r="I17" s="16">
        <f>IFERROR(__xludf.DUMMYFUNCTION("""COMPUTED_VALUE"""),39.52)</f>
        <v>39.52</v>
      </c>
      <c r="J17" s="14" t="str">
        <f t="shared" si="3"/>
        <v>0.659</v>
      </c>
      <c r="K17" s="14"/>
      <c r="L17" s="14" t="str">
        <f>IFERROR(__xludf.DUMMYFUNCTION("SPLIT($C17,"" "")"),"W043")</f>
        <v>W043</v>
      </c>
      <c r="M17" s="17">
        <f>IFERROR(__xludf.DUMMYFUNCTION("""COMPUTED_VALUE"""),15.0)</f>
        <v>15</v>
      </c>
      <c r="N17" s="16">
        <f>IFERROR(__xludf.DUMMYFUNCTION("""COMPUTED_VALUE"""),32.91)</f>
        <v>32.91</v>
      </c>
      <c r="O17" s="14" t="str">
        <f t="shared" si="4"/>
        <v>0.549</v>
      </c>
      <c r="Q17" s="10">
        <f t="shared" si="5"/>
        <v>-20.19416667</v>
      </c>
      <c r="R17" s="10">
        <f t="shared" si="6"/>
        <v>-43.25888889</v>
      </c>
    </row>
    <row r="18">
      <c r="A18" s="10" t="s">
        <v>129</v>
      </c>
      <c r="B18" s="10" t="s">
        <v>130</v>
      </c>
      <c r="C18" s="10" t="s">
        <v>131</v>
      </c>
      <c r="D18" s="13">
        <v>17.0</v>
      </c>
      <c r="E18" s="14" t="str">
        <f t="shared" si="1"/>
        <v>1948.529S</v>
      </c>
      <c r="F18" s="14" t="str">
        <f t="shared" si="2"/>
        <v>04407.911W</v>
      </c>
      <c r="G18" s="14" t="str">
        <f>IFERROR(__xludf.DUMMYFUNCTION("SPLIT($B18,"" "")"),"S19")</f>
        <v>S19</v>
      </c>
      <c r="H18" s="15">
        <f>IFERROR(__xludf.DUMMYFUNCTION("""COMPUTED_VALUE"""),48.0)</f>
        <v>48</v>
      </c>
      <c r="I18" s="16">
        <f>IFERROR(__xludf.DUMMYFUNCTION("""COMPUTED_VALUE"""),31.71)</f>
        <v>31.71</v>
      </c>
      <c r="J18" s="14" t="str">
        <f t="shared" si="3"/>
        <v>0.529</v>
      </c>
      <c r="K18" s="14"/>
      <c r="L18" s="14" t="str">
        <f>IFERROR(__xludf.DUMMYFUNCTION("SPLIT($C18,"" "")"),"W044")</f>
        <v>W044</v>
      </c>
      <c r="M18" s="17">
        <f>IFERROR(__xludf.DUMMYFUNCTION("""COMPUTED_VALUE"""),7.0)</f>
        <v>7</v>
      </c>
      <c r="N18" s="16">
        <f>IFERROR(__xludf.DUMMYFUNCTION("""COMPUTED_VALUE"""),54.66)</f>
        <v>54.66</v>
      </c>
      <c r="O18" s="14" t="str">
        <f t="shared" si="4"/>
        <v>0.911</v>
      </c>
      <c r="Q18" s="10">
        <f t="shared" si="5"/>
        <v>-19.80861111</v>
      </c>
      <c r="R18" s="10">
        <f t="shared" si="6"/>
        <v>-44.13166667</v>
      </c>
    </row>
    <row r="19">
      <c r="A19" s="10" t="s">
        <v>132</v>
      </c>
      <c r="B19" s="10" t="s">
        <v>133</v>
      </c>
      <c r="C19" s="10" t="s">
        <v>134</v>
      </c>
      <c r="D19" s="13">
        <v>18.0</v>
      </c>
      <c r="E19" s="14" t="str">
        <f t="shared" si="1"/>
        <v>2003.900S</v>
      </c>
      <c r="F19" s="14" t="str">
        <f t="shared" si="2"/>
        <v>04436.061W</v>
      </c>
      <c r="G19" s="14" t="str">
        <f>IFERROR(__xludf.DUMMYFUNCTION("SPLIT($B19,"" "")"),"S20")</f>
        <v>S20</v>
      </c>
      <c r="H19" s="15">
        <f>IFERROR(__xludf.DUMMYFUNCTION("""COMPUTED_VALUE"""),3.0)</f>
        <v>3</v>
      </c>
      <c r="I19" s="16">
        <f>IFERROR(__xludf.DUMMYFUNCTION("""COMPUTED_VALUE"""),53.99)</f>
        <v>53.99</v>
      </c>
      <c r="J19" s="14" t="str">
        <f t="shared" si="3"/>
        <v>0.900</v>
      </c>
      <c r="K19" s="14"/>
      <c r="L19" s="14" t="str">
        <f>IFERROR(__xludf.DUMMYFUNCTION("SPLIT($C19,"" "")"),"W044")</f>
        <v>W044</v>
      </c>
      <c r="M19" s="17">
        <f>IFERROR(__xludf.DUMMYFUNCTION("""COMPUTED_VALUE"""),36.0)</f>
        <v>36</v>
      </c>
      <c r="N19" s="16">
        <f>IFERROR(__xludf.DUMMYFUNCTION("""COMPUTED_VALUE"""),3.67)</f>
        <v>3.67</v>
      </c>
      <c r="O19" s="14" t="str">
        <f t="shared" si="4"/>
        <v>0.061</v>
      </c>
      <c r="Q19" s="10">
        <f t="shared" si="5"/>
        <v>-20.06472222</v>
      </c>
      <c r="R19" s="10">
        <f t="shared" si="6"/>
        <v>-44.60083333</v>
      </c>
    </row>
    <row r="20">
      <c r="A20" s="10" t="s">
        <v>135</v>
      </c>
      <c r="B20" s="10" t="s">
        <v>136</v>
      </c>
      <c r="C20" s="10" t="s">
        <v>137</v>
      </c>
      <c r="D20" s="13">
        <v>19.0</v>
      </c>
      <c r="E20" s="14" t="str">
        <f t="shared" si="1"/>
        <v>2024.773S</v>
      </c>
      <c r="F20" s="14" t="str">
        <f t="shared" si="2"/>
        <v>04426.130W</v>
      </c>
      <c r="G20" s="14" t="str">
        <f>IFERROR(__xludf.DUMMYFUNCTION("SPLIT($B20,"" "")"),"S20")</f>
        <v>S20</v>
      </c>
      <c r="H20" s="15">
        <f>IFERROR(__xludf.DUMMYFUNCTION("""COMPUTED_VALUE"""),24.0)</f>
        <v>24</v>
      </c>
      <c r="I20" s="16">
        <f>IFERROR(__xludf.DUMMYFUNCTION("""COMPUTED_VALUE"""),46.36)</f>
        <v>46.36</v>
      </c>
      <c r="J20" s="14" t="str">
        <f t="shared" si="3"/>
        <v>0.773</v>
      </c>
      <c r="K20" s="14"/>
      <c r="L20" s="14" t="str">
        <f>IFERROR(__xludf.DUMMYFUNCTION("SPLIT($C20,"" "")"),"W044")</f>
        <v>W044</v>
      </c>
      <c r="M20" s="17">
        <f>IFERROR(__xludf.DUMMYFUNCTION("""COMPUTED_VALUE"""),26.0)</f>
        <v>26</v>
      </c>
      <c r="N20" s="16">
        <f>IFERROR(__xludf.DUMMYFUNCTION("""COMPUTED_VALUE"""),7.78)</f>
        <v>7.78</v>
      </c>
      <c r="O20" s="14" t="str">
        <f t="shared" si="4"/>
        <v>0.130</v>
      </c>
      <c r="Q20" s="10">
        <f t="shared" si="5"/>
        <v>-20.41277778</v>
      </c>
      <c r="R20" s="10">
        <f t="shared" si="6"/>
        <v>-44.43527778</v>
      </c>
    </row>
    <row r="21">
      <c r="A21" s="10" t="s">
        <v>138</v>
      </c>
      <c r="B21" s="10" t="s">
        <v>139</v>
      </c>
      <c r="C21" s="10" t="s">
        <v>140</v>
      </c>
      <c r="D21" s="13">
        <v>20.0</v>
      </c>
      <c r="E21" s="14" t="str">
        <f t="shared" si="1"/>
        <v>1936.255S</v>
      </c>
      <c r="F21" s="14" t="str">
        <f t="shared" si="2"/>
        <v>04431.329W</v>
      </c>
      <c r="G21" s="14" t="str">
        <f>IFERROR(__xludf.DUMMYFUNCTION("SPLIT($B21,"" "")"),"S19")</f>
        <v>S19</v>
      </c>
      <c r="H21" s="15">
        <f>IFERROR(__xludf.DUMMYFUNCTION("""COMPUTED_VALUE"""),36.0)</f>
        <v>36</v>
      </c>
      <c r="I21" s="16">
        <f>IFERROR(__xludf.DUMMYFUNCTION("""COMPUTED_VALUE"""),15.31)</f>
        <v>15.31</v>
      </c>
      <c r="J21" s="14" t="str">
        <f t="shared" si="3"/>
        <v>0.255</v>
      </c>
      <c r="K21" s="14"/>
      <c r="L21" s="14" t="str">
        <f>IFERROR(__xludf.DUMMYFUNCTION("SPLIT($C21,"" "")"),"W044")</f>
        <v>W044</v>
      </c>
      <c r="M21" s="17">
        <f>IFERROR(__xludf.DUMMYFUNCTION("""COMPUTED_VALUE"""),31.0)</f>
        <v>31</v>
      </c>
      <c r="N21" s="16">
        <f>IFERROR(__xludf.DUMMYFUNCTION("""COMPUTED_VALUE"""),19.72)</f>
        <v>19.72</v>
      </c>
      <c r="O21" s="14" t="str">
        <f t="shared" si="4"/>
        <v>0.329</v>
      </c>
      <c r="Q21" s="10">
        <f t="shared" si="5"/>
        <v>-19.60416667</v>
      </c>
      <c r="R21" s="10">
        <f t="shared" si="6"/>
        <v>-44.52194444</v>
      </c>
    </row>
    <row r="22">
      <c r="A22" s="10" t="s">
        <v>141</v>
      </c>
      <c r="B22" s="10" t="s">
        <v>142</v>
      </c>
      <c r="C22" s="10" t="s">
        <v>143</v>
      </c>
      <c r="D22" s="13">
        <v>21.0</v>
      </c>
      <c r="E22" s="14" t="str">
        <f t="shared" si="1"/>
        <v>2005.206S</v>
      </c>
      <c r="F22" s="14" t="str">
        <f t="shared" si="2"/>
        <v>04356.360W</v>
      </c>
      <c r="G22" s="14" t="str">
        <f>IFERROR(__xludf.DUMMYFUNCTION("SPLIT($B22,"" "")"),"S20")</f>
        <v>S20</v>
      </c>
      <c r="H22" s="15">
        <f>IFERROR(__xludf.DUMMYFUNCTION("""COMPUTED_VALUE"""),5.0)</f>
        <v>5</v>
      </c>
      <c r="I22" s="16">
        <f>IFERROR(__xludf.DUMMYFUNCTION("""COMPUTED_VALUE"""),12.34)</f>
        <v>12.34</v>
      </c>
      <c r="J22" s="14" t="str">
        <f t="shared" si="3"/>
        <v>0.206</v>
      </c>
      <c r="K22" s="14"/>
      <c r="L22" s="14" t="str">
        <f>IFERROR(__xludf.DUMMYFUNCTION("SPLIT($C22,"" "")"),"W043")</f>
        <v>W043</v>
      </c>
      <c r="M22" s="17">
        <f>IFERROR(__xludf.DUMMYFUNCTION("""COMPUTED_VALUE"""),56.0)</f>
        <v>56</v>
      </c>
      <c r="N22" s="16">
        <f>IFERROR(__xludf.DUMMYFUNCTION("""COMPUTED_VALUE"""),21.62)</f>
        <v>21.62</v>
      </c>
      <c r="O22" s="14" t="str">
        <f t="shared" si="4"/>
        <v>0.360</v>
      </c>
      <c r="Q22" s="10">
        <f t="shared" si="5"/>
        <v>-20.08666667</v>
      </c>
      <c r="R22" s="10">
        <f t="shared" si="6"/>
        <v>-43.93916667</v>
      </c>
    </row>
    <row r="23">
      <c r="A23" s="10" t="s">
        <v>144</v>
      </c>
      <c r="B23" s="10" t="s">
        <v>145</v>
      </c>
      <c r="C23" s="10" t="s">
        <v>146</v>
      </c>
      <c r="D23" s="13">
        <v>22.0</v>
      </c>
      <c r="E23" s="14" t="str">
        <f t="shared" si="1"/>
        <v>1933.438S</v>
      </c>
      <c r="F23" s="14" t="str">
        <f t="shared" si="2"/>
        <v>04346.921W</v>
      </c>
      <c r="G23" s="14" t="str">
        <f>IFERROR(__xludf.DUMMYFUNCTION("SPLIT($B23,"" "")"),"S19")</f>
        <v>S19</v>
      </c>
      <c r="H23" s="15">
        <f>IFERROR(__xludf.DUMMYFUNCTION("""COMPUTED_VALUE"""),33.0)</f>
        <v>33</v>
      </c>
      <c r="I23" s="16">
        <f>IFERROR(__xludf.DUMMYFUNCTION("""COMPUTED_VALUE"""),26.3)</f>
        <v>26.3</v>
      </c>
      <c r="J23" s="14" t="str">
        <f t="shared" si="3"/>
        <v>0.438</v>
      </c>
      <c r="K23" s="14"/>
      <c r="L23" s="14" t="str">
        <f>IFERROR(__xludf.DUMMYFUNCTION("SPLIT($C23,"" "")"),"W043")</f>
        <v>W043</v>
      </c>
      <c r="M23" s="17">
        <f>IFERROR(__xludf.DUMMYFUNCTION("""COMPUTED_VALUE"""),46.0)</f>
        <v>46</v>
      </c>
      <c r="N23" s="16">
        <f>IFERROR(__xludf.DUMMYFUNCTION("""COMPUTED_VALUE"""),55.24)</f>
        <v>55.24</v>
      </c>
      <c r="O23" s="14" t="str">
        <f t="shared" si="4"/>
        <v>0.921</v>
      </c>
      <c r="Q23" s="10">
        <f t="shared" si="5"/>
        <v>-19.55722222</v>
      </c>
      <c r="R23" s="10">
        <f t="shared" si="6"/>
        <v>-43.78194444</v>
      </c>
    </row>
    <row r="24">
      <c r="A24" s="10" t="s">
        <v>147</v>
      </c>
      <c r="B24" s="10" t="s">
        <v>148</v>
      </c>
      <c r="C24" s="10" t="s">
        <v>149</v>
      </c>
      <c r="D24" s="13">
        <v>23.0</v>
      </c>
      <c r="E24" s="14" t="str">
        <f t="shared" si="1"/>
        <v>1941.101S</v>
      </c>
      <c r="F24" s="14" t="str">
        <f t="shared" si="2"/>
        <v>04444.174W</v>
      </c>
      <c r="G24" s="14" t="str">
        <f>IFERROR(__xludf.DUMMYFUNCTION("SPLIT($B24,"" "")"),"S19")</f>
        <v>S19</v>
      </c>
      <c r="H24" s="15">
        <f>IFERROR(__xludf.DUMMYFUNCTION("""COMPUTED_VALUE"""),41.0)</f>
        <v>41</v>
      </c>
      <c r="I24" s="16">
        <f>IFERROR(__xludf.DUMMYFUNCTION("""COMPUTED_VALUE"""),6.07)</f>
        <v>6.07</v>
      </c>
      <c r="J24" s="14" t="str">
        <f t="shared" si="3"/>
        <v>0.101</v>
      </c>
      <c r="K24" s="14"/>
      <c r="L24" s="14" t="str">
        <f>IFERROR(__xludf.DUMMYFUNCTION("SPLIT($C24,"" "")"),"W044")</f>
        <v>W044</v>
      </c>
      <c r="M24" s="17">
        <f>IFERROR(__xludf.DUMMYFUNCTION("""COMPUTED_VALUE"""),44.0)</f>
        <v>44</v>
      </c>
      <c r="N24" s="16">
        <f>IFERROR(__xludf.DUMMYFUNCTION("""COMPUTED_VALUE"""),10.44)</f>
        <v>10.44</v>
      </c>
      <c r="O24" s="14" t="str">
        <f t="shared" si="4"/>
        <v>0.174</v>
      </c>
      <c r="Q24" s="10">
        <f t="shared" si="5"/>
        <v>-19.685</v>
      </c>
      <c r="R24" s="10">
        <f t="shared" si="6"/>
        <v>-44.73611111</v>
      </c>
    </row>
    <row r="25">
      <c r="A25" s="10" t="s">
        <v>150</v>
      </c>
      <c r="B25" s="10" t="s">
        <v>151</v>
      </c>
      <c r="C25" s="10" t="s">
        <v>152</v>
      </c>
      <c r="D25" s="13">
        <v>24.0</v>
      </c>
      <c r="E25" s="14" t="str">
        <f t="shared" si="1"/>
        <v>1917.669S</v>
      </c>
      <c r="F25" s="14" t="str">
        <f t="shared" si="2"/>
        <v>04413.330W</v>
      </c>
      <c r="G25" s="14" t="str">
        <f>IFERROR(__xludf.DUMMYFUNCTION("SPLIT($B25,"" "")"),"S19")</f>
        <v>S19</v>
      </c>
      <c r="H25" s="15">
        <f>IFERROR(__xludf.DUMMYFUNCTION("""COMPUTED_VALUE"""),17.0)</f>
        <v>17</v>
      </c>
      <c r="I25" s="16">
        <f>IFERROR(__xludf.DUMMYFUNCTION("""COMPUTED_VALUE"""),40.13)</f>
        <v>40.13</v>
      </c>
      <c r="J25" s="14" t="str">
        <f t="shared" si="3"/>
        <v>0.669</v>
      </c>
      <c r="K25" s="14"/>
      <c r="L25" s="14" t="str">
        <f>IFERROR(__xludf.DUMMYFUNCTION("SPLIT($C25,"" "")"),"W044")</f>
        <v>W044</v>
      </c>
      <c r="M25" s="17">
        <f>IFERROR(__xludf.DUMMYFUNCTION("""COMPUTED_VALUE"""),13.0)</f>
        <v>13</v>
      </c>
      <c r="N25" s="16">
        <f>IFERROR(__xludf.DUMMYFUNCTION("""COMPUTED_VALUE"""),19.8)</f>
        <v>19.8</v>
      </c>
      <c r="O25" s="14" t="str">
        <f t="shared" si="4"/>
        <v>0.330</v>
      </c>
      <c r="Q25" s="10">
        <f t="shared" si="5"/>
        <v>-19.29444444</v>
      </c>
      <c r="R25" s="10">
        <f t="shared" si="6"/>
        <v>-44.22194444</v>
      </c>
    </row>
    <row r="26">
      <c r="A26" s="10" t="s">
        <v>153</v>
      </c>
      <c r="B26" s="10" t="s">
        <v>154</v>
      </c>
      <c r="C26" s="10" t="s">
        <v>155</v>
      </c>
      <c r="D26" s="13">
        <v>25.0</v>
      </c>
      <c r="E26" s="14" t="str">
        <f t="shared" si="1"/>
        <v>1944.224S</v>
      </c>
      <c r="F26" s="14" t="str">
        <f t="shared" si="2"/>
        <v>04359.551W</v>
      </c>
      <c r="G26" s="14" t="str">
        <f>IFERROR(__xludf.DUMMYFUNCTION("SPLIT($B26,"" "")"),"S19")</f>
        <v>S19</v>
      </c>
      <c r="H26" s="15">
        <f>IFERROR(__xludf.DUMMYFUNCTION("""COMPUTED_VALUE"""),44.0)</f>
        <v>44</v>
      </c>
      <c r="I26" s="16">
        <f>IFERROR(__xludf.DUMMYFUNCTION("""COMPUTED_VALUE"""),13.44)</f>
        <v>13.44</v>
      </c>
      <c r="J26" s="14" t="str">
        <f t="shared" si="3"/>
        <v>0.224</v>
      </c>
      <c r="K26" s="14"/>
      <c r="L26" s="14" t="str">
        <f>IFERROR(__xludf.DUMMYFUNCTION("SPLIT($C26,"" "")"),"W043")</f>
        <v>W043</v>
      </c>
      <c r="M26" s="17">
        <f>IFERROR(__xludf.DUMMYFUNCTION("""COMPUTED_VALUE"""),59.0)</f>
        <v>59</v>
      </c>
      <c r="N26" s="16">
        <f>IFERROR(__xludf.DUMMYFUNCTION("""COMPUTED_VALUE"""),33.06)</f>
        <v>33.06</v>
      </c>
      <c r="O26" s="14" t="str">
        <f t="shared" si="4"/>
        <v>0.551</v>
      </c>
      <c r="Q26" s="10">
        <f t="shared" si="5"/>
        <v>-19.73694444</v>
      </c>
      <c r="R26" s="10">
        <f t="shared" si="6"/>
        <v>-43.9925</v>
      </c>
    </row>
    <row r="27">
      <c r="A27" s="10" t="s">
        <v>156</v>
      </c>
      <c r="B27" s="10" t="s">
        <v>157</v>
      </c>
      <c r="C27" s="10" t="s">
        <v>158</v>
      </c>
      <c r="D27" s="13">
        <v>26.0</v>
      </c>
      <c r="E27" s="14" t="str">
        <f t="shared" si="1"/>
        <v>1929.138S</v>
      </c>
      <c r="F27" s="14" t="str">
        <f t="shared" si="2"/>
        <v>04353.182W</v>
      </c>
      <c r="G27" s="14" t="str">
        <f>IFERROR(__xludf.DUMMYFUNCTION("SPLIT($B27,"" "")"),"S19")</f>
        <v>S19</v>
      </c>
      <c r="H27" s="15">
        <f>IFERROR(__xludf.DUMMYFUNCTION("""COMPUTED_VALUE"""),29.0)</f>
        <v>29</v>
      </c>
      <c r="I27" s="16">
        <f>IFERROR(__xludf.DUMMYFUNCTION("""COMPUTED_VALUE"""),8.26)</f>
        <v>8.26</v>
      </c>
      <c r="J27" s="14" t="str">
        <f t="shared" si="3"/>
        <v>0.138</v>
      </c>
      <c r="K27" s="14"/>
      <c r="L27" s="14" t="str">
        <f>IFERROR(__xludf.DUMMYFUNCTION("SPLIT($C27,"" "")"),"W043")</f>
        <v>W043</v>
      </c>
      <c r="M27" s="17">
        <f>IFERROR(__xludf.DUMMYFUNCTION("""COMPUTED_VALUE"""),53.0)</f>
        <v>53</v>
      </c>
      <c r="N27" s="16">
        <f>IFERROR(__xludf.DUMMYFUNCTION("""COMPUTED_VALUE"""),10.91)</f>
        <v>10.91</v>
      </c>
      <c r="O27" s="14" t="str">
        <f t="shared" si="4"/>
        <v>0.182</v>
      </c>
      <c r="Q27" s="10">
        <f t="shared" si="5"/>
        <v>-19.48555556</v>
      </c>
      <c r="R27" s="10">
        <f t="shared" si="6"/>
        <v>-43.88611111</v>
      </c>
    </row>
    <row r="28">
      <c r="A28" s="10" t="s">
        <v>159</v>
      </c>
      <c r="B28" s="10" t="s">
        <v>160</v>
      </c>
      <c r="C28" s="10" t="s">
        <v>161</v>
      </c>
      <c r="D28" s="13">
        <v>27.0</v>
      </c>
      <c r="E28" s="14" t="str">
        <f t="shared" si="1"/>
        <v>2004.201S</v>
      </c>
      <c r="F28" s="14" t="str">
        <f t="shared" si="2"/>
        <v>04354.664W</v>
      </c>
      <c r="G28" s="14" t="str">
        <f>IFERROR(__xludf.DUMMYFUNCTION("SPLIT($B28,"" "")"),"S20")</f>
        <v>S20</v>
      </c>
      <c r="H28" s="15">
        <f>IFERROR(__xludf.DUMMYFUNCTION("""COMPUTED_VALUE"""),4.0)</f>
        <v>4</v>
      </c>
      <c r="I28" s="16">
        <f>IFERROR(__xludf.DUMMYFUNCTION("""COMPUTED_VALUE"""),12.06)</f>
        <v>12.06</v>
      </c>
      <c r="J28" s="14" t="str">
        <f t="shared" si="3"/>
        <v>0.201</v>
      </c>
      <c r="K28" s="14"/>
      <c r="L28" s="14" t="str">
        <f>IFERROR(__xludf.DUMMYFUNCTION("SPLIT($C28,"" "")"),"W043")</f>
        <v>W043</v>
      </c>
      <c r="M28" s="17">
        <f>IFERROR(__xludf.DUMMYFUNCTION("""COMPUTED_VALUE"""),54.0)</f>
        <v>54</v>
      </c>
      <c r="N28" s="16">
        <f>IFERROR(__xludf.DUMMYFUNCTION("""COMPUTED_VALUE"""),39.84)</f>
        <v>39.84</v>
      </c>
      <c r="O28" s="14" t="str">
        <f t="shared" si="4"/>
        <v>0.664</v>
      </c>
      <c r="Q28" s="10">
        <f t="shared" si="5"/>
        <v>-20.07</v>
      </c>
      <c r="R28" s="10">
        <f t="shared" si="6"/>
        <v>-43.91083333</v>
      </c>
    </row>
    <row r="29">
      <c r="A29" s="10" t="s">
        <v>162</v>
      </c>
      <c r="B29" s="10" t="s">
        <v>163</v>
      </c>
      <c r="C29" s="10" t="s">
        <v>164</v>
      </c>
      <c r="D29" s="13">
        <v>28.0</v>
      </c>
      <c r="E29" s="14" t="str">
        <f t="shared" si="1"/>
        <v>1950.585S</v>
      </c>
      <c r="F29" s="14" t="str">
        <f t="shared" si="2"/>
        <v>04327.688W</v>
      </c>
      <c r="G29" s="14" t="str">
        <f>IFERROR(__xludf.DUMMYFUNCTION("SPLIT($B29,"" "")"),"S19")</f>
        <v>S19</v>
      </c>
      <c r="H29" s="15">
        <f>IFERROR(__xludf.DUMMYFUNCTION("""COMPUTED_VALUE"""),50.0)</f>
        <v>50</v>
      </c>
      <c r="I29" s="16">
        <f>IFERROR(__xludf.DUMMYFUNCTION("""COMPUTED_VALUE"""),35.07)</f>
        <v>35.07</v>
      </c>
      <c r="J29" s="14" t="str">
        <f t="shared" si="3"/>
        <v>0.585</v>
      </c>
      <c r="K29" s="14"/>
      <c r="L29" s="14" t="str">
        <f>IFERROR(__xludf.DUMMYFUNCTION("SPLIT($C29,"" "")"),"W043")</f>
        <v>W043</v>
      </c>
      <c r="M29" s="17">
        <f>IFERROR(__xludf.DUMMYFUNCTION("""COMPUTED_VALUE"""),27.0)</f>
        <v>27</v>
      </c>
      <c r="N29" s="16">
        <f>IFERROR(__xludf.DUMMYFUNCTION("""COMPUTED_VALUE"""),41.3)</f>
        <v>41.3</v>
      </c>
      <c r="O29" s="14" t="str">
        <f t="shared" si="4"/>
        <v>0.688</v>
      </c>
      <c r="Q29" s="10">
        <f t="shared" si="5"/>
        <v>-19.84305556</v>
      </c>
      <c r="R29" s="10">
        <f t="shared" si="6"/>
        <v>-43.46138889</v>
      </c>
    </row>
    <row r="30">
      <c r="A30" s="10" t="s">
        <v>165</v>
      </c>
      <c r="B30" s="10" t="s">
        <v>166</v>
      </c>
      <c r="C30" s="10" t="s">
        <v>167</v>
      </c>
      <c r="D30" s="13">
        <v>29.0</v>
      </c>
      <c r="E30" s="14" t="str">
        <f t="shared" si="1"/>
        <v>1910.875S</v>
      </c>
      <c r="F30" s="14" t="str">
        <f t="shared" si="2"/>
        <v>04400.097W</v>
      </c>
      <c r="G30" s="14" t="str">
        <f>IFERROR(__xludf.DUMMYFUNCTION("SPLIT($B30,"" "")"),"S19")</f>
        <v>S19</v>
      </c>
      <c r="H30" s="15">
        <f>IFERROR(__xludf.DUMMYFUNCTION("""COMPUTED_VALUE"""),10.0)</f>
        <v>10</v>
      </c>
      <c r="I30" s="16">
        <f>IFERROR(__xludf.DUMMYFUNCTION("""COMPUTED_VALUE"""),52.5)</f>
        <v>52.5</v>
      </c>
      <c r="J30" s="14" t="str">
        <f t="shared" si="3"/>
        <v>0.875</v>
      </c>
      <c r="K30" s="14"/>
      <c r="L30" s="14" t="str">
        <f>IFERROR(__xludf.DUMMYFUNCTION("SPLIT($C30,"" "")"),"W044")</f>
        <v>W044</v>
      </c>
      <c r="M30" s="17">
        <f>IFERROR(__xludf.DUMMYFUNCTION("""COMPUTED_VALUE"""),0.0)</f>
        <v>0</v>
      </c>
      <c r="N30" s="16">
        <f>IFERROR(__xludf.DUMMYFUNCTION("""COMPUTED_VALUE"""),5.82)</f>
        <v>5.82</v>
      </c>
      <c r="O30" s="14" t="str">
        <f t="shared" si="4"/>
        <v>0.097</v>
      </c>
      <c r="Q30" s="10">
        <f t="shared" si="5"/>
        <v>-19.18111111</v>
      </c>
      <c r="R30" s="10">
        <f t="shared" si="6"/>
        <v>-44.00138889</v>
      </c>
    </row>
    <row r="31">
      <c r="A31" s="10" t="s">
        <v>168</v>
      </c>
      <c r="B31" s="10" t="s">
        <v>169</v>
      </c>
      <c r="C31" s="10" t="s">
        <v>170</v>
      </c>
      <c r="D31" s="13">
        <v>30.0</v>
      </c>
      <c r="E31" s="14" t="str">
        <f t="shared" si="1"/>
        <v>1949.378S</v>
      </c>
      <c r="F31" s="14" t="str">
        <f t="shared" si="2"/>
        <v>04417.355W</v>
      </c>
      <c r="G31" s="14" t="str">
        <f>IFERROR(__xludf.DUMMYFUNCTION("SPLIT($B31,"" "")"),"S19")</f>
        <v>S19</v>
      </c>
      <c r="H31" s="15">
        <f>IFERROR(__xludf.DUMMYFUNCTION("""COMPUTED_VALUE"""),49.0)</f>
        <v>49</v>
      </c>
      <c r="I31" s="16">
        <f>IFERROR(__xludf.DUMMYFUNCTION("""COMPUTED_VALUE"""),22.67)</f>
        <v>22.67</v>
      </c>
      <c r="J31" s="14" t="str">
        <f t="shared" si="3"/>
        <v>0.378</v>
      </c>
      <c r="K31" s="14"/>
      <c r="L31" s="14" t="str">
        <f>IFERROR(__xludf.DUMMYFUNCTION("SPLIT($C31,"" "")"),"W044")</f>
        <v>W044</v>
      </c>
      <c r="M31" s="17">
        <f>IFERROR(__xludf.DUMMYFUNCTION("""COMPUTED_VALUE"""),17.0)</f>
        <v>17</v>
      </c>
      <c r="N31" s="16">
        <f>IFERROR(__xludf.DUMMYFUNCTION("""COMPUTED_VALUE"""),21.31)</f>
        <v>21.31</v>
      </c>
      <c r="O31" s="14" t="str">
        <f t="shared" si="4"/>
        <v>0.355</v>
      </c>
      <c r="Q31" s="10">
        <f t="shared" si="5"/>
        <v>-19.82277778</v>
      </c>
      <c r="R31" s="10">
        <f t="shared" si="6"/>
        <v>-44.28916667</v>
      </c>
    </row>
    <row r="32">
      <c r="A32" s="10" t="s">
        <v>171</v>
      </c>
      <c r="B32" s="10" t="s">
        <v>172</v>
      </c>
      <c r="C32" s="10" t="s">
        <v>173</v>
      </c>
      <c r="D32" s="13">
        <v>31.0</v>
      </c>
      <c r="E32" s="14" t="str">
        <f t="shared" si="1"/>
        <v>1907.565S</v>
      </c>
      <c r="F32" s="14" t="str">
        <f t="shared" si="2"/>
        <v>04436.680W</v>
      </c>
      <c r="G32" s="14" t="str">
        <f>IFERROR(__xludf.DUMMYFUNCTION("SPLIT($B32,"" "")"),"S19")</f>
        <v>S19</v>
      </c>
      <c r="H32" s="15">
        <f>IFERROR(__xludf.DUMMYFUNCTION("""COMPUTED_VALUE"""),7.0)</f>
        <v>7</v>
      </c>
      <c r="I32" s="16">
        <f>IFERROR(__xludf.DUMMYFUNCTION("""COMPUTED_VALUE"""),33.9)</f>
        <v>33.9</v>
      </c>
      <c r="J32" s="14" t="str">
        <f t="shared" si="3"/>
        <v>0.565</v>
      </c>
      <c r="K32" s="14"/>
      <c r="L32" s="14" t="str">
        <f>IFERROR(__xludf.DUMMYFUNCTION("SPLIT($C32,"" "")"),"W044")</f>
        <v>W044</v>
      </c>
      <c r="M32" s="17">
        <f>IFERROR(__xludf.DUMMYFUNCTION("""COMPUTED_VALUE"""),36.0)</f>
        <v>36</v>
      </c>
      <c r="N32" s="16">
        <f>IFERROR(__xludf.DUMMYFUNCTION("""COMPUTED_VALUE"""),40.78)</f>
        <v>40.78</v>
      </c>
      <c r="O32" s="14" t="str">
        <f t="shared" si="4"/>
        <v>0.680</v>
      </c>
      <c r="Q32" s="10">
        <f t="shared" si="5"/>
        <v>-19.12583333</v>
      </c>
      <c r="R32" s="10">
        <f t="shared" si="6"/>
        <v>-44.61111111</v>
      </c>
    </row>
    <row r="33">
      <c r="A33" s="10" t="s">
        <v>174</v>
      </c>
      <c r="B33" s="10" t="s">
        <v>175</v>
      </c>
      <c r="C33" s="10" t="s">
        <v>176</v>
      </c>
      <c r="D33" s="13">
        <v>32.0</v>
      </c>
      <c r="E33" s="14" t="str">
        <f t="shared" si="1"/>
        <v>2003.745S</v>
      </c>
      <c r="F33" s="14" t="str">
        <f t="shared" si="2"/>
        <v>04339.422W</v>
      </c>
      <c r="G33" s="14" t="str">
        <f>IFERROR(__xludf.DUMMYFUNCTION("SPLIT($B33,"" "")"),"S20")</f>
        <v>S20</v>
      </c>
      <c r="H33" s="15">
        <f>IFERROR(__xludf.DUMMYFUNCTION("""COMPUTED_VALUE"""),3.0)</f>
        <v>3</v>
      </c>
      <c r="I33" s="16">
        <f>IFERROR(__xludf.DUMMYFUNCTION("""COMPUTED_VALUE"""),44.71)</f>
        <v>44.71</v>
      </c>
      <c r="J33" s="14" t="str">
        <f t="shared" si="3"/>
        <v>0.745</v>
      </c>
      <c r="K33" s="14"/>
      <c r="L33" s="14" t="str">
        <f>IFERROR(__xludf.DUMMYFUNCTION("SPLIT($C33,"" "")"),"W043")</f>
        <v>W043</v>
      </c>
      <c r="M33" s="17">
        <f>IFERROR(__xludf.DUMMYFUNCTION("""COMPUTED_VALUE"""),39.0)</f>
        <v>39</v>
      </c>
      <c r="N33" s="16">
        <f>IFERROR(__xludf.DUMMYFUNCTION("""COMPUTED_VALUE"""),25.32)</f>
        <v>25.32</v>
      </c>
      <c r="O33" s="14" t="str">
        <f t="shared" si="4"/>
        <v>0.422</v>
      </c>
      <c r="Q33" s="10">
        <f t="shared" si="5"/>
        <v>-20.06222222</v>
      </c>
      <c r="R33" s="10">
        <f t="shared" si="6"/>
        <v>-43.65694444</v>
      </c>
    </row>
    <row r="34">
      <c r="A34" s="10" t="s">
        <v>177</v>
      </c>
      <c r="B34" s="10" t="s">
        <v>178</v>
      </c>
      <c r="C34" s="10" t="s">
        <v>179</v>
      </c>
      <c r="D34" s="13">
        <v>33.0</v>
      </c>
      <c r="E34" s="14" t="str">
        <f t="shared" si="1"/>
        <v>1926.131S</v>
      </c>
      <c r="F34" s="14" t="str">
        <f t="shared" si="2"/>
        <v>04443.680W</v>
      </c>
      <c r="G34" s="14" t="str">
        <f>IFERROR(__xludf.DUMMYFUNCTION("SPLIT($B34,"" "")"),"S19")</f>
        <v>S19</v>
      </c>
      <c r="H34" s="15">
        <f>IFERROR(__xludf.DUMMYFUNCTION("""COMPUTED_VALUE"""),26.0)</f>
        <v>26</v>
      </c>
      <c r="I34" s="16">
        <f>IFERROR(__xludf.DUMMYFUNCTION("""COMPUTED_VALUE"""),7.83)</f>
        <v>7.83</v>
      </c>
      <c r="J34" s="14" t="str">
        <f t="shared" si="3"/>
        <v>0.131</v>
      </c>
      <c r="K34" s="14"/>
      <c r="L34" s="14" t="str">
        <f>IFERROR(__xludf.DUMMYFUNCTION("SPLIT($C34,"" "")"),"W044")</f>
        <v>W044</v>
      </c>
      <c r="M34" s="17">
        <f>IFERROR(__xludf.DUMMYFUNCTION("""COMPUTED_VALUE"""),43.0)</f>
        <v>43</v>
      </c>
      <c r="N34" s="16">
        <f>IFERROR(__xludf.DUMMYFUNCTION("""COMPUTED_VALUE"""),40.77)</f>
        <v>40.77</v>
      </c>
      <c r="O34" s="14" t="str">
        <f t="shared" si="4"/>
        <v>0.680</v>
      </c>
      <c r="Q34" s="10">
        <f t="shared" si="5"/>
        <v>-19.43527778</v>
      </c>
      <c r="R34" s="10">
        <f t="shared" si="6"/>
        <v>-44.72777778</v>
      </c>
    </row>
    <row r="35">
      <c r="A35" s="10" t="s">
        <v>180</v>
      </c>
      <c r="B35" s="10" t="s">
        <v>181</v>
      </c>
      <c r="C35" s="10" t="s">
        <v>182</v>
      </c>
      <c r="D35" s="13">
        <v>34.0</v>
      </c>
      <c r="E35" s="14" t="str">
        <f t="shared" si="1"/>
        <v>2008.929S</v>
      </c>
      <c r="F35" s="14" t="str">
        <f t="shared" si="2"/>
        <v>04337.048W</v>
      </c>
      <c r="G35" s="14" t="str">
        <f>IFERROR(__xludf.DUMMYFUNCTION("SPLIT($B35,"" "")"),"S20")</f>
        <v>S20</v>
      </c>
      <c r="H35" s="15">
        <f>IFERROR(__xludf.DUMMYFUNCTION("""COMPUTED_VALUE"""),8.0)</f>
        <v>8</v>
      </c>
      <c r="I35" s="16">
        <f>IFERROR(__xludf.DUMMYFUNCTION("""COMPUTED_VALUE"""),55.74)</f>
        <v>55.74</v>
      </c>
      <c r="J35" s="14" t="str">
        <f t="shared" si="3"/>
        <v>0.929</v>
      </c>
      <c r="K35" s="14"/>
      <c r="L35" s="14" t="str">
        <f>IFERROR(__xludf.DUMMYFUNCTION("SPLIT($C35,"" "")"),"W043")</f>
        <v>W043</v>
      </c>
      <c r="M35" s="17">
        <f>IFERROR(__xludf.DUMMYFUNCTION("""COMPUTED_VALUE"""),37.0)</f>
        <v>37</v>
      </c>
      <c r="N35" s="16">
        <f>IFERROR(__xludf.DUMMYFUNCTION("""COMPUTED_VALUE"""),2.86)</f>
        <v>2.86</v>
      </c>
      <c r="O35" s="14" t="str">
        <f t="shared" si="4"/>
        <v>0.048</v>
      </c>
      <c r="Q35" s="10">
        <f t="shared" si="5"/>
        <v>-20.14861111</v>
      </c>
      <c r="R35" s="10">
        <f t="shared" si="6"/>
        <v>-43.61722222</v>
      </c>
    </row>
    <row r="36">
      <c r="A36" s="10" t="s">
        <v>183</v>
      </c>
      <c r="B36" s="10" t="s">
        <v>184</v>
      </c>
      <c r="C36" s="10" t="s">
        <v>185</v>
      </c>
      <c r="D36" s="13">
        <v>35.0</v>
      </c>
      <c r="E36" s="14" t="str">
        <f t="shared" si="1"/>
        <v>1855.370S</v>
      </c>
      <c r="F36" s="14" t="str">
        <f t="shared" si="2"/>
        <v>04334.999W</v>
      </c>
      <c r="G36" s="14" t="str">
        <f>IFERROR(__xludf.DUMMYFUNCTION("SPLIT($B36,"" "")"),"S18")</f>
        <v>S18</v>
      </c>
      <c r="H36" s="15">
        <f>IFERROR(__xludf.DUMMYFUNCTION("""COMPUTED_VALUE"""),55.0)</f>
        <v>55</v>
      </c>
      <c r="I36" s="16">
        <f>IFERROR(__xludf.DUMMYFUNCTION("""COMPUTED_VALUE"""),22.21)</f>
        <v>22.21</v>
      </c>
      <c r="J36" s="14" t="str">
        <f t="shared" si="3"/>
        <v>0.370</v>
      </c>
      <c r="K36" s="14"/>
      <c r="L36" s="14" t="str">
        <f>IFERROR(__xludf.DUMMYFUNCTION("SPLIT($C36,"" "")"),"W043")</f>
        <v>W043</v>
      </c>
      <c r="M36" s="17">
        <f>IFERROR(__xludf.DUMMYFUNCTION("""COMPUTED_VALUE"""),34.0)</f>
        <v>34</v>
      </c>
      <c r="N36" s="16">
        <f>IFERROR(__xludf.DUMMYFUNCTION("""COMPUTED_VALUE"""),59.91)</f>
        <v>59.91</v>
      </c>
      <c r="O36" s="14" t="str">
        <f t="shared" si="4"/>
        <v>0.999</v>
      </c>
      <c r="Q36" s="10">
        <f t="shared" si="5"/>
        <v>-18.92277778</v>
      </c>
      <c r="R36" s="10">
        <f t="shared" si="6"/>
        <v>-43.58305556</v>
      </c>
    </row>
    <row r="37">
      <c r="A37" s="10" t="s">
        <v>186</v>
      </c>
      <c r="B37" s="10" t="s">
        <v>187</v>
      </c>
      <c r="C37" s="10" t="s">
        <v>188</v>
      </c>
      <c r="D37" s="13">
        <v>36.0</v>
      </c>
      <c r="E37" s="14" t="str">
        <f t="shared" si="1"/>
        <v>1954.443S</v>
      </c>
      <c r="F37" s="14" t="str">
        <f t="shared" si="2"/>
        <v>04408.552W</v>
      </c>
      <c r="G37" s="14" t="str">
        <f>IFERROR(__xludf.DUMMYFUNCTION("SPLIT($B37,"" "")"),"S19")</f>
        <v>S19</v>
      </c>
      <c r="H37" s="15">
        <f>IFERROR(__xludf.DUMMYFUNCTION("""COMPUTED_VALUE"""),54.0)</f>
        <v>54</v>
      </c>
      <c r="I37" s="16">
        <f>IFERROR(__xludf.DUMMYFUNCTION("""COMPUTED_VALUE"""),26.57)</f>
        <v>26.57</v>
      </c>
      <c r="J37" s="14" t="str">
        <f t="shared" si="3"/>
        <v>0.443</v>
      </c>
      <c r="K37" s="14"/>
      <c r="L37" s="14" t="str">
        <f>IFERROR(__xludf.DUMMYFUNCTION("SPLIT($C37,"" "")"),"W044")</f>
        <v>W044</v>
      </c>
      <c r="M37" s="17">
        <f>IFERROR(__xludf.DUMMYFUNCTION("""COMPUTED_VALUE"""),8.0)</f>
        <v>8</v>
      </c>
      <c r="N37" s="16">
        <f>IFERROR(__xludf.DUMMYFUNCTION("""COMPUTED_VALUE"""),33.09)</f>
        <v>33.09</v>
      </c>
      <c r="O37" s="14" t="str">
        <f t="shared" si="4"/>
        <v>0.552</v>
      </c>
      <c r="Q37" s="10">
        <f t="shared" si="5"/>
        <v>-19.90722222</v>
      </c>
      <c r="R37" s="10">
        <f t="shared" si="6"/>
        <v>-44.1425</v>
      </c>
    </row>
    <row r="38">
      <c r="A38" s="10" t="s">
        <v>189</v>
      </c>
      <c r="B38" s="10" t="s">
        <v>190</v>
      </c>
      <c r="C38" s="10" t="s">
        <v>191</v>
      </c>
      <c r="D38" s="13">
        <v>37.0</v>
      </c>
      <c r="E38" s="14" t="str">
        <f t="shared" si="1"/>
        <v>1948.828S</v>
      </c>
      <c r="F38" s="14" t="str">
        <f t="shared" si="2"/>
        <v>04414.256W</v>
      </c>
      <c r="G38" s="14" t="str">
        <f>IFERROR(__xludf.DUMMYFUNCTION("SPLIT($B38,"" "")"),"S19")</f>
        <v>S19</v>
      </c>
      <c r="H38" s="15">
        <f>IFERROR(__xludf.DUMMYFUNCTION("""COMPUTED_VALUE"""),48.0)</f>
        <v>48</v>
      </c>
      <c r="I38" s="16">
        <f>IFERROR(__xludf.DUMMYFUNCTION("""COMPUTED_VALUE"""),49.65)</f>
        <v>49.65</v>
      </c>
      <c r="J38" s="14" t="str">
        <f t="shared" si="3"/>
        <v>0.828</v>
      </c>
      <c r="K38" s="14"/>
      <c r="L38" s="14" t="str">
        <f>IFERROR(__xludf.DUMMYFUNCTION("SPLIT($C38,"" "")"),"W044")</f>
        <v>W044</v>
      </c>
      <c r="M38" s="17">
        <f>IFERROR(__xludf.DUMMYFUNCTION("""COMPUTED_VALUE"""),14.0)</f>
        <v>14</v>
      </c>
      <c r="N38" s="16">
        <f>IFERROR(__xludf.DUMMYFUNCTION("""COMPUTED_VALUE"""),15.36)</f>
        <v>15.36</v>
      </c>
      <c r="O38" s="14" t="str">
        <f t="shared" si="4"/>
        <v>0.256</v>
      </c>
      <c r="Q38" s="10">
        <f t="shared" si="5"/>
        <v>-19.81361111</v>
      </c>
      <c r="R38" s="10">
        <f t="shared" si="6"/>
        <v>-44.2375</v>
      </c>
    </row>
    <row r="39">
      <c r="A39" s="10" t="s">
        <v>192</v>
      </c>
      <c r="B39" s="10" t="s">
        <v>193</v>
      </c>
      <c r="C39" s="10" t="s">
        <v>194</v>
      </c>
      <c r="D39" s="13">
        <v>38.0</v>
      </c>
      <c r="E39" s="14" t="str">
        <f t="shared" si="1"/>
        <v>2011.508S</v>
      </c>
      <c r="F39" s="14" t="str">
        <f t="shared" si="2"/>
        <v>04433.327W</v>
      </c>
      <c r="G39" s="14" t="str">
        <f>IFERROR(__xludf.DUMMYFUNCTION("SPLIT($B39,"" "")"),"S20")</f>
        <v>S20</v>
      </c>
      <c r="H39" s="15">
        <f>IFERROR(__xludf.DUMMYFUNCTION("""COMPUTED_VALUE"""),11.0)</f>
        <v>11</v>
      </c>
      <c r="I39" s="16">
        <f>IFERROR(__xludf.DUMMYFUNCTION("""COMPUTED_VALUE"""),30.5)</f>
        <v>30.5</v>
      </c>
      <c r="J39" s="14" t="str">
        <f t="shared" si="3"/>
        <v>0.508</v>
      </c>
      <c r="K39" s="14"/>
      <c r="L39" s="14" t="str">
        <f>IFERROR(__xludf.DUMMYFUNCTION("SPLIT($C39,"" "")"),"W044")</f>
        <v>W044</v>
      </c>
      <c r="M39" s="17">
        <f>IFERROR(__xludf.DUMMYFUNCTION("""COMPUTED_VALUE"""),33.0)</f>
        <v>33</v>
      </c>
      <c r="N39" s="16">
        <f>IFERROR(__xludf.DUMMYFUNCTION("""COMPUTED_VALUE"""),19.61)</f>
        <v>19.61</v>
      </c>
      <c r="O39" s="14" t="str">
        <f t="shared" si="4"/>
        <v>0.327</v>
      </c>
      <c r="Q39" s="10">
        <f t="shared" si="5"/>
        <v>-20.19166667</v>
      </c>
      <c r="R39" s="10">
        <f t="shared" si="6"/>
        <v>-44.55527778</v>
      </c>
    </row>
    <row r="40">
      <c r="A40" s="10" t="s">
        <v>195</v>
      </c>
      <c r="B40" s="10" t="s">
        <v>196</v>
      </c>
      <c r="C40" s="10" t="s">
        <v>197</v>
      </c>
      <c r="D40" s="13">
        <v>39.0</v>
      </c>
      <c r="E40" s="14" t="str">
        <f t="shared" si="1"/>
        <v>2001.452S</v>
      </c>
      <c r="F40" s="14" t="str">
        <f t="shared" si="2"/>
        <v>04346.240W</v>
      </c>
      <c r="G40" s="14" t="str">
        <f>IFERROR(__xludf.DUMMYFUNCTION("SPLIT($B40,"" "")"),"S20")</f>
        <v>S20</v>
      </c>
      <c r="H40" s="15">
        <f>IFERROR(__xludf.DUMMYFUNCTION("""COMPUTED_VALUE"""),1.0)</f>
        <v>1</v>
      </c>
      <c r="I40" s="16">
        <f>IFERROR(__xludf.DUMMYFUNCTION("""COMPUTED_VALUE"""),27.1)</f>
        <v>27.1</v>
      </c>
      <c r="J40" s="14" t="str">
        <f t="shared" si="3"/>
        <v>0.452</v>
      </c>
      <c r="K40" s="14"/>
      <c r="L40" s="14" t="str">
        <f>IFERROR(__xludf.DUMMYFUNCTION("SPLIT($C40,"" "")"),"W043")</f>
        <v>W043</v>
      </c>
      <c r="M40" s="17">
        <f>IFERROR(__xludf.DUMMYFUNCTION("""COMPUTED_VALUE"""),46.0)</f>
        <v>46</v>
      </c>
      <c r="N40" s="16">
        <f>IFERROR(__xludf.DUMMYFUNCTION("""COMPUTED_VALUE"""),14.42)</f>
        <v>14.42</v>
      </c>
      <c r="O40" s="14" t="str">
        <f t="shared" si="4"/>
        <v>0.240</v>
      </c>
      <c r="Q40" s="10">
        <f t="shared" si="5"/>
        <v>-20.02416667</v>
      </c>
      <c r="R40" s="10">
        <f t="shared" si="6"/>
        <v>-43.77055556</v>
      </c>
    </row>
    <row r="41">
      <c r="A41" s="10" t="s">
        <v>198</v>
      </c>
      <c r="B41" s="10" t="s">
        <v>199</v>
      </c>
      <c r="C41" s="10" t="s">
        <v>200</v>
      </c>
      <c r="D41" s="13">
        <v>40.0</v>
      </c>
      <c r="E41" s="14" t="str">
        <f t="shared" si="1"/>
        <v>1927.862S</v>
      </c>
      <c r="F41" s="14" t="str">
        <f t="shared" si="2"/>
        <v>04241.691W</v>
      </c>
      <c r="G41" s="14" t="str">
        <f>IFERROR(__xludf.DUMMYFUNCTION("SPLIT($B41,"" "")"),"S19")</f>
        <v>S19</v>
      </c>
      <c r="H41" s="15">
        <f>IFERROR(__xludf.DUMMYFUNCTION("""COMPUTED_VALUE"""),27.0)</f>
        <v>27</v>
      </c>
      <c r="I41" s="16">
        <f>IFERROR(__xludf.DUMMYFUNCTION("""COMPUTED_VALUE"""),51.73)</f>
        <v>51.73</v>
      </c>
      <c r="J41" s="14" t="str">
        <f t="shared" si="3"/>
        <v>0.862</v>
      </c>
      <c r="K41" s="14"/>
      <c r="L41" s="14" t="str">
        <f>IFERROR(__xludf.DUMMYFUNCTION("SPLIT($C41,"" "")"),"W042")</f>
        <v>W042</v>
      </c>
      <c r="M41" s="17">
        <f>IFERROR(__xludf.DUMMYFUNCTION("""COMPUTED_VALUE"""),41.0)</f>
        <v>41</v>
      </c>
      <c r="N41" s="16">
        <f>IFERROR(__xludf.DUMMYFUNCTION("""COMPUTED_VALUE"""),41.46)</f>
        <v>41.46</v>
      </c>
      <c r="O41" s="14" t="str">
        <f t="shared" si="4"/>
        <v>0.691</v>
      </c>
      <c r="Q41" s="10">
        <f t="shared" si="5"/>
        <v>-19.46416667</v>
      </c>
      <c r="R41" s="10">
        <f t="shared" si="6"/>
        <v>-42.69472222</v>
      </c>
    </row>
    <row r="42">
      <c r="A42" s="10" t="s">
        <v>201</v>
      </c>
      <c r="B42" s="10" t="s">
        <v>202</v>
      </c>
      <c r="C42" s="10" t="s">
        <v>203</v>
      </c>
      <c r="D42" s="13">
        <v>41.0</v>
      </c>
      <c r="E42" s="14" t="str">
        <f t="shared" si="1"/>
        <v>1957.665S</v>
      </c>
      <c r="F42" s="14" t="str">
        <f t="shared" si="2"/>
        <v>04338.498W</v>
      </c>
      <c r="G42" s="14" t="str">
        <f>IFERROR(__xludf.DUMMYFUNCTION("SPLIT($B42,"" "")"),"S19")</f>
        <v>S19</v>
      </c>
      <c r="H42" s="15">
        <f>IFERROR(__xludf.DUMMYFUNCTION("""COMPUTED_VALUE"""),57.0)</f>
        <v>57</v>
      </c>
      <c r="I42" s="16">
        <f>IFERROR(__xludf.DUMMYFUNCTION("""COMPUTED_VALUE"""),39.9)</f>
        <v>39.9</v>
      </c>
      <c r="J42" s="14" t="str">
        <f t="shared" si="3"/>
        <v>0.665</v>
      </c>
      <c r="K42" s="14"/>
      <c r="L42" s="14" t="str">
        <f>IFERROR(__xludf.DUMMYFUNCTION("SPLIT($C42,"" "")"),"W043")</f>
        <v>W043</v>
      </c>
      <c r="M42" s="17">
        <f>IFERROR(__xludf.DUMMYFUNCTION("""COMPUTED_VALUE"""),38.0)</f>
        <v>38</v>
      </c>
      <c r="N42" s="16">
        <f>IFERROR(__xludf.DUMMYFUNCTION("""COMPUTED_VALUE"""),29.89)</f>
        <v>29.89</v>
      </c>
      <c r="O42" s="14" t="str">
        <f t="shared" si="4"/>
        <v>0.498</v>
      </c>
      <c r="Q42" s="10">
        <f t="shared" si="5"/>
        <v>-19.96083333</v>
      </c>
      <c r="R42" s="10">
        <f t="shared" si="6"/>
        <v>-43.64138889</v>
      </c>
    </row>
    <row r="43">
      <c r="A43" s="10" t="s">
        <v>204</v>
      </c>
      <c r="B43" s="10" t="s">
        <v>205</v>
      </c>
      <c r="C43" s="10" t="s">
        <v>206</v>
      </c>
      <c r="D43" s="13">
        <v>42.0</v>
      </c>
      <c r="E43" s="14" t="str">
        <f t="shared" si="1"/>
        <v>2025.153S</v>
      </c>
      <c r="F43" s="14" t="str">
        <f t="shared" si="2"/>
        <v>04357.038W</v>
      </c>
      <c r="G43" s="14" t="str">
        <f>IFERROR(__xludf.DUMMYFUNCTION("SPLIT($B43,"" "")"),"S20")</f>
        <v>S20</v>
      </c>
      <c r="H43" s="15">
        <f>IFERROR(__xludf.DUMMYFUNCTION("""COMPUTED_VALUE"""),25.0)</f>
        <v>25</v>
      </c>
      <c r="I43" s="16">
        <f>IFERROR(__xludf.DUMMYFUNCTION("""COMPUTED_VALUE"""),9.18)</f>
        <v>9.18</v>
      </c>
      <c r="J43" s="14" t="str">
        <f t="shared" si="3"/>
        <v>0.153</v>
      </c>
      <c r="K43" s="14"/>
      <c r="L43" s="14" t="str">
        <f>IFERROR(__xludf.DUMMYFUNCTION("SPLIT($C43,"" "")"),"W043")</f>
        <v>W043</v>
      </c>
      <c r="M43" s="17">
        <f>IFERROR(__xludf.DUMMYFUNCTION("""COMPUTED_VALUE"""),57.0)</f>
        <v>57</v>
      </c>
      <c r="N43" s="16">
        <f>IFERROR(__xludf.DUMMYFUNCTION("""COMPUTED_VALUE"""),2.25)</f>
        <v>2.25</v>
      </c>
      <c r="O43" s="14" t="str">
        <f t="shared" si="4"/>
        <v>0.038</v>
      </c>
      <c r="Q43" s="10">
        <f t="shared" si="5"/>
        <v>-20.41916667</v>
      </c>
      <c r="R43" s="10">
        <f t="shared" si="6"/>
        <v>-43.95055556</v>
      </c>
    </row>
    <row r="44">
      <c r="A44" s="10" t="s">
        <v>207</v>
      </c>
      <c r="B44" s="10" t="s">
        <v>208</v>
      </c>
      <c r="C44" s="10" t="s">
        <v>209</v>
      </c>
      <c r="D44" s="13">
        <v>43.0</v>
      </c>
      <c r="E44" s="14" t="str">
        <f t="shared" si="1"/>
        <v>1916.784S</v>
      </c>
      <c r="F44" s="14" t="str">
        <f t="shared" si="2"/>
        <v>04315.162W</v>
      </c>
      <c r="G44" s="14" t="str">
        <f>IFERROR(__xludf.DUMMYFUNCTION("SPLIT($B44,"" "")"),"S19")</f>
        <v>S19</v>
      </c>
      <c r="H44" s="15">
        <f>IFERROR(__xludf.DUMMYFUNCTION("""COMPUTED_VALUE"""),16.0)</f>
        <v>16</v>
      </c>
      <c r="I44" s="16">
        <f>IFERROR(__xludf.DUMMYFUNCTION("""COMPUTED_VALUE"""),47.02)</f>
        <v>47.02</v>
      </c>
      <c r="J44" s="14" t="str">
        <f t="shared" si="3"/>
        <v>0.784</v>
      </c>
      <c r="K44" s="14"/>
      <c r="L44" s="14" t="str">
        <f>IFERROR(__xludf.DUMMYFUNCTION("SPLIT($C44,"" "")"),"W043")</f>
        <v>W043</v>
      </c>
      <c r="M44" s="17">
        <f>IFERROR(__xludf.DUMMYFUNCTION("""COMPUTED_VALUE"""),15.0)</f>
        <v>15</v>
      </c>
      <c r="N44" s="16">
        <f>IFERROR(__xludf.DUMMYFUNCTION("""COMPUTED_VALUE"""),9.72)</f>
        <v>9.72</v>
      </c>
      <c r="O44" s="14" t="str">
        <f t="shared" si="4"/>
        <v>0.162</v>
      </c>
      <c r="Q44" s="10">
        <f t="shared" si="5"/>
        <v>-19.27972222</v>
      </c>
      <c r="R44" s="10">
        <f t="shared" si="6"/>
        <v>-43.2525</v>
      </c>
    </row>
    <row r="45">
      <c r="A45" s="10" t="s">
        <v>210</v>
      </c>
      <c r="B45" s="10" t="s">
        <v>211</v>
      </c>
      <c r="C45" s="10" t="s">
        <v>212</v>
      </c>
      <c r="D45" s="13">
        <v>44.0</v>
      </c>
      <c r="E45" s="14" t="str">
        <f t="shared" si="1"/>
        <v>1838.971S</v>
      </c>
      <c r="F45" s="14" t="str">
        <f t="shared" si="2"/>
        <v>04454.690W</v>
      </c>
      <c r="G45" s="14" t="str">
        <f>IFERROR(__xludf.DUMMYFUNCTION("SPLIT($B45,"" "")"),"S18")</f>
        <v>S18</v>
      </c>
      <c r="H45" s="15">
        <f>IFERROR(__xludf.DUMMYFUNCTION("""COMPUTED_VALUE"""),38.0)</f>
        <v>38</v>
      </c>
      <c r="I45" s="16">
        <f>IFERROR(__xludf.DUMMYFUNCTION("""COMPUTED_VALUE"""),58.27)</f>
        <v>58.27</v>
      </c>
      <c r="J45" s="14" t="str">
        <f t="shared" si="3"/>
        <v>0.971</v>
      </c>
      <c r="K45" s="14"/>
      <c r="L45" s="14" t="str">
        <f>IFERROR(__xludf.DUMMYFUNCTION("SPLIT($C45,"" "")"),"W044")</f>
        <v>W044</v>
      </c>
      <c r="M45" s="17">
        <f>IFERROR(__xludf.DUMMYFUNCTION("""COMPUTED_VALUE"""),54.0)</f>
        <v>54</v>
      </c>
      <c r="N45" s="16">
        <f>IFERROR(__xludf.DUMMYFUNCTION("""COMPUTED_VALUE"""),41.42)</f>
        <v>41.42</v>
      </c>
      <c r="O45" s="14" t="str">
        <f t="shared" si="4"/>
        <v>0.690</v>
      </c>
      <c r="Q45" s="10">
        <f t="shared" si="5"/>
        <v>-18.64944444</v>
      </c>
      <c r="R45" s="10">
        <f t="shared" si="6"/>
        <v>-44.91138889</v>
      </c>
    </row>
    <row r="46">
      <c r="A46" s="10" t="s">
        <v>213</v>
      </c>
      <c r="B46" s="10" t="s">
        <v>87</v>
      </c>
      <c r="C46" s="10" t="s">
        <v>88</v>
      </c>
      <c r="D46" s="13">
        <v>45.0</v>
      </c>
      <c r="E46" s="14" t="str">
        <f t="shared" si="1"/>
        <v>1944.173S</v>
      </c>
      <c r="F46" s="14" t="str">
        <f t="shared" si="2"/>
        <v>04413.606W</v>
      </c>
      <c r="G46" s="14" t="str">
        <f>IFERROR(__xludf.DUMMYFUNCTION("SPLIT($B46,"" "")"),"S19")</f>
        <v>S19</v>
      </c>
      <c r="H46" s="15">
        <f>IFERROR(__xludf.DUMMYFUNCTION("""COMPUTED_VALUE"""),44.0)</f>
        <v>44</v>
      </c>
      <c r="I46" s="16">
        <f>IFERROR(__xludf.DUMMYFUNCTION("""COMPUTED_VALUE"""),10.4)</f>
        <v>10.4</v>
      </c>
      <c r="J46" s="14" t="str">
        <f t="shared" si="3"/>
        <v>0.173</v>
      </c>
      <c r="K46" s="14"/>
      <c r="L46" s="14" t="str">
        <f>IFERROR(__xludf.DUMMYFUNCTION("SPLIT($C46,"" "")"),"W044")</f>
        <v>W044</v>
      </c>
      <c r="M46" s="17">
        <f>IFERROR(__xludf.DUMMYFUNCTION("""COMPUTED_VALUE"""),13.0)</f>
        <v>13</v>
      </c>
      <c r="N46" s="16">
        <f>IFERROR(__xludf.DUMMYFUNCTION("""COMPUTED_VALUE"""),36.38)</f>
        <v>36.38</v>
      </c>
      <c r="O46" s="14" t="str">
        <f t="shared" si="4"/>
        <v>0.606</v>
      </c>
      <c r="Q46" s="10">
        <f t="shared" si="5"/>
        <v>-19.73611111</v>
      </c>
      <c r="R46" s="10">
        <f t="shared" si="6"/>
        <v>-44.22666667</v>
      </c>
    </row>
    <row r="47">
      <c r="A47" s="10" t="s">
        <v>214</v>
      </c>
      <c r="B47" s="10" t="s">
        <v>215</v>
      </c>
      <c r="C47" s="10" t="s">
        <v>216</v>
      </c>
      <c r="D47" s="13">
        <v>46.0</v>
      </c>
      <c r="E47" s="14" t="str">
        <f t="shared" si="1"/>
        <v>1925.887S</v>
      </c>
      <c r="F47" s="14" t="str">
        <f t="shared" si="2"/>
        <v>04400.886W</v>
      </c>
      <c r="G47" s="14" t="str">
        <f>IFERROR(__xludf.DUMMYFUNCTION("SPLIT($B47,"" "")"),"S19")</f>
        <v>S19</v>
      </c>
      <c r="H47" s="15">
        <f>IFERROR(__xludf.DUMMYFUNCTION("""COMPUTED_VALUE"""),25.0)</f>
        <v>25</v>
      </c>
      <c r="I47" s="16">
        <f>IFERROR(__xludf.DUMMYFUNCTION("""COMPUTED_VALUE"""),53.22)</f>
        <v>53.22</v>
      </c>
      <c r="J47" s="14" t="str">
        <f t="shared" si="3"/>
        <v>0.887</v>
      </c>
      <c r="K47" s="14"/>
      <c r="L47" s="14" t="str">
        <f>IFERROR(__xludf.DUMMYFUNCTION("SPLIT($C47,"" "")"),"W044")</f>
        <v>W044</v>
      </c>
      <c r="M47" s="17">
        <f>IFERROR(__xludf.DUMMYFUNCTION("""COMPUTED_VALUE"""),0.0)</f>
        <v>0</v>
      </c>
      <c r="N47" s="16">
        <f>IFERROR(__xludf.DUMMYFUNCTION("""COMPUTED_VALUE"""),53.13)</f>
        <v>53.13</v>
      </c>
      <c r="O47" s="14" t="str">
        <f t="shared" si="4"/>
        <v>0.886</v>
      </c>
      <c r="Q47" s="10">
        <f t="shared" si="5"/>
        <v>-19.43138889</v>
      </c>
      <c r="R47" s="10">
        <f t="shared" si="6"/>
        <v>-44.01472222</v>
      </c>
    </row>
    <row r="48">
      <c r="A48" s="10" t="s">
        <v>44</v>
      </c>
      <c r="B48" s="10" t="s">
        <v>217</v>
      </c>
      <c r="C48" s="10" t="s">
        <v>218</v>
      </c>
      <c r="D48" s="13">
        <v>47.0</v>
      </c>
      <c r="E48" s="14" t="str">
        <f t="shared" si="1"/>
        <v>1840.994S</v>
      </c>
      <c r="F48" s="14" t="str">
        <f t="shared" si="2"/>
        <v>04313.668W</v>
      </c>
      <c r="G48" s="14" t="str">
        <f>IFERROR(__xludf.DUMMYFUNCTION("SPLIT($B48,"" "")"),"S18")</f>
        <v>S18</v>
      </c>
      <c r="H48" s="15">
        <f>IFERROR(__xludf.DUMMYFUNCTION("""COMPUTED_VALUE"""),40.0)</f>
        <v>40</v>
      </c>
      <c r="I48" s="16">
        <f>IFERROR(__xludf.DUMMYFUNCTION("""COMPUTED_VALUE"""),59.63)</f>
        <v>59.63</v>
      </c>
      <c r="J48" s="14" t="str">
        <f t="shared" si="3"/>
        <v>0.994</v>
      </c>
      <c r="K48" s="14"/>
      <c r="L48" s="14" t="str">
        <f>IFERROR(__xludf.DUMMYFUNCTION("SPLIT($C48,"" "")"),"W043")</f>
        <v>W043</v>
      </c>
      <c r="M48" s="17">
        <f>IFERROR(__xludf.DUMMYFUNCTION("""COMPUTED_VALUE"""),13.0)</f>
        <v>13</v>
      </c>
      <c r="N48" s="16">
        <f>IFERROR(__xludf.DUMMYFUNCTION("""COMPUTED_VALUE"""),40.1)</f>
        <v>40.1</v>
      </c>
      <c r="O48" s="14" t="str">
        <f t="shared" si="4"/>
        <v>0.668</v>
      </c>
      <c r="Q48" s="10">
        <f t="shared" si="5"/>
        <v>-18.68305556</v>
      </c>
      <c r="R48" s="10">
        <f t="shared" si="6"/>
        <v>-43.22777778</v>
      </c>
    </row>
    <row r="49">
      <c r="A49" s="10" t="s">
        <v>219</v>
      </c>
      <c r="B49" s="10" t="s">
        <v>220</v>
      </c>
      <c r="C49" s="10" t="s">
        <v>221</v>
      </c>
      <c r="D49" s="13">
        <v>48.0</v>
      </c>
      <c r="E49" s="14" t="str">
        <f t="shared" si="1"/>
        <v>2113.423S</v>
      </c>
      <c r="F49" s="14" t="str">
        <f t="shared" si="2"/>
        <v>04439.486W</v>
      </c>
      <c r="G49" s="14" t="str">
        <f>IFERROR(__xludf.DUMMYFUNCTION("SPLIT($B49,"" "")"),"S21")</f>
        <v>S21</v>
      </c>
      <c r="H49" s="15">
        <f>IFERROR(__xludf.DUMMYFUNCTION("""COMPUTED_VALUE"""),13.0)</f>
        <v>13</v>
      </c>
      <c r="I49" s="16">
        <f>IFERROR(__xludf.DUMMYFUNCTION("""COMPUTED_VALUE"""),25.39)</f>
        <v>25.39</v>
      </c>
      <c r="J49" s="14" t="str">
        <f t="shared" si="3"/>
        <v>0.423</v>
      </c>
      <c r="K49" s="14"/>
      <c r="L49" s="14" t="str">
        <f>IFERROR(__xludf.DUMMYFUNCTION("SPLIT($C49,"" "")"),"W044")</f>
        <v>W044</v>
      </c>
      <c r="M49" s="17">
        <f>IFERROR(__xludf.DUMMYFUNCTION("""COMPUTED_VALUE"""),39.0)</f>
        <v>39</v>
      </c>
      <c r="N49" s="16">
        <f>IFERROR(__xludf.DUMMYFUNCTION("""COMPUTED_VALUE"""),29.14)</f>
        <v>29.14</v>
      </c>
      <c r="O49" s="14" t="str">
        <f t="shared" si="4"/>
        <v>0.486</v>
      </c>
      <c r="Q49" s="10">
        <f t="shared" si="5"/>
        <v>-21.22361111</v>
      </c>
      <c r="R49" s="10">
        <f t="shared" si="6"/>
        <v>-44.65805556</v>
      </c>
    </row>
    <row r="50">
      <c r="A50" s="10" t="s">
        <v>222</v>
      </c>
      <c r="B50" s="10" t="s">
        <v>223</v>
      </c>
      <c r="C50" s="10" t="s">
        <v>224</v>
      </c>
      <c r="D50" s="13">
        <v>49.0</v>
      </c>
      <c r="E50" s="14" t="str">
        <f t="shared" si="1"/>
        <v>1951.918S</v>
      </c>
      <c r="F50" s="14" t="str">
        <f t="shared" si="2"/>
        <v>04354.578W</v>
      </c>
      <c r="G50" s="14" t="str">
        <f>IFERROR(__xludf.DUMMYFUNCTION("SPLIT($B50,"" "")"),"S19")</f>
        <v>S19</v>
      </c>
      <c r="H50" s="15">
        <f>IFERROR(__xludf.DUMMYFUNCTION("""COMPUTED_VALUE"""),51.0)</f>
        <v>51</v>
      </c>
      <c r="I50" s="16">
        <f>IFERROR(__xludf.DUMMYFUNCTION("""COMPUTED_VALUE"""),55.07)</f>
        <v>55.07</v>
      </c>
      <c r="J50" s="14" t="str">
        <f t="shared" si="3"/>
        <v>0.918</v>
      </c>
      <c r="K50" s="14"/>
      <c r="L50" s="14" t="str">
        <f>IFERROR(__xludf.DUMMYFUNCTION("SPLIT($C50,"" "")"),"W043")</f>
        <v>W043</v>
      </c>
      <c r="M50" s="17">
        <f>IFERROR(__xludf.DUMMYFUNCTION("""COMPUTED_VALUE"""),54.0)</f>
        <v>54</v>
      </c>
      <c r="N50" s="16">
        <f>IFERROR(__xludf.DUMMYFUNCTION("""COMPUTED_VALUE"""),34.68)</f>
        <v>34.68</v>
      </c>
      <c r="O50" s="14" t="str">
        <f t="shared" si="4"/>
        <v>0.578</v>
      </c>
      <c r="Q50" s="10">
        <f t="shared" si="5"/>
        <v>-19.86527778</v>
      </c>
      <c r="R50" s="10">
        <f t="shared" si="6"/>
        <v>-43.90944444</v>
      </c>
    </row>
    <row r="51">
      <c r="A51" s="10" t="s">
        <v>225</v>
      </c>
      <c r="B51" s="10" t="s">
        <v>226</v>
      </c>
      <c r="C51" s="10" t="s">
        <v>227</v>
      </c>
      <c r="D51" s="13">
        <v>50.0</v>
      </c>
      <c r="E51" s="14" t="str">
        <f t="shared" si="1"/>
        <v>1953.695S</v>
      </c>
      <c r="F51" s="14" t="str">
        <f t="shared" si="2"/>
        <v>04349.616W</v>
      </c>
      <c r="G51" s="14" t="str">
        <f>IFERROR(__xludf.DUMMYFUNCTION("SPLIT($B51,"" "")"),"S19")</f>
        <v>S19</v>
      </c>
      <c r="H51" s="15">
        <f>IFERROR(__xludf.DUMMYFUNCTION("""COMPUTED_VALUE"""),53.0)</f>
        <v>53</v>
      </c>
      <c r="I51" s="16">
        <f>IFERROR(__xludf.DUMMYFUNCTION("""COMPUTED_VALUE"""),41.67)</f>
        <v>41.67</v>
      </c>
      <c r="J51" s="14" t="str">
        <f t="shared" si="3"/>
        <v>0.695</v>
      </c>
      <c r="K51" s="14"/>
      <c r="L51" s="14" t="str">
        <f>IFERROR(__xludf.DUMMYFUNCTION("SPLIT($C51,"" "")"),"W043")</f>
        <v>W043</v>
      </c>
      <c r="M51" s="17">
        <f>IFERROR(__xludf.DUMMYFUNCTION("""COMPUTED_VALUE"""),49.0)</f>
        <v>49</v>
      </c>
      <c r="N51" s="16">
        <f>IFERROR(__xludf.DUMMYFUNCTION("""COMPUTED_VALUE"""),36.98)</f>
        <v>36.98</v>
      </c>
      <c r="O51" s="14" t="str">
        <f t="shared" si="4"/>
        <v>0.616</v>
      </c>
      <c r="Q51" s="10">
        <f t="shared" si="5"/>
        <v>-19.89472222</v>
      </c>
      <c r="R51" s="10">
        <f t="shared" si="6"/>
        <v>-43.82666667</v>
      </c>
    </row>
    <row r="52">
      <c r="A52" s="10" t="s">
        <v>228</v>
      </c>
      <c r="B52" s="10" t="s">
        <v>229</v>
      </c>
      <c r="C52" s="10" t="s">
        <v>230</v>
      </c>
      <c r="D52" s="13">
        <v>51.0</v>
      </c>
      <c r="E52" s="14" t="str">
        <f t="shared" si="1"/>
        <v>1955.469S</v>
      </c>
      <c r="F52" s="14" t="str">
        <f t="shared" si="2"/>
        <v>04344.653W</v>
      </c>
      <c r="G52" s="14" t="str">
        <f>IFERROR(__xludf.DUMMYFUNCTION("SPLIT($B52,"" "")"),"S19")</f>
        <v>S19</v>
      </c>
      <c r="H52" s="15">
        <f>IFERROR(__xludf.DUMMYFUNCTION("""COMPUTED_VALUE"""),55.0)</f>
        <v>55</v>
      </c>
      <c r="I52" s="16">
        <f>IFERROR(__xludf.DUMMYFUNCTION("""COMPUTED_VALUE"""),28.14)</f>
        <v>28.14</v>
      </c>
      <c r="J52" s="14" t="str">
        <f t="shared" si="3"/>
        <v>0.469</v>
      </c>
      <c r="K52" s="14"/>
      <c r="L52" s="14" t="str">
        <f>IFERROR(__xludf.DUMMYFUNCTION("SPLIT($C52,"" "")"),"W043")</f>
        <v>W043</v>
      </c>
      <c r="M52" s="17">
        <f>IFERROR(__xludf.DUMMYFUNCTION("""COMPUTED_VALUE"""),44.0)</f>
        <v>44</v>
      </c>
      <c r="N52" s="16">
        <f>IFERROR(__xludf.DUMMYFUNCTION("""COMPUTED_VALUE"""),39.16)</f>
        <v>39.16</v>
      </c>
      <c r="O52" s="14" t="str">
        <f t="shared" si="4"/>
        <v>0.653</v>
      </c>
      <c r="Q52" s="10">
        <f t="shared" si="5"/>
        <v>-19.92444444</v>
      </c>
      <c r="R52" s="10">
        <f t="shared" si="6"/>
        <v>-43.74416667</v>
      </c>
    </row>
    <row r="53">
      <c r="A53" s="10" t="s">
        <v>231</v>
      </c>
      <c r="B53" s="10" t="s">
        <v>232</v>
      </c>
      <c r="C53" s="10" t="s">
        <v>233</v>
      </c>
      <c r="D53" s="13">
        <v>52.0</v>
      </c>
      <c r="E53" s="14" t="str">
        <f t="shared" si="1"/>
        <v>2029.801S</v>
      </c>
      <c r="F53" s="14" t="str">
        <f t="shared" si="2"/>
        <v>04327.451W</v>
      </c>
      <c r="G53" s="14" t="str">
        <f>IFERROR(__xludf.DUMMYFUNCTION("SPLIT($B53,"" "")"),"S20")</f>
        <v>S20</v>
      </c>
      <c r="H53" s="15">
        <f>IFERROR(__xludf.DUMMYFUNCTION("""COMPUTED_VALUE"""),29.0)</f>
        <v>29</v>
      </c>
      <c r="I53" s="16">
        <f>IFERROR(__xludf.DUMMYFUNCTION("""COMPUTED_VALUE"""),48.04)</f>
        <v>48.04</v>
      </c>
      <c r="J53" s="14" t="str">
        <f t="shared" si="3"/>
        <v>0.801</v>
      </c>
      <c r="K53" s="14"/>
      <c r="L53" s="14" t="str">
        <f>IFERROR(__xludf.DUMMYFUNCTION("SPLIT($C53,"" "")"),"W043")</f>
        <v>W043</v>
      </c>
      <c r="M53" s="17">
        <f>IFERROR(__xludf.DUMMYFUNCTION("""COMPUTED_VALUE"""),27.0)</f>
        <v>27</v>
      </c>
      <c r="N53" s="16">
        <f>IFERROR(__xludf.DUMMYFUNCTION("""COMPUTED_VALUE"""),27.06)</f>
        <v>27.06</v>
      </c>
      <c r="O53" s="14" t="str">
        <f t="shared" si="4"/>
        <v>0.451</v>
      </c>
      <c r="Q53" s="10">
        <f t="shared" si="5"/>
        <v>-20.49666667</v>
      </c>
      <c r="R53" s="10">
        <f t="shared" si="6"/>
        <v>-43.4575</v>
      </c>
    </row>
    <row r="54">
      <c r="A54" s="10" t="s">
        <v>234</v>
      </c>
      <c r="B54" s="10" t="s">
        <v>235</v>
      </c>
      <c r="C54" s="10" t="s">
        <v>236</v>
      </c>
      <c r="D54" s="13">
        <v>53.0</v>
      </c>
      <c r="E54" s="14" t="str">
        <f t="shared" si="1"/>
        <v>2051.555S</v>
      </c>
      <c r="F54" s="14" t="str">
        <f t="shared" si="2"/>
        <v>04317.382W</v>
      </c>
      <c r="G54" s="14" t="str">
        <f>IFERROR(__xludf.DUMMYFUNCTION("SPLIT($B54,"" "")"),"S20")</f>
        <v>S20</v>
      </c>
      <c r="H54" s="15">
        <f>IFERROR(__xludf.DUMMYFUNCTION("""COMPUTED_VALUE"""),51.0)</f>
        <v>51</v>
      </c>
      <c r="I54" s="16">
        <f>IFERROR(__xludf.DUMMYFUNCTION("""COMPUTED_VALUE"""),33.29)</f>
        <v>33.29</v>
      </c>
      <c r="J54" s="14" t="str">
        <f t="shared" si="3"/>
        <v>0.555</v>
      </c>
      <c r="K54" s="14"/>
      <c r="L54" s="14" t="str">
        <f>IFERROR(__xludf.DUMMYFUNCTION("SPLIT($C54,"" "")"),"W043")</f>
        <v>W043</v>
      </c>
      <c r="M54" s="17">
        <f>IFERROR(__xludf.DUMMYFUNCTION("""COMPUTED_VALUE"""),17.0)</f>
        <v>17</v>
      </c>
      <c r="N54" s="16">
        <f>IFERROR(__xludf.DUMMYFUNCTION("""COMPUTED_VALUE"""),22.92)</f>
        <v>22.92</v>
      </c>
      <c r="O54" s="14" t="str">
        <f t="shared" si="4"/>
        <v>0.382</v>
      </c>
      <c r="Q54" s="10">
        <f t="shared" si="5"/>
        <v>-20.85916667</v>
      </c>
      <c r="R54" s="10">
        <f t="shared" si="6"/>
        <v>-43.28944444</v>
      </c>
    </row>
    <row r="55">
      <c r="A55" s="10" t="s">
        <v>237</v>
      </c>
      <c r="B55" s="10" t="s">
        <v>238</v>
      </c>
      <c r="C55" s="10" t="s">
        <v>239</v>
      </c>
      <c r="D55" s="13">
        <v>54.0</v>
      </c>
      <c r="E55" s="14" t="str">
        <f t="shared" si="1"/>
        <v>1953.805S</v>
      </c>
      <c r="F55" s="14" t="str">
        <f t="shared" si="2"/>
        <v>04350.484W</v>
      </c>
      <c r="G55" s="14" t="str">
        <f>IFERROR(__xludf.DUMMYFUNCTION("SPLIT($B55,"" "")"),"S19")</f>
        <v>S19</v>
      </c>
      <c r="H55" s="15">
        <f>IFERROR(__xludf.DUMMYFUNCTION("""COMPUTED_VALUE"""),53.0)</f>
        <v>53</v>
      </c>
      <c r="I55" s="16">
        <f>IFERROR(__xludf.DUMMYFUNCTION("""COMPUTED_VALUE"""),48.27)</f>
        <v>48.27</v>
      </c>
      <c r="J55" s="14" t="str">
        <f t="shared" si="3"/>
        <v>0.805</v>
      </c>
      <c r="K55" s="14"/>
      <c r="L55" s="14" t="str">
        <f>IFERROR(__xludf.DUMMYFUNCTION("SPLIT($C55,"" "")"),"W043")</f>
        <v>W043</v>
      </c>
      <c r="M55" s="17">
        <f>IFERROR(__xludf.DUMMYFUNCTION("""COMPUTED_VALUE"""),50.0)</f>
        <v>50</v>
      </c>
      <c r="N55" s="16">
        <f>IFERROR(__xludf.DUMMYFUNCTION("""COMPUTED_VALUE"""),29.01)</f>
        <v>29.01</v>
      </c>
      <c r="O55" s="14" t="str">
        <f t="shared" si="4"/>
        <v>0.484</v>
      </c>
      <c r="Q55" s="10">
        <f t="shared" si="5"/>
        <v>-19.89666667</v>
      </c>
      <c r="R55" s="10">
        <f t="shared" si="6"/>
        <v>-43.84138889</v>
      </c>
    </row>
    <row r="56">
      <c r="A56" s="10" t="s">
        <v>240</v>
      </c>
      <c r="B56" s="10" t="s">
        <v>241</v>
      </c>
      <c r="C56" s="10" t="s">
        <v>242</v>
      </c>
      <c r="D56" s="13">
        <v>55.0</v>
      </c>
      <c r="E56" s="14" t="str">
        <f t="shared" si="1"/>
        <v>1957.012S</v>
      </c>
      <c r="F56" s="14" t="str">
        <f t="shared" si="2"/>
        <v>04336.504W</v>
      </c>
      <c r="G56" s="14" t="str">
        <f>IFERROR(__xludf.DUMMYFUNCTION("SPLIT($B56,"" "")"),"S19")</f>
        <v>S19</v>
      </c>
      <c r="H56" s="15">
        <f>IFERROR(__xludf.DUMMYFUNCTION("""COMPUTED_VALUE"""),57.0)</f>
        <v>57</v>
      </c>
      <c r="I56" s="16">
        <f>IFERROR(__xludf.DUMMYFUNCTION("""COMPUTED_VALUE"""),0.7)</f>
        <v>0.7</v>
      </c>
      <c r="J56" s="14" t="str">
        <f t="shared" si="3"/>
        <v>0.012</v>
      </c>
      <c r="K56" s="14"/>
      <c r="L56" s="14" t="str">
        <f>IFERROR(__xludf.DUMMYFUNCTION("SPLIT($C56,"" "")"),"W043")</f>
        <v>W043</v>
      </c>
      <c r="M56" s="17">
        <f>IFERROR(__xludf.DUMMYFUNCTION("""COMPUTED_VALUE"""),36.0)</f>
        <v>36</v>
      </c>
      <c r="N56" s="16">
        <f>IFERROR(__xludf.DUMMYFUNCTION("""COMPUTED_VALUE"""),30.21)</f>
        <v>30.21</v>
      </c>
      <c r="O56" s="14" t="str">
        <f t="shared" si="4"/>
        <v>0.504</v>
      </c>
      <c r="Q56" s="10">
        <f t="shared" si="5"/>
        <v>-19.95</v>
      </c>
      <c r="R56" s="10">
        <f t="shared" si="6"/>
        <v>-43.60833333</v>
      </c>
    </row>
    <row r="57">
      <c r="A57" s="10" t="s">
        <v>243</v>
      </c>
      <c r="B57" s="10" t="s">
        <v>244</v>
      </c>
      <c r="C57" s="10" t="s">
        <v>245</v>
      </c>
      <c r="D57" s="13">
        <v>56.0</v>
      </c>
      <c r="E57" s="14" t="str">
        <f t="shared" si="1"/>
        <v>1957.689S</v>
      </c>
      <c r="F57" s="14" t="str">
        <f t="shared" si="2"/>
        <v>04323.424W</v>
      </c>
      <c r="G57" s="14" t="str">
        <f>IFERROR(__xludf.DUMMYFUNCTION("SPLIT($B57,"" "")"),"S19")</f>
        <v>S19</v>
      </c>
      <c r="H57" s="15">
        <f>IFERROR(__xludf.DUMMYFUNCTION("""COMPUTED_VALUE"""),57.0)</f>
        <v>57</v>
      </c>
      <c r="I57" s="16">
        <f>IFERROR(__xludf.DUMMYFUNCTION("""COMPUTED_VALUE"""),41.32)</f>
        <v>41.32</v>
      </c>
      <c r="J57" s="14" t="str">
        <f t="shared" si="3"/>
        <v>0.689</v>
      </c>
      <c r="K57" s="14"/>
      <c r="L57" s="14" t="str">
        <f>IFERROR(__xludf.DUMMYFUNCTION("SPLIT($C57,"" "")"),"W043")</f>
        <v>W043</v>
      </c>
      <c r="M57" s="17">
        <f>IFERROR(__xludf.DUMMYFUNCTION("""COMPUTED_VALUE"""),23.0)</f>
        <v>23</v>
      </c>
      <c r="N57" s="16">
        <f>IFERROR(__xludf.DUMMYFUNCTION("""COMPUTED_VALUE"""),25.42)</f>
        <v>25.42</v>
      </c>
      <c r="O57" s="14" t="str">
        <f t="shared" si="4"/>
        <v>0.424</v>
      </c>
      <c r="Q57" s="10">
        <f t="shared" si="5"/>
        <v>-19.96138889</v>
      </c>
      <c r="R57" s="10">
        <f t="shared" si="6"/>
        <v>-43.39027778</v>
      </c>
    </row>
    <row r="58">
      <c r="A58" s="10" t="s">
        <v>246</v>
      </c>
      <c r="B58" s="10" t="s">
        <v>247</v>
      </c>
      <c r="C58" s="10" t="s">
        <v>248</v>
      </c>
      <c r="D58" s="13">
        <v>57.0</v>
      </c>
      <c r="E58" s="14" t="str">
        <f t="shared" si="1"/>
        <v>2004.018S</v>
      </c>
      <c r="F58" s="14" t="str">
        <f t="shared" si="2"/>
        <v>04422.326W</v>
      </c>
      <c r="G58" s="14" t="str">
        <f>IFERROR(__xludf.DUMMYFUNCTION("SPLIT($B58,"" "")"),"S20")</f>
        <v>S20</v>
      </c>
      <c r="H58" s="15">
        <f>IFERROR(__xludf.DUMMYFUNCTION("""COMPUTED_VALUE"""),4.0)</f>
        <v>4</v>
      </c>
      <c r="I58" s="16">
        <f>IFERROR(__xludf.DUMMYFUNCTION("""COMPUTED_VALUE"""),1.06)</f>
        <v>1.06</v>
      </c>
      <c r="J58" s="14" t="str">
        <f t="shared" si="3"/>
        <v>0.018</v>
      </c>
      <c r="K58" s="14"/>
      <c r="L58" s="14" t="str">
        <f>IFERROR(__xludf.DUMMYFUNCTION("SPLIT($C58,"" "")"),"W044")</f>
        <v>W044</v>
      </c>
      <c r="M58" s="17">
        <f>IFERROR(__xludf.DUMMYFUNCTION("""COMPUTED_VALUE"""),22.0)</f>
        <v>22</v>
      </c>
      <c r="N58" s="16">
        <f>IFERROR(__xludf.DUMMYFUNCTION("""COMPUTED_VALUE"""),19.54)</f>
        <v>19.54</v>
      </c>
      <c r="O58" s="14" t="str">
        <f t="shared" si="4"/>
        <v>0.326</v>
      </c>
      <c r="Q58" s="10">
        <f t="shared" si="5"/>
        <v>-20.06694444</v>
      </c>
      <c r="R58" s="10">
        <f t="shared" si="6"/>
        <v>-44.37194444</v>
      </c>
    </row>
    <row r="59">
      <c r="A59" s="10" t="s">
        <v>249</v>
      </c>
      <c r="B59" s="10" t="s">
        <v>250</v>
      </c>
      <c r="C59" s="10" t="s">
        <v>251</v>
      </c>
      <c r="D59" s="13">
        <v>58.0</v>
      </c>
      <c r="E59" s="14" t="str">
        <f t="shared" si="1"/>
        <v>1938.758S</v>
      </c>
      <c r="F59" s="14" t="str">
        <f t="shared" si="2"/>
        <v>04323.596W</v>
      </c>
      <c r="G59" s="14" t="str">
        <f>IFERROR(__xludf.DUMMYFUNCTION("SPLIT($B59,"" "")"),"S19")</f>
        <v>S19</v>
      </c>
      <c r="H59" s="15">
        <f>IFERROR(__xludf.DUMMYFUNCTION("""COMPUTED_VALUE"""),38.0)</f>
        <v>38</v>
      </c>
      <c r="I59" s="16">
        <f>IFERROR(__xludf.DUMMYFUNCTION("""COMPUTED_VALUE"""),45.45)</f>
        <v>45.45</v>
      </c>
      <c r="J59" s="14" t="str">
        <f t="shared" si="3"/>
        <v>0.758</v>
      </c>
      <c r="K59" s="14"/>
      <c r="L59" s="14" t="str">
        <f>IFERROR(__xludf.DUMMYFUNCTION("SPLIT($C59,"" "")"),"W043")</f>
        <v>W043</v>
      </c>
      <c r="M59" s="17">
        <f>IFERROR(__xludf.DUMMYFUNCTION("""COMPUTED_VALUE"""),23.0)</f>
        <v>23</v>
      </c>
      <c r="N59" s="16">
        <f>IFERROR(__xludf.DUMMYFUNCTION("""COMPUTED_VALUE"""),35.74)</f>
        <v>35.74</v>
      </c>
      <c r="O59" s="14" t="str">
        <f t="shared" si="4"/>
        <v>0.596</v>
      </c>
      <c r="Q59" s="10">
        <f t="shared" si="5"/>
        <v>-19.64583333</v>
      </c>
      <c r="R59" s="10">
        <f t="shared" si="6"/>
        <v>-43.39305556</v>
      </c>
    </row>
    <row r="60">
      <c r="A60" s="10" t="s">
        <v>252</v>
      </c>
      <c r="B60" s="10" t="s">
        <v>253</v>
      </c>
      <c r="C60" s="10" t="s">
        <v>254</v>
      </c>
      <c r="D60" s="13">
        <v>59.0</v>
      </c>
      <c r="E60" s="14" t="str">
        <f t="shared" si="1"/>
        <v>1923.658S</v>
      </c>
      <c r="F60" s="14" t="str">
        <f t="shared" si="2"/>
        <v>04321.133W</v>
      </c>
      <c r="G60" s="14" t="str">
        <f>IFERROR(__xludf.DUMMYFUNCTION("SPLIT($B60,"" "")"),"S19")</f>
        <v>S19</v>
      </c>
      <c r="H60" s="15">
        <f>IFERROR(__xludf.DUMMYFUNCTION("""COMPUTED_VALUE"""),23.0)</f>
        <v>23</v>
      </c>
      <c r="I60" s="16">
        <f>IFERROR(__xludf.DUMMYFUNCTION("""COMPUTED_VALUE"""),39.49)</f>
        <v>39.49</v>
      </c>
      <c r="J60" s="14" t="str">
        <f t="shared" si="3"/>
        <v>0.658</v>
      </c>
      <c r="K60" s="14"/>
      <c r="L60" s="14" t="str">
        <f>IFERROR(__xludf.DUMMYFUNCTION("SPLIT($C60,"" "")"),"W043")</f>
        <v>W043</v>
      </c>
      <c r="M60" s="17">
        <f>IFERROR(__xludf.DUMMYFUNCTION("""COMPUTED_VALUE"""),21.0)</f>
        <v>21</v>
      </c>
      <c r="N60" s="16">
        <f>IFERROR(__xludf.DUMMYFUNCTION("""COMPUTED_VALUE"""),7.97)</f>
        <v>7.97</v>
      </c>
      <c r="O60" s="14" t="str">
        <f t="shared" si="4"/>
        <v>0.133</v>
      </c>
      <c r="Q60" s="10">
        <f t="shared" si="5"/>
        <v>-19.39416667</v>
      </c>
      <c r="R60" s="10">
        <f t="shared" si="6"/>
        <v>-43.35194444</v>
      </c>
    </row>
    <row r="61">
      <c r="A61" s="10" t="s">
        <v>255</v>
      </c>
      <c r="B61" s="10" t="s">
        <v>256</v>
      </c>
      <c r="C61" s="10" t="s">
        <v>257</v>
      </c>
      <c r="D61" s="13">
        <v>60.0</v>
      </c>
      <c r="E61" s="14" t="str">
        <f t="shared" si="1"/>
        <v>1943.413S</v>
      </c>
      <c r="F61" s="14" t="str">
        <f t="shared" si="2"/>
        <v>04333.589W</v>
      </c>
      <c r="G61" s="14" t="str">
        <f>IFERROR(__xludf.DUMMYFUNCTION("SPLIT($B61,"" "")"),"S19")</f>
        <v>S19</v>
      </c>
      <c r="H61" s="15">
        <f>IFERROR(__xludf.DUMMYFUNCTION("""COMPUTED_VALUE"""),43.0)</f>
        <v>43</v>
      </c>
      <c r="I61" s="16">
        <f>IFERROR(__xludf.DUMMYFUNCTION("""COMPUTED_VALUE"""),24.75)</f>
        <v>24.75</v>
      </c>
      <c r="J61" s="14" t="str">
        <f t="shared" si="3"/>
        <v>0.413</v>
      </c>
      <c r="K61" s="14"/>
      <c r="L61" s="14" t="str">
        <f>IFERROR(__xludf.DUMMYFUNCTION("SPLIT($C61,"" "")"),"W043")</f>
        <v>W043</v>
      </c>
      <c r="M61" s="17">
        <f>IFERROR(__xludf.DUMMYFUNCTION("""COMPUTED_VALUE"""),33.0)</f>
        <v>33</v>
      </c>
      <c r="N61" s="16">
        <f>IFERROR(__xludf.DUMMYFUNCTION("""COMPUTED_VALUE"""),35.34)</f>
        <v>35.34</v>
      </c>
      <c r="O61" s="14" t="str">
        <f t="shared" si="4"/>
        <v>0.589</v>
      </c>
      <c r="Q61" s="10">
        <f t="shared" si="5"/>
        <v>-19.72333333</v>
      </c>
      <c r="R61" s="10">
        <f t="shared" si="6"/>
        <v>-43.55972222</v>
      </c>
    </row>
    <row r="62">
      <c r="A62" s="10" t="s">
        <v>258</v>
      </c>
      <c r="B62" s="10" t="s">
        <v>259</v>
      </c>
      <c r="C62" s="10" t="s">
        <v>260</v>
      </c>
      <c r="D62" s="13">
        <v>61.0</v>
      </c>
      <c r="E62" s="14" t="str">
        <f t="shared" si="1"/>
        <v>1934.316S</v>
      </c>
      <c r="F62" s="14" t="str">
        <f t="shared" si="2"/>
        <v>04322.872W</v>
      </c>
      <c r="G62" s="14" t="str">
        <f>IFERROR(__xludf.DUMMYFUNCTION("SPLIT($B62,"" "")"),"S19")</f>
        <v>S19</v>
      </c>
      <c r="H62" s="15">
        <f>IFERROR(__xludf.DUMMYFUNCTION("""COMPUTED_VALUE"""),34.0)</f>
        <v>34</v>
      </c>
      <c r="I62" s="16">
        <f>IFERROR(__xludf.DUMMYFUNCTION("""COMPUTED_VALUE"""),18.95)</f>
        <v>18.95</v>
      </c>
      <c r="J62" s="14" t="str">
        <f t="shared" si="3"/>
        <v>0.316</v>
      </c>
      <c r="K62" s="14"/>
      <c r="L62" s="14" t="str">
        <f>IFERROR(__xludf.DUMMYFUNCTION("SPLIT($C62,"" "")"),"W043")</f>
        <v>W043</v>
      </c>
      <c r="M62" s="17">
        <f>IFERROR(__xludf.DUMMYFUNCTION("""COMPUTED_VALUE"""),22.0)</f>
        <v>22</v>
      </c>
      <c r="N62" s="16">
        <f>IFERROR(__xludf.DUMMYFUNCTION("""COMPUTED_VALUE"""),52.3)</f>
        <v>52.3</v>
      </c>
      <c r="O62" s="14" t="str">
        <f t="shared" si="4"/>
        <v>0.872</v>
      </c>
      <c r="Q62" s="10">
        <f t="shared" si="5"/>
        <v>-19.57166667</v>
      </c>
      <c r="R62" s="10">
        <f t="shared" si="6"/>
        <v>-43.38111111</v>
      </c>
    </row>
    <row r="63">
      <c r="A63" s="10" t="s">
        <v>261</v>
      </c>
      <c r="B63" s="10" t="s">
        <v>262</v>
      </c>
      <c r="C63" s="10" t="s">
        <v>263</v>
      </c>
      <c r="D63" s="13">
        <v>62.0</v>
      </c>
      <c r="E63" s="14" t="str">
        <f t="shared" si="1"/>
        <v>1852.276S</v>
      </c>
      <c r="F63" s="14" t="str">
        <f t="shared" si="2"/>
        <v>04407.303W</v>
      </c>
      <c r="G63" s="14" t="str">
        <f>IFERROR(__xludf.DUMMYFUNCTION("SPLIT($B63,"" "")"),"S18")</f>
        <v>S18</v>
      </c>
      <c r="H63" s="15">
        <f>IFERROR(__xludf.DUMMYFUNCTION("""COMPUTED_VALUE"""),52.0)</f>
        <v>52</v>
      </c>
      <c r="I63" s="16">
        <f>IFERROR(__xludf.DUMMYFUNCTION("""COMPUTED_VALUE"""),16.55)</f>
        <v>16.55</v>
      </c>
      <c r="J63" s="14" t="str">
        <f t="shared" si="3"/>
        <v>0.276</v>
      </c>
      <c r="K63" s="14"/>
      <c r="L63" s="14" t="str">
        <f>IFERROR(__xludf.DUMMYFUNCTION("SPLIT($C63,"" "")"),"W044")</f>
        <v>W044</v>
      </c>
      <c r="M63" s="17">
        <f>IFERROR(__xludf.DUMMYFUNCTION("""COMPUTED_VALUE"""),7.0)</f>
        <v>7</v>
      </c>
      <c r="N63" s="16">
        <f>IFERROR(__xludf.DUMMYFUNCTION("""COMPUTED_VALUE"""),18.18)</f>
        <v>18.18</v>
      </c>
      <c r="O63" s="14" t="str">
        <f t="shared" si="4"/>
        <v>0.303</v>
      </c>
      <c r="Q63" s="10">
        <f t="shared" si="5"/>
        <v>-18.87111111</v>
      </c>
      <c r="R63" s="10">
        <f t="shared" si="6"/>
        <v>-44.12166667</v>
      </c>
    </row>
    <row r="64">
      <c r="A64" s="10" t="s">
        <v>264</v>
      </c>
      <c r="B64" s="10" t="s">
        <v>265</v>
      </c>
      <c r="C64" s="10" t="s">
        <v>266</v>
      </c>
      <c r="D64" s="13">
        <v>63.0</v>
      </c>
      <c r="E64" s="14" t="str">
        <f t="shared" si="1"/>
        <v>2007.811S</v>
      </c>
      <c r="F64" s="14" t="str">
        <f t="shared" si="2"/>
        <v>04354.484W</v>
      </c>
      <c r="G64" s="14" t="str">
        <f>IFERROR(__xludf.DUMMYFUNCTION("SPLIT($B64,"" "")"),"S20")</f>
        <v>S20</v>
      </c>
      <c r="H64" s="15">
        <f>IFERROR(__xludf.DUMMYFUNCTION("""COMPUTED_VALUE"""),7.0)</f>
        <v>7</v>
      </c>
      <c r="I64" s="16">
        <f>IFERROR(__xludf.DUMMYFUNCTION("""COMPUTED_VALUE"""),48.63)</f>
        <v>48.63</v>
      </c>
      <c r="J64" s="14" t="str">
        <f t="shared" si="3"/>
        <v>0.811</v>
      </c>
      <c r="K64" s="14"/>
      <c r="L64" s="14" t="str">
        <f>IFERROR(__xludf.DUMMYFUNCTION("SPLIT($C64,"" "")"),"W043")</f>
        <v>W043</v>
      </c>
      <c r="M64" s="17">
        <f>IFERROR(__xludf.DUMMYFUNCTION("""COMPUTED_VALUE"""),54.0)</f>
        <v>54</v>
      </c>
      <c r="N64" s="16">
        <f>IFERROR(__xludf.DUMMYFUNCTION("""COMPUTED_VALUE"""),29.04)</f>
        <v>29.04</v>
      </c>
      <c r="O64" s="14" t="str">
        <f t="shared" si="4"/>
        <v>0.484</v>
      </c>
      <c r="Q64" s="10">
        <f t="shared" si="5"/>
        <v>-20.13</v>
      </c>
      <c r="R64" s="10">
        <f t="shared" si="6"/>
        <v>-43.90805556</v>
      </c>
    </row>
    <row r="65">
      <c r="A65" s="10" t="s">
        <v>267</v>
      </c>
      <c r="B65" s="10" t="s">
        <v>268</v>
      </c>
      <c r="C65" s="10" t="s">
        <v>269</v>
      </c>
      <c r="D65" s="13">
        <v>64.0</v>
      </c>
      <c r="E65" s="14" t="str">
        <f t="shared" si="1"/>
        <v>2004.138S</v>
      </c>
      <c r="F65" s="14" t="str">
        <f t="shared" si="2"/>
        <v>04405.405W</v>
      </c>
      <c r="G65" s="14" t="str">
        <f>IFERROR(__xludf.DUMMYFUNCTION("SPLIT($B65,"" "")"),"S20")</f>
        <v>S20</v>
      </c>
      <c r="H65" s="15">
        <f>IFERROR(__xludf.DUMMYFUNCTION("""COMPUTED_VALUE"""),4.0)</f>
        <v>4</v>
      </c>
      <c r="I65" s="16">
        <f>IFERROR(__xludf.DUMMYFUNCTION("""COMPUTED_VALUE"""),8.3)</f>
        <v>8.3</v>
      </c>
      <c r="J65" s="14" t="str">
        <f t="shared" si="3"/>
        <v>0.138</v>
      </c>
      <c r="K65" s="14"/>
      <c r="L65" s="14" t="str">
        <f>IFERROR(__xludf.DUMMYFUNCTION("SPLIT($C65,"" "")"),"W044")</f>
        <v>W044</v>
      </c>
      <c r="M65" s="17">
        <f>IFERROR(__xludf.DUMMYFUNCTION("""COMPUTED_VALUE"""),5.0)</f>
        <v>5</v>
      </c>
      <c r="N65" s="16">
        <f>IFERROR(__xludf.DUMMYFUNCTION("""COMPUTED_VALUE"""),24.31)</f>
        <v>24.31</v>
      </c>
      <c r="O65" s="14" t="str">
        <f t="shared" si="4"/>
        <v>0.405</v>
      </c>
      <c r="Q65" s="10">
        <f t="shared" si="5"/>
        <v>-20.06888889</v>
      </c>
      <c r="R65" s="10">
        <f t="shared" si="6"/>
        <v>-44.09</v>
      </c>
    </row>
    <row r="66">
      <c r="A66" s="10" t="s">
        <v>270</v>
      </c>
      <c r="B66" s="10" t="s">
        <v>271</v>
      </c>
      <c r="C66" s="10" t="s">
        <v>272</v>
      </c>
      <c r="D66" s="13">
        <v>65.0</v>
      </c>
      <c r="E66" s="14" t="str">
        <f t="shared" si="1"/>
        <v>1936.263S</v>
      </c>
      <c r="F66" s="14" t="str">
        <f t="shared" si="2"/>
        <v>04339.446W</v>
      </c>
      <c r="G66" s="14" t="str">
        <f>IFERROR(__xludf.DUMMYFUNCTION("SPLIT($B66,"" "")"),"S19")</f>
        <v>S19</v>
      </c>
      <c r="H66" s="15">
        <f>IFERROR(__xludf.DUMMYFUNCTION("""COMPUTED_VALUE"""),36.0)</f>
        <v>36</v>
      </c>
      <c r="I66" s="16">
        <f>IFERROR(__xludf.DUMMYFUNCTION("""COMPUTED_VALUE"""),15.75)</f>
        <v>15.75</v>
      </c>
      <c r="J66" s="14" t="str">
        <f t="shared" si="3"/>
        <v>0.263</v>
      </c>
      <c r="K66" s="14"/>
      <c r="L66" s="14" t="str">
        <f>IFERROR(__xludf.DUMMYFUNCTION("SPLIT($C66,"" "")"),"W043")</f>
        <v>W043</v>
      </c>
      <c r="M66" s="17">
        <f>IFERROR(__xludf.DUMMYFUNCTION("""COMPUTED_VALUE"""),39.0)</f>
        <v>39</v>
      </c>
      <c r="N66" s="16">
        <f>IFERROR(__xludf.DUMMYFUNCTION("""COMPUTED_VALUE"""),26.74)</f>
        <v>26.74</v>
      </c>
      <c r="O66" s="14" t="str">
        <f t="shared" si="4"/>
        <v>0.446</v>
      </c>
      <c r="Q66" s="10">
        <f t="shared" si="5"/>
        <v>-19.60416667</v>
      </c>
      <c r="R66" s="10">
        <f t="shared" si="6"/>
        <v>-43.65722222</v>
      </c>
    </row>
    <row r="67">
      <c r="A67" s="10" t="s">
        <v>273</v>
      </c>
      <c r="B67" s="10" t="s">
        <v>274</v>
      </c>
      <c r="C67" s="10" t="s">
        <v>275</v>
      </c>
      <c r="D67" s="13">
        <v>66.0</v>
      </c>
      <c r="E67" s="14" t="str">
        <f t="shared" si="1"/>
        <v>1949.393S</v>
      </c>
      <c r="F67" s="14" t="str">
        <f t="shared" si="2"/>
        <v>04401.585W</v>
      </c>
      <c r="G67" s="14" t="str">
        <f>IFERROR(__xludf.DUMMYFUNCTION("SPLIT($B67,"" "")"),"S19")</f>
        <v>S19</v>
      </c>
      <c r="H67" s="15">
        <f>IFERROR(__xludf.DUMMYFUNCTION("""COMPUTED_VALUE"""),49.0)</f>
        <v>49</v>
      </c>
      <c r="I67" s="16">
        <f>IFERROR(__xludf.DUMMYFUNCTION("""COMPUTED_VALUE"""),23.57)</f>
        <v>23.57</v>
      </c>
      <c r="J67" s="14" t="str">
        <f t="shared" si="3"/>
        <v>0.393</v>
      </c>
      <c r="K67" s="14"/>
      <c r="L67" s="14" t="str">
        <f>IFERROR(__xludf.DUMMYFUNCTION("SPLIT($C67,"" "")"),"W044")</f>
        <v>W044</v>
      </c>
      <c r="M67" s="17">
        <f>IFERROR(__xludf.DUMMYFUNCTION("""COMPUTED_VALUE"""),1.0)</f>
        <v>1</v>
      </c>
      <c r="N67" s="16">
        <f>IFERROR(__xludf.DUMMYFUNCTION("""COMPUTED_VALUE"""),35.09)</f>
        <v>35.09</v>
      </c>
      <c r="O67" s="14" t="str">
        <f t="shared" si="4"/>
        <v>0.585</v>
      </c>
      <c r="Q67" s="10">
        <f t="shared" si="5"/>
        <v>-19.82305556</v>
      </c>
      <c r="R67" s="10">
        <f t="shared" si="6"/>
        <v>-44.02638889</v>
      </c>
    </row>
    <row r="68">
      <c r="A68" s="10" t="s">
        <v>276</v>
      </c>
      <c r="B68" s="10" t="s">
        <v>277</v>
      </c>
      <c r="C68" s="10" t="s">
        <v>278</v>
      </c>
      <c r="D68" s="13">
        <v>67.0</v>
      </c>
      <c r="E68" s="14" t="str">
        <f t="shared" si="1"/>
        <v>1950.027S</v>
      </c>
      <c r="F68" s="14" t="str">
        <f t="shared" si="2"/>
        <v>04406.840W</v>
      </c>
      <c r="G68" s="14" t="str">
        <f>IFERROR(__xludf.DUMMYFUNCTION("SPLIT($B68,"" "")"),"S19")</f>
        <v>S19</v>
      </c>
      <c r="H68" s="15">
        <f>IFERROR(__xludf.DUMMYFUNCTION("""COMPUTED_VALUE"""),50.0)</f>
        <v>50</v>
      </c>
      <c r="I68" s="16">
        <f>IFERROR(__xludf.DUMMYFUNCTION("""COMPUTED_VALUE"""),1.61)</f>
        <v>1.61</v>
      </c>
      <c r="J68" s="14" t="str">
        <f t="shared" si="3"/>
        <v>0.027</v>
      </c>
      <c r="K68" s="14"/>
      <c r="L68" s="14" t="str">
        <f>IFERROR(__xludf.DUMMYFUNCTION("SPLIT($C68,"" "")"),"W044")</f>
        <v>W044</v>
      </c>
      <c r="M68" s="17">
        <f>IFERROR(__xludf.DUMMYFUNCTION("""COMPUTED_VALUE"""),6.0)</f>
        <v>6</v>
      </c>
      <c r="N68" s="16">
        <f>IFERROR(__xludf.DUMMYFUNCTION("""COMPUTED_VALUE"""),50.4)</f>
        <v>50.4</v>
      </c>
      <c r="O68" s="14" t="str">
        <f t="shared" si="4"/>
        <v>0.840</v>
      </c>
      <c r="Q68" s="10">
        <f t="shared" si="5"/>
        <v>-19.83361111</v>
      </c>
      <c r="R68" s="10">
        <f t="shared" si="6"/>
        <v>-44.11388889</v>
      </c>
    </row>
    <row r="69">
      <c r="A69" s="10" t="s">
        <v>279</v>
      </c>
      <c r="B69" s="10" t="s">
        <v>280</v>
      </c>
      <c r="C69" s="10" t="s">
        <v>281</v>
      </c>
      <c r="D69" s="13">
        <v>68.0</v>
      </c>
      <c r="E69" s="14" t="str">
        <f t="shared" si="1"/>
        <v>1950.751S</v>
      </c>
      <c r="F69" s="14" t="str">
        <f t="shared" si="2"/>
        <v>04412.487W</v>
      </c>
      <c r="G69" s="14" t="str">
        <f>IFERROR(__xludf.DUMMYFUNCTION("SPLIT($B69,"" "")"),"S19")</f>
        <v>S19</v>
      </c>
      <c r="H69" s="15">
        <f>IFERROR(__xludf.DUMMYFUNCTION("""COMPUTED_VALUE"""),50.0)</f>
        <v>50</v>
      </c>
      <c r="I69" s="16">
        <f>IFERROR(__xludf.DUMMYFUNCTION("""COMPUTED_VALUE"""),45.05)</f>
        <v>45.05</v>
      </c>
      <c r="J69" s="14" t="str">
        <f t="shared" si="3"/>
        <v>0.751</v>
      </c>
      <c r="K69" s="14"/>
      <c r="L69" s="14" t="str">
        <f>IFERROR(__xludf.DUMMYFUNCTION("SPLIT($C69,"" "")"),"W044")</f>
        <v>W044</v>
      </c>
      <c r="M69" s="17">
        <f>IFERROR(__xludf.DUMMYFUNCTION("""COMPUTED_VALUE"""),12.0)</f>
        <v>12</v>
      </c>
      <c r="N69" s="16">
        <f>IFERROR(__xludf.DUMMYFUNCTION("""COMPUTED_VALUE"""),29.21)</f>
        <v>29.21</v>
      </c>
      <c r="O69" s="14" t="str">
        <f t="shared" si="4"/>
        <v>0.487</v>
      </c>
      <c r="Q69" s="10">
        <f t="shared" si="5"/>
        <v>-19.84583333</v>
      </c>
      <c r="R69" s="10">
        <f t="shared" si="6"/>
        <v>-44.20805556</v>
      </c>
    </row>
    <row r="70">
      <c r="A70" s="10" t="s">
        <v>282</v>
      </c>
      <c r="B70" s="10" t="s">
        <v>283</v>
      </c>
      <c r="C70" s="10" t="s">
        <v>284</v>
      </c>
      <c r="D70" s="13">
        <v>69.0</v>
      </c>
      <c r="E70" s="14" t="str">
        <f t="shared" si="1"/>
        <v>1931.151S</v>
      </c>
      <c r="F70" s="14" t="str">
        <f t="shared" si="2"/>
        <v>04427.323W</v>
      </c>
      <c r="G70" s="14" t="str">
        <f>IFERROR(__xludf.DUMMYFUNCTION("SPLIT($B70,"" "")"),"S19")</f>
        <v>S19</v>
      </c>
      <c r="H70" s="15">
        <f>IFERROR(__xludf.DUMMYFUNCTION("""COMPUTED_VALUE"""),31.0)</f>
        <v>31</v>
      </c>
      <c r="I70" s="16">
        <f>IFERROR(__xludf.DUMMYFUNCTION("""COMPUTED_VALUE"""),9.04)</f>
        <v>9.04</v>
      </c>
      <c r="J70" s="14" t="str">
        <f t="shared" si="3"/>
        <v>0.151</v>
      </c>
      <c r="K70" s="14"/>
      <c r="L70" s="14" t="str">
        <f>IFERROR(__xludf.DUMMYFUNCTION("SPLIT($C70,"" "")"),"W044")</f>
        <v>W044</v>
      </c>
      <c r="M70" s="17">
        <f>IFERROR(__xludf.DUMMYFUNCTION("""COMPUTED_VALUE"""),27.0)</f>
        <v>27</v>
      </c>
      <c r="N70" s="16">
        <f>IFERROR(__xludf.DUMMYFUNCTION("""COMPUTED_VALUE"""),19.38)</f>
        <v>19.38</v>
      </c>
      <c r="O70" s="14" t="str">
        <f t="shared" si="4"/>
        <v>0.323</v>
      </c>
      <c r="Q70" s="10">
        <f t="shared" si="5"/>
        <v>-19.51916667</v>
      </c>
      <c r="R70" s="10">
        <f t="shared" si="6"/>
        <v>-44.45527778</v>
      </c>
    </row>
    <row r="71">
      <c r="A71" s="10" t="s">
        <v>285</v>
      </c>
      <c r="B71" s="10" t="s">
        <v>286</v>
      </c>
      <c r="C71" s="10" t="s">
        <v>287</v>
      </c>
      <c r="D71" s="13">
        <v>70.0</v>
      </c>
      <c r="E71" s="14" t="str">
        <f t="shared" si="1"/>
        <v>1920.561S</v>
      </c>
      <c r="F71" s="14" t="str">
        <f t="shared" si="2"/>
        <v>04430.660W</v>
      </c>
      <c r="G71" s="14" t="str">
        <f>IFERROR(__xludf.DUMMYFUNCTION("SPLIT($B71,"" "")"),"S19")</f>
        <v>S19</v>
      </c>
      <c r="H71" s="15">
        <f>IFERROR(__xludf.DUMMYFUNCTION("""COMPUTED_VALUE"""),20.0)</f>
        <v>20</v>
      </c>
      <c r="I71" s="16">
        <f>IFERROR(__xludf.DUMMYFUNCTION("""COMPUTED_VALUE"""),33.67)</f>
        <v>33.67</v>
      </c>
      <c r="J71" s="14" t="str">
        <f t="shared" si="3"/>
        <v>0.561</v>
      </c>
      <c r="K71" s="14"/>
      <c r="L71" s="14" t="str">
        <f>IFERROR(__xludf.DUMMYFUNCTION("SPLIT($C71,"" "")"),"W044")</f>
        <v>W044</v>
      </c>
      <c r="M71" s="17">
        <f>IFERROR(__xludf.DUMMYFUNCTION("""COMPUTED_VALUE"""),30.0)</f>
        <v>30</v>
      </c>
      <c r="N71" s="16">
        <f>IFERROR(__xludf.DUMMYFUNCTION("""COMPUTED_VALUE"""),39.61)</f>
        <v>39.61</v>
      </c>
      <c r="O71" s="14" t="str">
        <f t="shared" si="4"/>
        <v>0.660</v>
      </c>
      <c r="Q71" s="10">
        <f t="shared" si="5"/>
        <v>-19.3425</v>
      </c>
      <c r="R71" s="10">
        <f t="shared" si="6"/>
        <v>-44.51083333</v>
      </c>
    </row>
    <row r="72">
      <c r="A72" s="10" t="s">
        <v>288</v>
      </c>
      <c r="B72" s="10" t="s">
        <v>289</v>
      </c>
      <c r="C72" s="10" t="s">
        <v>290</v>
      </c>
      <c r="D72" s="13">
        <v>71.0</v>
      </c>
      <c r="E72" s="14" t="str">
        <f t="shared" si="1"/>
        <v>1909.453S</v>
      </c>
      <c r="F72" s="14" t="str">
        <f t="shared" si="2"/>
        <v>04423.881W</v>
      </c>
      <c r="G72" s="14" t="str">
        <f>IFERROR(__xludf.DUMMYFUNCTION("SPLIT($B72,"" "")"),"S19")</f>
        <v>S19</v>
      </c>
      <c r="H72" s="15">
        <f>IFERROR(__xludf.DUMMYFUNCTION("""COMPUTED_VALUE"""),9.0)</f>
        <v>9</v>
      </c>
      <c r="I72" s="16">
        <f>IFERROR(__xludf.DUMMYFUNCTION("""COMPUTED_VALUE"""),27.17)</f>
        <v>27.17</v>
      </c>
      <c r="J72" s="14" t="str">
        <f t="shared" si="3"/>
        <v>0.453</v>
      </c>
      <c r="K72" s="14"/>
      <c r="L72" s="14" t="str">
        <f>IFERROR(__xludf.DUMMYFUNCTION("SPLIT($C72,"" "")"),"W044")</f>
        <v>W044</v>
      </c>
      <c r="M72" s="17">
        <f>IFERROR(__xludf.DUMMYFUNCTION("""COMPUTED_VALUE"""),23.0)</f>
        <v>23</v>
      </c>
      <c r="N72" s="16">
        <f>IFERROR(__xludf.DUMMYFUNCTION("""COMPUTED_VALUE"""),52.85)</f>
        <v>52.85</v>
      </c>
      <c r="O72" s="14" t="str">
        <f t="shared" si="4"/>
        <v>0.881</v>
      </c>
      <c r="Q72" s="10">
        <f t="shared" si="5"/>
        <v>-19.1575</v>
      </c>
      <c r="R72" s="10">
        <f t="shared" si="6"/>
        <v>-44.39777778</v>
      </c>
    </row>
    <row r="73">
      <c r="A73" s="10" t="s">
        <v>291</v>
      </c>
      <c r="B73" s="10" t="s">
        <v>292</v>
      </c>
      <c r="C73" s="10" t="s">
        <v>293</v>
      </c>
      <c r="D73" s="13">
        <v>72.0</v>
      </c>
      <c r="E73" s="14" t="str">
        <f t="shared" si="1"/>
        <v>1952.284S</v>
      </c>
      <c r="F73" s="14" t="str">
        <f t="shared" si="2"/>
        <v>04424.514W</v>
      </c>
      <c r="G73" s="14" t="str">
        <f>IFERROR(__xludf.DUMMYFUNCTION("SPLIT($B73,"" "")"),"S19")</f>
        <v>S19</v>
      </c>
      <c r="H73" s="15">
        <f>IFERROR(__xludf.DUMMYFUNCTION("""COMPUTED_VALUE"""),52.0)</f>
        <v>52</v>
      </c>
      <c r="I73" s="16">
        <f>IFERROR(__xludf.DUMMYFUNCTION("""COMPUTED_VALUE"""),17.03)</f>
        <v>17.03</v>
      </c>
      <c r="J73" s="14" t="str">
        <f t="shared" si="3"/>
        <v>0.284</v>
      </c>
      <c r="K73" s="14"/>
      <c r="L73" s="14" t="str">
        <f>IFERROR(__xludf.DUMMYFUNCTION("SPLIT($C73,"" "")"),"W044")</f>
        <v>W044</v>
      </c>
      <c r="M73" s="17">
        <f>IFERROR(__xludf.DUMMYFUNCTION("""COMPUTED_VALUE"""),24.0)</f>
        <v>24</v>
      </c>
      <c r="N73" s="16">
        <f>IFERROR(__xludf.DUMMYFUNCTION("""COMPUTED_VALUE"""),30.84)</f>
        <v>30.84</v>
      </c>
      <c r="O73" s="14" t="str">
        <f t="shared" si="4"/>
        <v>0.514</v>
      </c>
      <c r="Q73" s="10">
        <f t="shared" si="5"/>
        <v>-19.87138889</v>
      </c>
      <c r="R73" s="10">
        <f t="shared" si="6"/>
        <v>-44.40833333</v>
      </c>
    </row>
    <row r="74">
      <c r="A74" s="10" t="s">
        <v>294</v>
      </c>
      <c r="B74" s="10" t="s">
        <v>295</v>
      </c>
      <c r="C74" s="10" t="s">
        <v>296</v>
      </c>
      <c r="D74" s="13">
        <v>73.0</v>
      </c>
      <c r="E74" s="14" t="str">
        <f t="shared" si="1"/>
        <v>1947.189S</v>
      </c>
      <c r="F74" s="14" t="str">
        <f t="shared" si="2"/>
        <v>04433.489W</v>
      </c>
      <c r="G74" s="14" t="str">
        <f>IFERROR(__xludf.DUMMYFUNCTION("SPLIT($B74,"" "")"),"S19")</f>
        <v>S19</v>
      </c>
      <c r="H74" s="15">
        <f>IFERROR(__xludf.DUMMYFUNCTION("""COMPUTED_VALUE"""),47.0)</f>
        <v>47</v>
      </c>
      <c r="I74" s="16">
        <f>IFERROR(__xludf.DUMMYFUNCTION("""COMPUTED_VALUE"""),11.36)</f>
        <v>11.36</v>
      </c>
      <c r="J74" s="14" t="str">
        <f t="shared" si="3"/>
        <v>0.189</v>
      </c>
      <c r="K74" s="14"/>
      <c r="L74" s="14" t="str">
        <f>IFERROR(__xludf.DUMMYFUNCTION("SPLIT($C74,"" "")"),"W044")</f>
        <v>W044</v>
      </c>
      <c r="M74" s="17">
        <f>IFERROR(__xludf.DUMMYFUNCTION("""COMPUTED_VALUE"""),33.0)</f>
        <v>33</v>
      </c>
      <c r="N74" s="16">
        <f>IFERROR(__xludf.DUMMYFUNCTION("""COMPUTED_VALUE"""),29.32)</f>
        <v>29.32</v>
      </c>
      <c r="O74" s="14" t="str">
        <f t="shared" si="4"/>
        <v>0.489</v>
      </c>
      <c r="Q74" s="10">
        <f t="shared" si="5"/>
        <v>-19.78638889</v>
      </c>
      <c r="R74" s="10">
        <f t="shared" si="6"/>
        <v>-44.55805556</v>
      </c>
    </row>
    <row r="75">
      <c r="A75" s="10" t="s">
        <v>297</v>
      </c>
      <c r="B75" s="10" t="s">
        <v>298</v>
      </c>
      <c r="C75" s="10" t="s">
        <v>299</v>
      </c>
      <c r="D75" s="13">
        <v>74.0</v>
      </c>
      <c r="E75" s="14" t="str">
        <f t="shared" si="1"/>
        <v>1952.375S</v>
      </c>
      <c r="F75" s="14" t="str">
        <f t="shared" si="2"/>
        <v>04410.259W</v>
      </c>
      <c r="G75" s="14" t="str">
        <f>IFERROR(__xludf.DUMMYFUNCTION("SPLIT($B75,"" "")"),"S19")</f>
        <v>S19</v>
      </c>
      <c r="H75" s="15">
        <f>IFERROR(__xludf.DUMMYFUNCTION("""COMPUTED_VALUE"""),52.0)</f>
        <v>52</v>
      </c>
      <c r="I75" s="16">
        <f>IFERROR(__xludf.DUMMYFUNCTION("""COMPUTED_VALUE"""),22.51)</f>
        <v>22.51</v>
      </c>
      <c r="J75" s="14" t="str">
        <f t="shared" si="3"/>
        <v>0.375</v>
      </c>
      <c r="K75" s="14"/>
      <c r="L75" s="14" t="str">
        <f>IFERROR(__xludf.DUMMYFUNCTION("SPLIT($C75,"" "")"),"W044")</f>
        <v>W044</v>
      </c>
      <c r="M75" s="17">
        <f>IFERROR(__xludf.DUMMYFUNCTION("""COMPUTED_VALUE"""),10.0)</f>
        <v>10</v>
      </c>
      <c r="N75" s="16">
        <f>IFERROR(__xludf.DUMMYFUNCTION("""COMPUTED_VALUE"""),15.53)</f>
        <v>15.53</v>
      </c>
      <c r="O75" s="14" t="str">
        <f t="shared" si="4"/>
        <v>0.259</v>
      </c>
      <c r="Q75" s="10">
        <f t="shared" si="5"/>
        <v>-19.87277778</v>
      </c>
      <c r="R75" s="10">
        <f t="shared" si="6"/>
        <v>-44.17083333</v>
      </c>
    </row>
    <row r="76">
      <c r="A76" s="10" t="s">
        <v>300</v>
      </c>
      <c r="B76" s="10" t="s">
        <v>301</v>
      </c>
      <c r="C76" s="10" t="s">
        <v>302</v>
      </c>
      <c r="D76" s="13">
        <v>75.0</v>
      </c>
      <c r="E76" s="14" t="str">
        <f t="shared" si="1"/>
        <v>2008.970S</v>
      </c>
      <c r="F76" s="14" t="str">
        <f t="shared" si="2"/>
        <v>04406.702W</v>
      </c>
      <c r="G76" s="14" t="str">
        <f>IFERROR(__xludf.DUMMYFUNCTION("SPLIT($B76,"" "")"),"S20")</f>
        <v>S20</v>
      </c>
      <c r="H76" s="15">
        <f>IFERROR(__xludf.DUMMYFUNCTION("""COMPUTED_VALUE"""),8.0)</f>
        <v>8</v>
      </c>
      <c r="I76" s="16">
        <f>IFERROR(__xludf.DUMMYFUNCTION("""COMPUTED_VALUE"""),58.21)</f>
        <v>58.21</v>
      </c>
      <c r="J76" s="14" t="str">
        <f t="shared" si="3"/>
        <v>0.970</v>
      </c>
      <c r="K76" s="14"/>
      <c r="L76" s="14" t="str">
        <f>IFERROR(__xludf.DUMMYFUNCTION("SPLIT($C76,"" "")"),"W044")</f>
        <v>W044</v>
      </c>
      <c r="M76" s="17">
        <f>IFERROR(__xludf.DUMMYFUNCTION("""COMPUTED_VALUE"""),6.0)</f>
        <v>6</v>
      </c>
      <c r="N76" s="16">
        <f>IFERROR(__xludf.DUMMYFUNCTION("""COMPUTED_VALUE"""),42.09)</f>
        <v>42.09</v>
      </c>
      <c r="O76" s="14" t="str">
        <f t="shared" si="4"/>
        <v>0.702</v>
      </c>
      <c r="Q76" s="10">
        <f t="shared" si="5"/>
        <v>-20.14944444</v>
      </c>
      <c r="R76" s="10">
        <f t="shared" si="6"/>
        <v>-44.11166667</v>
      </c>
    </row>
    <row r="77">
      <c r="A77" s="10" t="s">
        <v>303</v>
      </c>
      <c r="B77" s="10" t="s">
        <v>304</v>
      </c>
      <c r="C77" s="10" t="s">
        <v>305</v>
      </c>
      <c r="D77" s="13">
        <v>76.0</v>
      </c>
      <c r="E77" s="14" t="str">
        <f t="shared" si="1"/>
        <v>2015.059S</v>
      </c>
      <c r="F77" s="14" t="str">
        <f t="shared" si="2"/>
        <v>04328.736W</v>
      </c>
      <c r="G77" s="14" t="str">
        <f>IFERROR(__xludf.DUMMYFUNCTION("SPLIT($B77,"" "")"),"S20")</f>
        <v>S20</v>
      </c>
      <c r="H77" s="15">
        <f>IFERROR(__xludf.DUMMYFUNCTION("""COMPUTED_VALUE"""),15.0)</f>
        <v>15</v>
      </c>
      <c r="I77" s="16">
        <f>IFERROR(__xludf.DUMMYFUNCTION("""COMPUTED_VALUE"""),3.55)</f>
        <v>3.55</v>
      </c>
      <c r="J77" s="14" t="str">
        <f t="shared" si="3"/>
        <v>0.059</v>
      </c>
      <c r="K77" s="14"/>
      <c r="L77" s="14" t="str">
        <f>IFERROR(__xludf.DUMMYFUNCTION("SPLIT($C77,"" "")"),"W043")</f>
        <v>W043</v>
      </c>
      <c r="M77" s="17">
        <f>IFERROR(__xludf.DUMMYFUNCTION("""COMPUTED_VALUE"""),28.0)</f>
        <v>28</v>
      </c>
      <c r="N77" s="16">
        <f>IFERROR(__xludf.DUMMYFUNCTION("""COMPUTED_VALUE"""),44.18)</f>
        <v>44.18</v>
      </c>
      <c r="O77" s="14" t="str">
        <f t="shared" si="4"/>
        <v>0.736</v>
      </c>
      <c r="Q77" s="10">
        <f t="shared" si="5"/>
        <v>-20.25083333</v>
      </c>
      <c r="R77" s="10">
        <f t="shared" si="6"/>
        <v>-43.47888889</v>
      </c>
    </row>
    <row r="78">
      <c r="A78" s="10" t="s">
        <v>306</v>
      </c>
      <c r="B78" s="10" t="s">
        <v>307</v>
      </c>
      <c r="C78" s="10" t="s">
        <v>308</v>
      </c>
      <c r="D78" s="13">
        <v>77.0</v>
      </c>
      <c r="E78" s="14" t="str">
        <f t="shared" si="1"/>
        <v>2013.159S</v>
      </c>
      <c r="F78" s="14" t="str">
        <f t="shared" si="2"/>
        <v>04321.359W</v>
      </c>
      <c r="G78" s="14" t="str">
        <f>IFERROR(__xludf.DUMMYFUNCTION("SPLIT($B78,"" "")"),"S20")</f>
        <v>S20</v>
      </c>
      <c r="H78" s="15">
        <f>IFERROR(__xludf.DUMMYFUNCTION("""COMPUTED_VALUE"""),13.0)</f>
        <v>13</v>
      </c>
      <c r="I78" s="16">
        <f>IFERROR(__xludf.DUMMYFUNCTION("""COMPUTED_VALUE"""),9.52)</f>
        <v>9.52</v>
      </c>
      <c r="J78" s="14" t="str">
        <f t="shared" si="3"/>
        <v>0.159</v>
      </c>
      <c r="K78" s="14"/>
      <c r="L78" s="14" t="str">
        <f>IFERROR(__xludf.DUMMYFUNCTION("SPLIT($C78,"" "")"),"W043")</f>
        <v>W043</v>
      </c>
      <c r="M78" s="17">
        <f>IFERROR(__xludf.DUMMYFUNCTION("""COMPUTED_VALUE"""),21.0)</f>
        <v>21</v>
      </c>
      <c r="N78" s="16">
        <f>IFERROR(__xludf.DUMMYFUNCTION("""COMPUTED_VALUE"""),21.56)</f>
        <v>21.56</v>
      </c>
      <c r="O78" s="14" t="str">
        <f t="shared" si="4"/>
        <v>0.359</v>
      </c>
      <c r="Q78" s="10">
        <f t="shared" si="5"/>
        <v>-20.21916667</v>
      </c>
      <c r="R78" s="10">
        <f t="shared" si="6"/>
        <v>-43.35583333</v>
      </c>
    </row>
    <row r="79">
      <c r="A79" s="10" t="s">
        <v>309</v>
      </c>
      <c r="B79" s="10" t="s">
        <v>310</v>
      </c>
      <c r="C79" s="10" t="s">
        <v>311</v>
      </c>
      <c r="D79" s="13">
        <v>78.0</v>
      </c>
      <c r="E79" s="14" t="str">
        <f t="shared" si="1"/>
        <v>1957.270S</v>
      </c>
      <c r="F79" s="14" t="str">
        <f t="shared" si="2"/>
        <v>04315.954W</v>
      </c>
      <c r="G79" s="14" t="str">
        <f>IFERROR(__xludf.DUMMYFUNCTION("SPLIT($B79,"" "")"),"S19")</f>
        <v>S19</v>
      </c>
      <c r="H79" s="15">
        <f>IFERROR(__xludf.DUMMYFUNCTION("""COMPUTED_VALUE"""),57.0)</f>
        <v>57</v>
      </c>
      <c r="I79" s="16">
        <f>IFERROR(__xludf.DUMMYFUNCTION("""COMPUTED_VALUE"""),16.17)</f>
        <v>16.17</v>
      </c>
      <c r="J79" s="14" t="str">
        <f t="shared" si="3"/>
        <v>0.270</v>
      </c>
      <c r="K79" s="14"/>
      <c r="L79" s="14" t="str">
        <f>IFERROR(__xludf.DUMMYFUNCTION("SPLIT($C79,"" "")"),"W043")</f>
        <v>W043</v>
      </c>
      <c r="M79" s="17">
        <f>IFERROR(__xludf.DUMMYFUNCTION("""COMPUTED_VALUE"""),15.0)</f>
        <v>15</v>
      </c>
      <c r="N79" s="16">
        <f>IFERROR(__xludf.DUMMYFUNCTION("""COMPUTED_VALUE"""),57.22)</f>
        <v>57.22</v>
      </c>
      <c r="O79" s="14" t="str">
        <f t="shared" si="4"/>
        <v>0.954</v>
      </c>
      <c r="Q79" s="10">
        <f t="shared" si="5"/>
        <v>-19.95444444</v>
      </c>
      <c r="R79" s="10">
        <f t="shared" si="6"/>
        <v>-43.26583333</v>
      </c>
    </row>
    <row r="80">
      <c r="A80" s="10" t="s">
        <v>312</v>
      </c>
      <c r="B80" s="10" t="s">
        <v>313</v>
      </c>
      <c r="C80" s="10" t="s">
        <v>314</v>
      </c>
      <c r="D80" s="13">
        <v>79.0</v>
      </c>
      <c r="E80" s="14" t="str">
        <f t="shared" si="1"/>
        <v>1934.609S</v>
      </c>
      <c r="F80" s="14" t="str">
        <f t="shared" si="2"/>
        <v>04317.611W</v>
      </c>
      <c r="G80" s="14" t="str">
        <f>IFERROR(__xludf.DUMMYFUNCTION("SPLIT($B80,"" "")"),"S19")</f>
        <v>S19</v>
      </c>
      <c r="H80" s="15">
        <f>IFERROR(__xludf.DUMMYFUNCTION("""COMPUTED_VALUE"""),34.0)</f>
        <v>34</v>
      </c>
      <c r="I80" s="16">
        <f>IFERROR(__xludf.DUMMYFUNCTION("""COMPUTED_VALUE"""),36.52)</f>
        <v>36.52</v>
      </c>
      <c r="J80" s="14" t="str">
        <f t="shared" si="3"/>
        <v>0.609</v>
      </c>
      <c r="K80" s="14"/>
      <c r="L80" s="14" t="str">
        <f>IFERROR(__xludf.DUMMYFUNCTION("SPLIT($C80,"" "")"),"W043")</f>
        <v>W043</v>
      </c>
      <c r="M80" s="17">
        <f>IFERROR(__xludf.DUMMYFUNCTION("""COMPUTED_VALUE"""),17.0)</f>
        <v>17</v>
      </c>
      <c r="N80" s="16">
        <f>IFERROR(__xludf.DUMMYFUNCTION("""COMPUTED_VALUE"""),36.63)</f>
        <v>36.63</v>
      </c>
      <c r="O80" s="14" t="str">
        <f t="shared" si="4"/>
        <v>0.611</v>
      </c>
      <c r="Q80" s="10">
        <f t="shared" si="5"/>
        <v>-19.57666667</v>
      </c>
      <c r="R80" s="10">
        <f t="shared" si="6"/>
        <v>-43.29333333</v>
      </c>
    </row>
    <row r="81">
      <c r="A81" s="10" t="s">
        <v>315</v>
      </c>
      <c r="B81" s="10" t="s">
        <v>316</v>
      </c>
      <c r="C81" s="10" t="s">
        <v>317</v>
      </c>
      <c r="D81" s="13">
        <v>80.0</v>
      </c>
      <c r="E81" s="14" t="str">
        <f t="shared" si="1"/>
        <v>2002.241S</v>
      </c>
      <c r="F81" s="14" t="str">
        <f t="shared" si="2"/>
        <v>04413.065W</v>
      </c>
      <c r="G81" s="14" t="str">
        <f>IFERROR(__xludf.DUMMYFUNCTION("SPLIT($B81,"" "")"),"S20")</f>
        <v>S20</v>
      </c>
      <c r="H81" s="15">
        <f>IFERROR(__xludf.DUMMYFUNCTION("""COMPUTED_VALUE"""),2.0)</f>
        <v>2</v>
      </c>
      <c r="I81" s="16">
        <f>IFERROR(__xludf.DUMMYFUNCTION("""COMPUTED_VALUE"""),14.43)</f>
        <v>14.43</v>
      </c>
      <c r="J81" s="14" t="str">
        <f t="shared" si="3"/>
        <v>0.241</v>
      </c>
      <c r="K81" s="14"/>
      <c r="L81" s="14" t="str">
        <f>IFERROR(__xludf.DUMMYFUNCTION("SPLIT($C81,"" "")"),"W044")</f>
        <v>W044</v>
      </c>
      <c r="M81" s="17">
        <f>IFERROR(__xludf.DUMMYFUNCTION("""COMPUTED_VALUE"""),13.0)</f>
        <v>13</v>
      </c>
      <c r="N81" s="16">
        <f>IFERROR(__xludf.DUMMYFUNCTION("""COMPUTED_VALUE"""),3.92)</f>
        <v>3.92</v>
      </c>
      <c r="O81" s="14" t="str">
        <f t="shared" si="4"/>
        <v>0.065</v>
      </c>
      <c r="Q81" s="10">
        <f t="shared" si="5"/>
        <v>-20.03722222</v>
      </c>
      <c r="R81" s="10">
        <f t="shared" si="6"/>
        <v>-44.2175</v>
      </c>
    </row>
    <row r="82">
      <c r="A82" s="10" t="s">
        <v>318</v>
      </c>
      <c r="B82" s="10" t="s">
        <v>319</v>
      </c>
      <c r="C82" s="10" t="s">
        <v>320</v>
      </c>
      <c r="D82" s="13">
        <v>81.0</v>
      </c>
      <c r="E82" s="14" t="str">
        <f t="shared" si="1"/>
        <v>2009.311S</v>
      </c>
      <c r="F82" s="14" t="str">
        <f t="shared" si="2"/>
        <v>04417.162W</v>
      </c>
      <c r="G82" s="14" t="str">
        <f>IFERROR(__xludf.DUMMYFUNCTION("SPLIT($B82,"" "")"),"S20")</f>
        <v>S20</v>
      </c>
      <c r="H82" s="15">
        <f>IFERROR(__xludf.DUMMYFUNCTION("""COMPUTED_VALUE"""),9.0)</f>
        <v>9</v>
      </c>
      <c r="I82" s="16">
        <f>IFERROR(__xludf.DUMMYFUNCTION("""COMPUTED_VALUE"""),18.68)</f>
        <v>18.68</v>
      </c>
      <c r="J82" s="14" t="str">
        <f t="shared" si="3"/>
        <v>0.311</v>
      </c>
      <c r="K82" s="14"/>
      <c r="L82" s="14" t="str">
        <f>IFERROR(__xludf.DUMMYFUNCTION("SPLIT($C82,"" "")"),"W044")</f>
        <v>W044</v>
      </c>
      <c r="M82" s="17">
        <f>IFERROR(__xludf.DUMMYFUNCTION("""COMPUTED_VALUE"""),17.0)</f>
        <v>17</v>
      </c>
      <c r="N82" s="16">
        <f>IFERROR(__xludf.DUMMYFUNCTION("""COMPUTED_VALUE"""),9.7)</f>
        <v>9.7</v>
      </c>
      <c r="O82" s="14" t="str">
        <f t="shared" si="4"/>
        <v>0.162</v>
      </c>
      <c r="Q82" s="10">
        <f t="shared" si="5"/>
        <v>-20.155</v>
      </c>
      <c r="R82" s="10">
        <f t="shared" si="6"/>
        <v>-44.28583333</v>
      </c>
    </row>
    <row r="83">
      <c r="A83" s="10" t="s">
        <v>321</v>
      </c>
      <c r="B83" s="10" t="s">
        <v>322</v>
      </c>
      <c r="C83" s="10" t="s">
        <v>323</v>
      </c>
      <c r="D83" s="13">
        <v>82.0</v>
      </c>
      <c r="E83" s="14" t="str">
        <f t="shared" si="1"/>
        <v>2000.770S</v>
      </c>
      <c r="F83" s="14" t="str">
        <f t="shared" si="2"/>
        <v>04347.756W</v>
      </c>
      <c r="G83" s="14" t="str">
        <f>IFERROR(__xludf.DUMMYFUNCTION("SPLIT($B83,"" "")"),"S20")</f>
        <v>S20</v>
      </c>
      <c r="H83" s="15">
        <f>IFERROR(__xludf.DUMMYFUNCTION("""COMPUTED_VALUE"""),0.0)</f>
        <v>0</v>
      </c>
      <c r="I83" s="16">
        <f>IFERROR(__xludf.DUMMYFUNCTION("""COMPUTED_VALUE"""),46.21)</f>
        <v>46.21</v>
      </c>
      <c r="J83" s="14" t="str">
        <f t="shared" si="3"/>
        <v>0.770</v>
      </c>
      <c r="K83" s="14"/>
      <c r="L83" s="14" t="str">
        <f>IFERROR(__xludf.DUMMYFUNCTION("SPLIT($C83,"" "")"),"W043")</f>
        <v>W043</v>
      </c>
      <c r="M83" s="17">
        <f>IFERROR(__xludf.DUMMYFUNCTION("""COMPUTED_VALUE"""),47.0)</f>
        <v>47</v>
      </c>
      <c r="N83" s="16">
        <f>IFERROR(__xludf.DUMMYFUNCTION("""COMPUTED_VALUE"""),45.33)</f>
        <v>45.33</v>
      </c>
      <c r="O83" s="14" t="str">
        <f t="shared" si="4"/>
        <v>0.756</v>
      </c>
      <c r="Q83" s="10">
        <f t="shared" si="5"/>
        <v>-20.01277778</v>
      </c>
      <c r="R83" s="10">
        <f t="shared" si="6"/>
        <v>-43.79583333</v>
      </c>
    </row>
    <row r="84">
      <c r="A84" s="10" t="s">
        <v>324</v>
      </c>
      <c r="B84" s="10" t="s">
        <v>325</v>
      </c>
      <c r="C84" s="10" t="s">
        <v>326</v>
      </c>
      <c r="D84" s="13">
        <v>83.0</v>
      </c>
      <c r="E84" s="14" t="str">
        <f t="shared" si="1"/>
        <v>2005.466S</v>
      </c>
      <c r="F84" s="14" t="str">
        <f t="shared" si="2"/>
        <v>04416.423W</v>
      </c>
      <c r="G84" s="14" t="str">
        <f>IFERROR(__xludf.DUMMYFUNCTION("SPLIT($B84,"" "")"),"S20")</f>
        <v>S20</v>
      </c>
      <c r="H84" s="15">
        <f>IFERROR(__xludf.DUMMYFUNCTION("""COMPUTED_VALUE"""),5.0)</f>
        <v>5</v>
      </c>
      <c r="I84" s="16">
        <f>IFERROR(__xludf.DUMMYFUNCTION("""COMPUTED_VALUE"""),27.96)</f>
        <v>27.96</v>
      </c>
      <c r="J84" s="14" t="str">
        <f t="shared" si="3"/>
        <v>0.466</v>
      </c>
      <c r="K84" s="14"/>
      <c r="L84" s="14" t="str">
        <f>IFERROR(__xludf.DUMMYFUNCTION("SPLIT($C84,"" "")"),"W044")</f>
        <v>W044</v>
      </c>
      <c r="M84" s="17">
        <f>IFERROR(__xludf.DUMMYFUNCTION("""COMPUTED_VALUE"""),16.0)</f>
        <v>16</v>
      </c>
      <c r="N84" s="16">
        <f>IFERROR(__xludf.DUMMYFUNCTION("""COMPUTED_VALUE"""),25.37)</f>
        <v>25.37</v>
      </c>
      <c r="O84" s="14" t="str">
        <f t="shared" si="4"/>
        <v>0.423</v>
      </c>
      <c r="Q84" s="10">
        <f t="shared" si="5"/>
        <v>-20.09083333</v>
      </c>
      <c r="R84" s="10">
        <f t="shared" si="6"/>
        <v>-44.27361111</v>
      </c>
    </row>
    <row r="85">
      <c r="A85" s="10" t="s">
        <v>327</v>
      </c>
      <c r="B85" s="10" t="s">
        <v>328</v>
      </c>
      <c r="C85" s="10" t="s">
        <v>329</v>
      </c>
      <c r="D85" s="13">
        <v>84.0</v>
      </c>
      <c r="E85" s="14" t="str">
        <f t="shared" si="1"/>
        <v>1940.033S</v>
      </c>
      <c r="F85" s="14" t="str">
        <f t="shared" si="2"/>
        <v>04431.763W</v>
      </c>
      <c r="G85" s="14" t="str">
        <f>IFERROR(__xludf.DUMMYFUNCTION("SPLIT($B85,"" "")"),"S19")</f>
        <v>S19</v>
      </c>
      <c r="H85" s="15">
        <f>IFERROR(__xludf.DUMMYFUNCTION("""COMPUTED_VALUE"""),40.0)</f>
        <v>40</v>
      </c>
      <c r="I85" s="16">
        <f>IFERROR(__xludf.DUMMYFUNCTION("""COMPUTED_VALUE"""),1.96)</f>
        <v>1.96</v>
      </c>
      <c r="J85" s="14" t="str">
        <f t="shared" si="3"/>
        <v>0.033</v>
      </c>
      <c r="K85" s="14"/>
      <c r="L85" s="14" t="str">
        <f>IFERROR(__xludf.DUMMYFUNCTION("SPLIT($C85,"" "")"),"W044")</f>
        <v>W044</v>
      </c>
      <c r="M85" s="17">
        <f>IFERROR(__xludf.DUMMYFUNCTION("""COMPUTED_VALUE"""),31.0)</f>
        <v>31</v>
      </c>
      <c r="N85" s="16">
        <f>IFERROR(__xludf.DUMMYFUNCTION("""COMPUTED_VALUE"""),45.77)</f>
        <v>45.77</v>
      </c>
      <c r="O85" s="14" t="str">
        <f t="shared" si="4"/>
        <v>0.763</v>
      </c>
      <c r="Q85" s="10">
        <f t="shared" si="5"/>
        <v>-19.66694444</v>
      </c>
      <c r="R85" s="10">
        <f t="shared" si="6"/>
        <v>-44.52916667</v>
      </c>
    </row>
    <row r="86">
      <c r="A86" s="10" t="s">
        <v>330</v>
      </c>
      <c r="B86" s="10" t="s">
        <v>331</v>
      </c>
      <c r="C86" s="10" t="s">
        <v>332</v>
      </c>
      <c r="D86" s="13">
        <v>85.0</v>
      </c>
      <c r="E86" s="14" t="str">
        <f t="shared" si="1"/>
        <v>1954.633S</v>
      </c>
      <c r="F86" s="14" t="str">
        <f t="shared" si="2"/>
        <v>04327.274W</v>
      </c>
      <c r="G86" s="14" t="str">
        <f>IFERROR(__xludf.DUMMYFUNCTION("SPLIT($B86,"" "")"),"S19")</f>
        <v>S19</v>
      </c>
      <c r="H86" s="15">
        <f>IFERROR(__xludf.DUMMYFUNCTION("""COMPUTED_VALUE"""),54.0)</f>
        <v>54</v>
      </c>
      <c r="I86" s="16">
        <f>IFERROR(__xludf.DUMMYFUNCTION("""COMPUTED_VALUE"""),37.95)</f>
        <v>37.95</v>
      </c>
      <c r="J86" s="14" t="str">
        <f t="shared" si="3"/>
        <v>0.633</v>
      </c>
      <c r="K86" s="14"/>
      <c r="L86" s="14" t="str">
        <f>IFERROR(__xludf.DUMMYFUNCTION("SPLIT($C86,"" "")"),"W043")</f>
        <v>W043</v>
      </c>
      <c r="M86" s="17">
        <f>IFERROR(__xludf.DUMMYFUNCTION("""COMPUTED_VALUE"""),27.0)</f>
        <v>27</v>
      </c>
      <c r="N86" s="16">
        <f>IFERROR(__xludf.DUMMYFUNCTION("""COMPUTED_VALUE"""),16.46)</f>
        <v>16.46</v>
      </c>
      <c r="O86" s="14" t="str">
        <f t="shared" si="4"/>
        <v>0.274</v>
      </c>
      <c r="Q86" s="10">
        <f t="shared" si="5"/>
        <v>-19.91027778</v>
      </c>
      <c r="R86" s="10">
        <f t="shared" si="6"/>
        <v>-43.45444444</v>
      </c>
    </row>
    <row r="87">
      <c r="A87" s="10" t="s">
        <v>333</v>
      </c>
      <c r="B87" s="10" t="s">
        <v>334</v>
      </c>
      <c r="C87" s="10" t="s">
        <v>335</v>
      </c>
      <c r="D87" s="13">
        <v>86.0</v>
      </c>
      <c r="E87" s="14" t="str">
        <f t="shared" si="1"/>
        <v>2010.626S</v>
      </c>
      <c r="F87" s="14" t="str">
        <f t="shared" si="2"/>
        <v>04402.095W</v>
      </c>
      <c r="G87" s="14" t="str">
        <f>IFERROR(__xludf.DUMMYFUNCTION("SPLIT($B87,"" "")"),"S20")</f>
        <v>S20</v>
      </c>
      <c r="H87" s="15">
        <f>IFERROR(__xludf.DUMMYFUNCTION("""COMPUTED_VALUE"""),10.0)</f>
        <v>10</v>
      </c>
      <c r="I87" s="16">
        <f>IFERROR(__xludf.DUMMYFUNCTION("""COMPUTED_VALUE"""),37.53)</f>
        <v>37.53</v>
      </c>
      <c r="J87" s="14" t="str">
        <f t="shared" si="3"/>
        <v>0.626</v>
      </c>
      <c r="K87" s="14"/>
      <c r="L87" s="14" t="str">
        <f>IFERROR(__xludf.DUMMYFUNCTION("SPLIT($C87,"" "")"),"W044")</f>
        <v>W044</v>
      </c>
      <c r="M87" s="17">
        <f>IFERROR(__xludf.DUMMYFUNCTION("""COMPUTED_VALUE"""),2.0)</f>
        <v>2</v>
      </c>
      <c r="N87" s="16">
        <f>IFERROR(__xludf.DUMMYFUNCTION("""COMPUTED_VALUE"""),5.7)</f>
        <v>5.7</v>
      </c>
      <c r="O87" s="14" t="str">
        <f t="shared" si="4"/>
        <v>0.095</v>
      </c>
      <c r="Q87" s="10">
        <f t="shared" si="5"/>
        <v>-20.17694444</v>
      </c>
      <c r="R87" s="10">
        <f t="shared" si="6"/>
        <v>-44.03472222</v>
      </c>
    </row>
    <row r="88">
      <c r="A88" s="10" t="s">
        <v>336</v>
      </c>
      <c r="B88" s="10" t="s">
        <v>337</v>
      </c>
      <c r="C88" s="10" t="s">
        <v>338</v>
      </c>
      <c r="D88" s="13">
        <v>87.0</v>
      </c>
      <c r="E88" s="14" t="str">
        <f t="shared" si="1"/>
        <v>1947.080S</v>
      </c>
      <c r="F88" s="14" t="str">
        <f t="shared" si="2"/>
        <v>04427.597W</v>
      </c>
      <c r="G88" s="14" t="str">
        <f>IFERROR(__xludf.DUMMYFUNCTION("SPLIT($B88,"" "")"),"S19")</f>
        <v>S19</v>
      </c>
      <c r="H88" s="15">
        <f>IFERROR(__xludf.DUMMYFUNCTION("""COMPUTED_VALUE"""),47.0)</f>
        <v>47</v>
      </c>
      <c r="I88" s="16">
        <f>IFERROR(__xludf.DUMMYFUNCTION("""COMPUTED_VALUE"""),4.82)</f>
        <v>4.82</v>
      </c>
      <c r="J88" s="14" t="str">
        <f t="shared" si="3"/>
        <v>0.080</v>
      </c>
      <c r="K88" s="14"/>
      <c r="L88" s="14" t="str">
        <f>IFERROR(__xludf.DUMMYFUNCTION("SPLIT($C88,"" "")"),"W044")</f>
        <v>W044</v>
      </c>
      <c r="M88" s="17">
        <f>IFERROR(__xludf.DUMMYFUNCTION("""COMPUTED_VALUE"""),27.0)</f>
        <v>27</v>
      </c>
      <c r="N88" s="16">
        <f>IFERROR(__xludf.DUMMYFUNCTION("""COMPUTED_VALUE"""),35.81)</f>
        <v>35.81</v>
      </c>
      <c r="O88" s="14" t="str">
        <f t="shared" si="4"/>
        <v>0.597</v>
      </c>
      <c r="Q88" s="10">
        <f t="shared" si="5"/>
        <v>-19.78444444</v>
      </c>
      <c r="R88" s="10">
        <f t="shared" si="6"/>
        <v>-44.45972222</v>
      </c>
    </row>
    <row r="89">
      <c r="A89" s="10" t="s">
        <v>339</v>
      </c>
      <c r="B89" s="10" t="s">
        <v>340</v>
      </c>
      <c r="C89" s="10" t="s">
        <v>341</v>
      </c>
      <c r="D89" s="13">
        <v>88.0</v>
      </c>
      <c r="E89" s="14" t="str">
        <f t="shared" si="1"/>
        <v>2010.512S</v>
      </c>
      <c r="F89" s="14" t="str">
        <f t="shared" si="2"/>
        <v>04345.841W</v>
      </c>
      <c r="G89" s="14" t="str">
        <f>IFERROR(__xludf.DUMMYFUNCTION("SPLIT($B89,"" "")"),"S20")</f>
        <v>S20</v>
      </c>
      <c r="H89" s="15">
        <f>IFERROR(__xludf.DUMMYFUNCTION("""COMPUTED_VALUE"""),10.0)</f>
        <v>10</v>
      </c>
      <c r="I89" s="16">
        <f>IFERROR(__xludf.DUMMYFUNCTION("""COMPUTED_VALUE"""),30.74)</f>
        <v>30.74</v>
      </c>
      <c r="J89" s="14" t="str">
        <f t="shared" si="3"/>
        <v>0.512</v>
      </c>
      <c r="K89" s="14"/>
      <c r="L89" s="14" t="str">
        <f>IFERROR(__xludf.DUMMYFUNCTION("SPLIT($C89,"" "")"),"W043")</f>
        <v>W043</v>
      </c>
      <c r="M89" s="17">
        <f>IFERROR(__xludf.DUMMYFUNCTION("""COMPUTED_VALUE"""),45.0)</f>
        <v>45</v>
      </c>
      <c r="N89" s="16">
        <f>IFERROR(__xludf.DUMMYFUNCTION("""COMPUTED_VALUE"""),50.46)</f>
        <v>50.46</v>
      </c>
      <c r="O89" s="14" t="str">
        <f t="shared" si="4"/>
        <v>0.841</v>
      </c>
      <c r="Q89" s="10">
        <f t="shared" si="5"/>
        <v>-20.175</v>
      </c>
      <c r="R89" s="10">
        <f t="shared" si="6"/>
        <v>-43.76388889</v>
      </c>
    </row>
    <row r="90">
      <c r="A90" s="10" t="s">
        <v>342</v>
      </c>
      <c r="B90" s="10" t="s">
        <v>343</v>
      </c>
      <c r="C90" s="10" t="s">
        <v>344</v>
      </c>
      <c r="D90" s="13">
        <v>89.0</v>
      </c>
      <c r="E90" s="14" t="str">
        <f t="shared" si="1"/>
        <v>2021.124S</v>
      </c>
      <c r="F90" s="14" t="str">
        <f t="shared" si="2"/>
        <v>04357.394W</v>
      </c>
      <c r="G90" s="14" t="str">
        <f>IFERROR(__xludf.DUMMYFUNCTION("SPLIT($B90,"" "")"),"S20")</f>
        <v>S20</v>
      </c>
      <c r="H90" s="15">
        <f>IFERROR(__xludf.DUMMYFUNCTION("""COMPUTED_VALUE"""),21.0)</f>
        <v>21</v>
      </c>
      <c r="I90" s="16">
        <f>IFERROR(__xludf.DUMMYFUNCTION("""COMPUTED_VALUE"""),7.45)</f>
        <v>7.45</v>
      </c>
      <c r="J90" s="14" t="str">
        <f t="shared" si="3"/>
        <v>0.124</v>
      </c>
      <c r="K90" s="14"/>
      <c r="L90" s="14" t="str">
        <f>IFERROR(__xludf.DUMMYFUNCTION("SPLIT($C90,"" "")"),"W043")</f>
        <v>W043</v>
      </c>
      <c r="M90" s="17">
        <f>IFERROR(__xludf.DUMMYFUNCTION("""COMPUTED_VALUE"""),57.0)</f>
        <v>57</v>
      </c>
      <c r="N90" s="16">
        <f>IFERROR(__xludf.DUMMYFUNCTION("""COMPUTED_VALUE"""),23.65)</f>
        <v>23.65</v>
      </c>
      <c r="O90" s="14" t="str">
        <f t="shared" si="4"/>
        <v>0.394</v>
      </c>
      <c r="Q90" s="10">
        <f t="shared" si="5"/>
        <v>-20.35194444</v>
      </c>
      <c r="R90" s="10">
        <f t="shared" si="6"/>
        <v>-43.95638889</v>
      </c>
    </row>
    <row r="91">
      <c r="A91" s="10" t="s">
        <v>345</v>
      </c>
      <c r="B91" s="10" t="s">
        <v>346</v>
      </c>
      <c r="C91" s="10" t="s">
        <v>347</v>
      </c>
      <c r="D91" s="13">
        <v>90.0</v>
      </c>
      <c r="E91" s="14" t="str">
        <f t="shared" si="1"/>
        <v>2016.631S</v>
      </c>
      <c r="F91" s="14" t="str">
        <f t="shared" si="2"/>
        <v>04412.493W</v>
      </c>
      <c r="G91" s="14" t="str">
        <f>IFERROR(__xludf.DUMMYFUNCTION("SPLIT($B91,"" "")"),"S20")</f>
        <v>S20</v>
      </c>
      <c r="H91" s="15">
        <f>IFERROR(__xludf.DUMMYFUNCTION("""COMPUTED_VALUE"""),16.0)</f>
        <v>16</v>
      </c>
      <c r="I91" s="16">
        <f>IFERROR(__xludf.DUMMYFUNCTION("""COMPUTED_VALUE"""),37.88)</f>
        <v>37.88</v>
      </c>
      <c r="J91" s="14" t="str">
        <f t="shared" si="3"/>
        <v>0.631</v>
      </c>
      <c r="K91" s="14"/>
      <c r="L91" s="14" t="str">
        <f>IFERROR(__xludf.DUMMYFUNCTION("SPLIT($C91,"" "")"),"W044")</f>
        <v>W044</v>
      </c>
      <c r="M91" s="17">
        <f>IFERROR(__xludf.DUMMYFUNCTION("""COMPUTED_VALUE"""),12.0)</f>
        <v>12</v>
      </c>
      <c r="N91" s="16">
        <f>IFERROR(__xludf.DUMMYFUNCTION("""COMPUTED_VALUE"""),29.55)</f>
        <v>29.55</v>
      </c>
      <c r="O91" s="14" t="str">
        <f t="shared" si="4"/>
        <v>0.493</v>
      </c>
      <c r="Q91" s="10">
        <f t="shared" si="5"/>
        <v>-20.27694444</v>
      </c>
      <c r="R91" s="10">
        <f t="shared" si="6"/>
        <v>-44.20805556</v>
      </c>
    </row>
    <row r="92">
      <c r="A92" s="10" t="s">
        <v>348</v>
      </c>
      <c r="B92" s="10" t="s">
        <v>349</v>
      </c>
      <c r="C92" s="10" t="s">
        <v>350</v>
      </c>
      <c r="D92" s="13">
        <v>91.0</v>
      </c>
      <c r="E92" s="14" t="str">
        <f t="shared" si="1"/>
        <v>1949.349S</v>
      </c>
      <c r="F92" s="14" t="str">
        <f t="shared" si="2"/>
        <v>04423.737W</v>
      </c>
      <c r="G92" s="14" t="str">
        <f>IFERROR(__xludf.DUMMYFUNCTION("SPLIT($B92,"" "")"),"S19")</f>
        <v>S19</v>
      </c>
      <c r="H92" s="15">
        <f>IFERROR(__xludf.DUMMYFUNCTION("""COMPUTED_VALUE"""),49.0)</f>
        <v>49</v>
      </c>
      <c r="I92" s="16">
        <f>IFERROR(__xludf.DUMMYFUNCTION("""COMPUTED_VALUE"""),20.91)</f>
        <v>20.91</v>
      </c>
      <c r="J92" s="14" t="str">
        <f t="shared" si="3"/>
        <v>0.349</v>
      </c>
      <c r="K92" s="14"/>
      <c r="L92" s="14" t="str">
        <f>IFERROR(__xludf.DUMMYFUNCTION("SPLIT($C92,"" "")"),"W044")</f>
        <v>W044</v>
      </c>
      <c r="M92" s="17">
        <f>IFERROR(__xludf.DUMMYFUNCTION("""COMPUTED_VALUE"""),23.0)</f>
        <v>23</v>
      </c>
      <c r="N92" s="16">
        <f>IFERROR(__xludf.DUMMYFUNCTION("""COMPUTED_VALUE"""),44.19)</f>
        <v>44.19</v>
      </c>
      <c r="O92" s="14" t="str">
        <f t="shared" si="4"/>
        <v>0.737</v>
      </c>
      <c r="Q92" s="10">
        <f t="shared" si="5"/>
        <v>-19.82222222</v>
      </c>
      <c r="R92" s="10">
        <f t="shared" si="6"/>
        <v>-44.39555556</v>
      </c>
    </row>
    <row r="93">
      <c r="A93" s="10" t="s">
        <v>351</v>
      </c>
      <c r="B93" s="10" t="s">
        <v>352</v>
      </c>
      <c r="C93" s="10" t="s">
        <v>353</v>
      </c>
      <c r="D93" s="13">
        <v>92.0</v>
      </c>
      <c r="E93" s="14" t="str">
        <f t="shared" si="1"/>
        <v>1941.544S</v>
      </c>
      <c r="F93" s="14" t="str">
        <f t="shared" si="2"/>
        <v>04430.463W</v>
      </c>
      <c r="G93" s="14" t="str">
        <f>IFERROR(__xludf.DUMMYFUNCTION("SPLIT($B93,"" "")"),"S19")</f>
        <v>S19</v>
      </c>
      <c r="H93" s="15">
        <f>IFERROR(__xludf.DUMMYFUNCTION("""COMPUTED_VALUE"""),41.0)</f>
        <v>41</v>
      </c>
      <c r="I93" s="16">
        <f>IFERROR(__xludf.DUMMYFUNCTION("""COMPUTED_VALUE"""),32.64)</f>
        <v>32.64</v>
      </c>
      <c r="J93" s="14" t="str">
        <f t="shared" si="3"/>
        <v>0.544</v>
      </c>
      <c r="K93" s="14"/>
      <c r="L93" s="14" t="str">
        <f>IFERROR(__xludf.DUMMYFUNCTION("SPLIT($C93,"" "")"),"W044")</f>
        <v>W044</v>
      </c>
      <c r="M93" s="17">
        <f>IFERROR(__xludf.DUMMYFUNCTION("""COMPUTED_VALUE"""),30.0)</f>
        <v>30</v>
      </c>
      <c r="N93" s="16">
        <f>IFERROR(__xludf.DUMMYFUNCTION("""COMPUTED_VALUE"""),27.77)</f>
        <v>27.77</v>
      </c>
      <c r="O93" s="14" t="str">
        <f t="shared" si="4"/>
        <v>0.463</v>
      </c>
      <c r="Q93" s="10">
        <f t="shared" si="5"/>
        <v>-19.69222222</v>
      </c>
      <c r="R93" s="10">
        <f t="shared" si="6"/>
        <v>-44.5075</v>
      </c>
    </row>
    <row r="94">
      <c r="A94" s="10" t="s">
        <v>354</v>
      </c>
      <c r="B94" s="10" t="s">
        <v>355</v>
      </c>
      <c r="C94" s="10" t="s">
        <v>356</v>
      </c>
      <c r="D94" s="13">
        <v>93.0</v>
      </c>
      <c r="E94" s="14" t="str">
        <f t="shared" si="1"/>
        <v>1935.123S</v>
      </c>
      <c r="F94" s="14" t="str">
        <f t="shared" si="2"/>
        <v>04435.981W</v>
      </c>
      <c r="G94" s="14" t="str">
        <f>IFERROR(__xludf.DUMMYFUNCTION("SPLIT($B94,"" "")"),"S19")</f>
        <v>S19</v>
      </c>
      <c r="H94" s="15">
        <f>IFERROR(__xludf.DUMMYFUNCTION("""COMPUTED_VALUE"""),35.0)</f>
        <v>35</v>
      </c>
      <c r="I94" s="16">
        <f>IFERROR(__xludf.DUMMYFUNCTION("""COMPUTED_VALUE"""),7.4)</f>
        <v>7.4</v>
      </c>
      <c r="J94" s="14" t="str">
        <f t="shared" si="3"/>
        <v>0.123</v>
      </c>
      <c r="K94" s="14"/>
      <c r="L94" s="14" t="str">
        <f>IFERROR(__xludf.DUMMYFUNCTION("SPLIT($C94,"" "")"),"W044")</f>
        <v>W044</v>
      </c>
      <c r="M94" s="17">
        <f>IFERROR(__xludf.DUMMYFUNCTION("""COMPUTED_VALUE"""),35.0)</f>
        <v>35</v>
      </c>
      <c r="N94" s="16">
        <f>IFERROR(__xludf.DUMMYFUNCTION("""COMPUTED_VALUE"""),58.83)</f>
        <v>58.83</v>
      </c>
      <c r="O94" s="14" t="str">
        <f t="shared" si="4"/>
        <v>0.981</v>
      </c>
      <c r="Q94" s="10">
        <f t="shared" si="5"/>
        <v>-19.58527778</v>
      </c>
      <c r="R94" s="10">
        <f t="shared" si="6"/>
        <v>-44.59944444</v>
      </c>
    </row>
    <row r="95">
      <c r="A95" s="10" t="s">
        <v>357</v>
      </c>
      <c r="B95" s="10" t="s">
        <v>358</v>
      </c>
      <c r="C95" s="10" t="s">
        <v>359</v>
      </c>
      <c r="D95" s="13">
        <v>94.0</v>
      </c>
      <c r="E95" s="14" t="str">
        <f t="shared" si="1"/>
        <v>1957.320S</v>
      </c>
      <c r="F95" s="14" t="str">
        <f t="shared" si="2"/>
        <v>04409.936W</v>
      </c>
      <c r="G95" s="14" t="str">
        <f>IFERROR(__xludf.DUMMYFUNCTION("SPLIT($B95,"" "")"),"S19")</f>
        <v>S19</v>
      </c>
      <c r="H95" s="15">
        <f>IFERROR(__xludf.DUMMYFUNCTION("""COMPUTED_VALUE"""),57.0)</f>
        <v>57</v>
      </c>
      <c r="I95" s="16">
        <f>IFERROR(__xludf.DUMMYFUNCTION("""COMPUTED_VALUE"""),19.19)</f>
        <v>19.19</v>
      </c>
      <c r="J95" s="14" t="str">
        <f t="shared" si="3"/>
        <v>0.320</v>
      </c>
      <c r="K95" s="14"/>
      <c r="L95" s="14" t="str">
        <f>IFERROR(__xludf.DUMMYFUNCTION("SPLIT($C95,"" "")"),"W044")</f>
        <v>W044</v>
      </c>
      <c r="M95" s="17">
        <f>IFERROR(__xludf.DUMMYFUNCTION("""COMPUTED_VALUE"""),9.0)</f>
        <v>9</v>
      </c>
      <c r="N95" s="16">
        <f>IFERROR(__xludf.DUMMYFUNCTION("""COMPUTED_VALUE"""),56.14)</f>
        <v>56.14</v>
      </c>
      <c r="O95" s="14" t="str">
        <f t="shared" si="4"/>
        <v>0.936</v>
      </c>
      <c r="Q95" s="10">
        <f t="shared" si="5"/>
        <v>-19.95527778</v>
      </c>
      <c r="R95" s="10">
        <f t="shared" si="6"/>
        <v>-44.16555556</v>
      </c>
    </row>
    <row r="96">
      <c r="A96" s="10" t="s">
        <v>360</v>
      </c>
      <c r="B96" s="10" t="s">
        <v>361</v>
      </c>
      <c r="C96" s="10" t="s">
        <v>362</v>
      </c>
      <c r="D96" s="13">
        <v>95.0</v>
      </c>
      <c r="E96" s="14" t="str">
        <f t="shared" si="1"/>
        <v>1949.206S</v>
      </c>
      <c r="F96" s="14" t="str">
        <f t="shared" si="2"/>
        <v>04320.038W</v>
      </c>
      <c r="G96" s="14" t="str">
        <f>IFERROR(__xludf.DUMMYFUNCTION("SPLIT($B96,"" "")"),"S19")</f>
        <v>S19</v>
      </c>
      <c r="H96" s="15">
        <f>IFERROR(__xludf.DUMMYFUNCTION("""COMPUTED_VALUE"""),49.0)</f>
        <v>49</v>
      </c>
      <c r="I96" s="16">
        <f>IFERROR(__xludf.DUMMYFUNCTION("""COMPUTED_VALUE"""),12.33)</f>
        <v>12.33</v>
      </c>
      <c r="J96" s="14" t="str">
        <f t="shared" si="3"/>
        <v>0.206</v>
      </c>
      <c r="K96" s="14"/>
      <c r="L96" s="14" t="str">
        <f>IFERROR(__xludf.DUMMYFUNCTION("SPLIT($C96,"" "")"),"W043")</f>
        <v>W043</v>
      </c>
      <c r="M96" s="17">
        <f>IFERROR(__xludf.DUMMYFUNCTION("""COMPUTED_VALUE"""),20.0)</f>
        <v>20</v>
      </c>
      <c r="N96" s="16">
        <f>IFERROR(__xludf.DUMMYFUNCTION("""COMPUTED_VALUE"""),2.26)</f>
        <v>2.26</v>
      </c>
      <c r="O96" s="14" t="str">
        <f t="shared" si="4"/>
        <v>0.038</v>
      </c>
      <c r="Q96" s="10">
        <f t="shared" si="5"/>
        <v>-19.82</v>
      </c>
      <c r="R96" s="10">
        <f t="shared" si="6"/>
        <v>-43.33388889</v>
      </c>
    </row>
    <row r="97">
      <c r="A97" s="10" t="s">
        <v>363</v>
      </c>
      <c r="B97" s="10" t="s">
        <v>364</v>
      </c>
      <c r="C97" s="10" t="s">
        <v>365</v>
      </c>
      <c r="D97" s="13">
        <v>96.0</v>
      </c>
      <c r="E97" s="14" t="str">
        <f t="shared" si="1"/>
        <v>2013.024S</v>
      </c>
      <c r="F97" s="14" t="str">
        <f t="shared" si="2"/>
        <v>04335.172W</v>
      </c>
      <c r="G97" s="14" t="str">
        <f>IFERROR(__xludf.DUMMYFUNCTION("SPLIT($B97,"" "")"),"S20")</f>
        <v>S20</v>
      </c>
      <c r="H97" s="15">
        <f>IFERROR(__xludf.DUMMYFUNCTION("""COMPUTED_VALUE"""),13.0)</f>
        <v>13</v>
      </c>
      <c r="I97" s="16">
        <f>IFERROR(__xludf.DUMMYFUNCTION("""COMPUTED_VALUE"""),1.42)</f>
        <v>1.42</v>
      </c>
      <c r="J97" s="14" t="str">
        <f t="shared" si="3"/>
        <v>0.024</v>
      </c>
      <c r="K97" s="14"/>
      <c r="L97" s="14" t="str">
        <f>IFERROR(__xludf.DUMMYFUNCTION("SPLIT($C97,"" "")"),"W043")</f>
        <v>W043</v>
      </c>
      <c r="M97" s="17">
        <f>IFERROR(__xludf.DUMMYFUNCTION("""COMPUTED_VALUE"""),35.0)</f>
        <v>35</v>
      </c>
      <c r="N97" s="16">
        <f>IFERROR(__xludf.DUMMYFUNCTION("""COMPUTED_VALUE"""),10.29)</f>
        <v>10.29</v>
      </c>
      <c r="O97" s="14" t="str">
        <f t="shared" si="4"/>
        <v>0.172</v>
      </c>
      <c r="Q97" s="10">
        <f t="shared" si="5"/>
        <v>-20.21694444</v>
      </c>
      <c r="R97" s="10">
        <f t="shared" si="6"/>
        <v>-43.58611111</v>
      </c>
    </row>
    <row r="98">
      <c r="A98" s="10" t="s">
        <v>366</v>
      </c>
      <c r="B98" s="10" t="s">
        <v>367</v>
      </c>
      <c r="C98" s="10" t="s">
        <v>368</v>
      </c>
      <c r="D98" s="13">
        <v>97.0</v>
      </c>
      <c r="E98" s="14" t="str">
        <f t="shared" si="1"/>
        <v>2011.940S</v>
      </c>
      <c r="F98" s="14" t="str">
        <f t="shared" si="2"/>
        <v>04328.577W</v>
      </c>
      <c r="G98" s="14" t="str">
        <f>IFERROR(__xludf.DUMMYFUNCTION("SPLIT($B98,"" "")"),"S20")</f>
        <v>S20</v>
      </c>
      <c r="H98" s="15">
        <f>IFERROR(__xludf.DUMMYFUNCTION("""COMPUTED_VALUE"""),11.0)</f>
        <v>11</v>
      </c>
      <c r="I98" s="16">
        <f>IFERROR(__xludf.DUMMYFUNCTION("""COMPUTED_VALUE"""),56.4)</f>
        <v>56.4</v>
      </c>
      <c r="J98" s="14" t="str">
        <f t="shared" si="3"/>
        <v>0.940</v>
      </c>
      <c r="K98" s="14"/>
      <c r="L98" s="14" t="str">
        <f>IFERROR(__xludf.DUMMYFUNCTION("SPLIT($C98,"" "")"),"W043")</f>
        <v>W043</v>
      </c>
      <c r="M98" s="17">
        <f>IFERROR(__xludf.DUMMYFUNCTION("""COMPUTED_VALUE"""),28.0)</f>
        <v>28</v>
      </c>
      <c r="N98" s="16">
        <f>IFERROR(__xludf.DUMMYFUNCTION("""COMPUTED_VALUE"""),34.61)</f>
        <v>34.61</v>
      </c>
      <c r="O98" s="14" t="str">
        <f t="shared" si="4"/>
        <v>0.577</v>
      </c>
      <c r="Q98" s="10">
        <f t="shared" si="5"/>
        <v>-20.19888889</v>
      </c>
      <c r="R98" s="10">
        <f t="shared" si="6"/>
        <v>-43.47611111</v>
      </c>
    </row>
    <row r="99">
      <c r="A99" s="10" t="s">
        <v>369</v>
      </c>
      <c r="B99" s="10" t="s">
        <v>370</v>
      </c>
      <c r="C99" s="10" t="s">
        <v>371</v>
      </c>
      <c r="D99" s="13">
        <v>98.0</v>
      </c>
      <c r="E99" s="14" t="str">
        <f t="shared" si="1"/>
        <v>2010.368S</v>
      </c>
      <c r="F99" s="14" t="str">
        <f t="shared" si="2"/>
        <v>04322.471W</v>
      </c>
      <c r="G99" s="14" t="str">
        <f>IFERROR(__xludf.DUMMYFUNCTION("SPLIT($B99,"" "")"),"S20")</f>
        <v>S20</v>
      </c>
      <c r="H99" s="15">
        <f>IFERROR(__xludf.DUMMYFUNCTION("""COMPUTED_VALUE"""),10.0)</f>
        <v>10</v>
      </c>
      <c r="I99" s="16">
        <f>IFERROR(__xludf.DUMMYFUNCTION("""COMPUTED_VALUE"""),22.07)</f>
        <v>22.07</v>
      </c>
      <c r="J99" s="14" t="str">
        <f t="shared" si="3"/>
        <v>0.368</v>
      </c>
      <c r="K99" s="14"/>
      <c r="L99" s="14" t="str">
        <f>IFERROR(__xludf.DUMMYFUNCTION("SPLIT($C99,"" "")"),"W043")</f>
        <v>W043</v>
      </c>
      <c r="M99" s="17">
        <f>IFERROR(__xludf.DUMMYFUNCTION("""COMPUTED_VALUE"""),22.0)</f>
        <v>22</v>
      </c>
      <c r="N99" s="16">
        <f>IFERROR(__xludf.DUMMYFUNCTION("""COMPUTED_VALUE"""),28.27)</f>
        <v>28.27</v>
      </c>
      <c r="O99" s="14" t="str">
        <f t="shared" si="4"/>
        <v>0.471</v>
      </c>
      <c r="Q99" s="10">
        <f t="shared" si="5"/>
        <v>-20.17277778</v>
      </c>
      <c r="R99" s="10">
        <f t="shared" si="6"/>
        <v>-43.37444444</v>
      </c>
    </row>
    <row r="100">
      <c r="A100" s="10" t="s">
        <v>372</v>
      </c>
      <c r="B100" s="10" t="s">
        <v>373</v>
      </c>
      <c r="C100" s="10" t="s">
        <v>374</v>
      </c>
      <c r="D100" s="13">
        <v>99.0</v>
      </c>
      <c r="E100" s="14" t="str">
        <f t="shared" si="1"/>
        <v>2013.337S</v>
      </c>
      <c r="F100" s="14" t="str">
        <f t="shared" si="2"/>
        <v>04426.581W</v>
      </c>
      <c r="G100" s="14" t="str">
        <f>IFERROR(__xludf.DUMMYFUNCTION("SPLIT($B100,"" "")"),"S20")</f>
        <v>S20</v>
      </c>
      <c r="H100" s="15">
        <f>IFERROR(__xludf.DUMMYFUNCTION("""COMPUTED_VALUE"""),13.0)</f>
        <v>13</v>
      </c>
      <c r="I100" s="16">
        <f>IFERROR(__xludf.DUMMYFUNCTION("""COMPUTED_VALUE"""),20.2)</f>
        <v>20.2</v>
      </c>
      <c r="J100" s="14" t="str">
        <f t="shared" si="3"/>
        <v>0.337</v>
      </c>
      <c r="K100" s="14"/>
      <c r="L100" s="14" t="str">
        <f>IFERROR(__xludf.DUMMYFUNCTION("SPLIT($C100,"" "")"),"W044")</f>
        <v>W044</v>
      </c>
      <c r="M100" s="17">
        <f>IFERROR(__xludf.DUMMYFUNCTION("""COMPUTED_VALUE"""),26.0)</f>
        <v>26</v>
      </c>
      <c r="N100" s="16">
        <f>IFERROR(__xludf.DUMMYFUNCTION("""COMPUTED_VALUE"""),34.83)</f>
        <v>34.83</v>
      </c>
      <c r="O100" s="14" t="str">
        <f t="shared" si="4"/>
        <v>0.581</v>
      </c>
      <c r="Q100" s="10">
        <f t="shared" si="5"/>
        <v>-20.22222222</v>
      </c>
      <c r="R100" s="10">
        <f t="shared" si="6"/>
        <v>-44.44277778</v>
      </c>
    </row>
    <row r="101">
      <c r="A101" s="10" t="s">
        <v>375</v>
      </c>
      <c r="B101" s="10" t="s">
        <v>376</v>
      </c>
      <c r="C101" s="10" t="s">
        <v>377</v>
      </c>
      <c r="D101" s="13">
        <v>100.0</v>
      </c>
      <c r="E101" s="14" t="str">
        <f t="shared" si="1"/>
        <v>2004.081S</v>
      </c>
      <c r="F101" s="14" t="str">
        <f t="shared" si="2"/>
        <v>04414.350W</v>
      </c>
      <c r="G101" s="14" t="str">
        <f>IFERROR(__xludf.DUMMYFUNCTION("SPLIT($B101,"" "")"),"S20")</f>
        <v>S20</v>
      </c>
      <c r="H101" s="15">
        <f>IFERROR(__xludf.DUMMYFUNCTION("""COMPUTED_VALUE"""),4.0)</f>
        <v>4</v>
      </c>
      <c r="I101" s="16">
        <f>IFERROR(__xludf.DUMMYFUNCTION("""COMPUTED_VALUE"""),4.87)</f>
        <v>4.87</v>
      </c>
      <c r="J101" s="14" t="str">
        <f t="shared" si="3"/>
        <v>0.081</v>
      </c>
      <c r="K101" s="14"/>
      <c r="L101" s="14" t="str">
        <f>IFERROR(__xludf.DUMMYFUNCTION("SPLIT($C101,"" "")"),"W044")</f>
        <v>W044</v>
      </c>
      <c r="M101" s="17">
        <f>IFERROR(__xludf.DUMMYFUNCTION("""COMPUTED_VALUE"""),14.0)</f>
        <v>14</v>
      </c>
      <c r="N101" s="16">
        <f>IFERROR(__xludf.DUMMYFUNCTION("""COMPUTED_VALUE"""),21.02)</f>
        <v>21.02</v>
      </c>
      <c r="O101" s="14" t="str">
        <f t="shared" si="4"/>
        <v>0.350</v>
      </c>
      <c r="Q101" s="10">
        <f t="shared" si="5"/>
        <v>-20.06777778</v>
      </c>
      <c r="R101" s="10">
        <f t="shared" si="6"/>
        <v>-44.23916667</v>
      </c>
    </row>
    <row r="102">
      <c r="A102" s="10" t="s">
        <v>60</v>
      </c>
      <c r="B102" s="10" t="s">
        <v>378</v>
      </c>
      <c r="C102" s="10" t="s">
        <v>379</v>
      </c>
      <c r="D102" s="13">
        <v>101.0</v>
      </c>
      <c r="E102" s="14" t="str">
        <f t="shared" si="1"/>
        <v>1943.370S</v>
      </c>
      <c r="F102" s="14" t="str">
        <f t="shared" si="2"/>
        <v>04401.834W</v>
      </c>
      <c r="G102" s="14" t="str">
        <f>IFERROR(__xludf.DUMMYFUNCTION("SPLIT($B102,"" "")"),"S19")</f>
        <v>S19</v>
      </c>
      <c r="H102" s="15">
        <f>IFERROR(__xludf.DUMMYFUNCTION("""COMPUTED_VALUE"""),43.0)</f>
        <v>43</v>
      </c>
      <c r="I102" s="16">
        <f>IFERROR(__xludf.DUMMYFUNCTION("""COMPUTED_VALUE"""),22.19)</f>
        <v>22.19</v>
      </c>
      <c r="J102" s="14" t="str">
        <f t="shared" si="3"/>
        <v>0.370</v>
      </c>
      <c r="K102" s="14"/>
      <c r="L102" s="14" t="str">
        <f>IFERROR(__xludf.DUMMYFUNCTION("SPLIT($C102,"" "")"),"W044")</f>
        <v>W044</v>
      </c>
      <c r="M102" s="17">
        <f>IFERROR(__xludf.DUMMYFUNCTION("""COMPUTED_VALUE"""),1.0)</f>
        <v>1</v>
      </c>
      <c r="N102" s="16">
        <f>IFERROR(__xludf.DUMMYFUNCTION("""COMPUTED_VALUE"""),50.06)</f>
        <v>50.06</v>
      </c>
      <c r="O102" s="14" t="str">
        <f t="shared" si="4"/>
        <v>0.834</v>
      </c>
      <c r="Q102" s="10">
        <f t="shared" si="5"/>
        <v>-19.72277778</v>
      </c>
      <c r="R102" s="10">
        <f t="shared" si="6"/>
        <v>-44.03055556</v>
      </c>
    </row>
    <row r="103">
      <c r="A103" s="10" t="s">
        <v>73</v>
      </c>
      <c r="B103" s="10" t="s">
        <v>380</v>
      </c>
      <c r="C103" s="10" t="s">
        <v>381</v>
      </c>
      <c r="D103" s="13">
        <v>102.0</v>
      </c>
      <c r="E103" s="14" t="str">
        <f t="shared" si="1"/>
        <v>1943.862S</v>
      </c>
      <c r="F103" s="14" t="str">
        <f t="shared" si="2"/>
        <v>04408.173W</v>
      </c>
      <c r="G103" s="14" t="str">
        <f>IFERROR(__xludf.DUMMYFUNCTION("SPLIT($B103,"" "")"),"S19")</f>
        <v>S19</v>
      </c>
      <c r="H103" s="15">
        <f>IFERROR(__xludf.DUMMYFUNCTION("""COMPUTED_VALUE"""),43.0)</f>
        <v>43</v>
      </c>
      <c r="I103" s="16">
        <f>IFERROR(__xludf.DUMMYFUNCTION("""COMPUTED_VALUE"""),51.72)</f>
        <v>51.72</v>
      </c>
      <c r="J103" s="14" t="str">
        <f t="shared" si="3"/>
        <v>0.862</v>
      </c>
      <c r="K103" s="14"/>
      <c r="L103" s="14" t="str">
        <f>IFERROR(__xludf.DUMMYFUNCTION("SPLIT($C103,"" "")"),"W044")</f>
        <v>W044</v>
      </c>
      <c r="M103" s="17">
        <f>IFERROR(__xludf.DUMMYFUNCTION("""COMPUTED_VALUE"""),8.0)</f>
        <v>8</v>
      </c>
      <c r="N103" s="16">
        <f>IFERROR(__xludf.DUMMYFUNCTION("""COMPUTED_VALUE"""),10.37)</f>
        <v>10.37</v>
      </c>
      <c r="O103" s="14" t="str">
        <f t="shared" si="4"/>
        <v>0.173</v>
      </c>
      <c r="Q103" s="10">
        <f t="shared" si="5"/>
        <v>-19.73083333</v>
      </c>
      <c r="R103" s="10">
        <f t="shared" si="6"/>
        <v>-44.13611111</v>
      </c>
    </row>
    <row r="104">
      <c r="A104" s="10" t="s">
        <v>382</v>
      </c>
      <c r="B104" s="10" t="s">
        <v>383</v>
      </c>
      <c r="C104" s="10" t="s">
        <v>384</v>
      </c>
      <c r="D104" s="13">
        <v>103.0</v>
      </c>
      <c r="E104" s="14" t="str">
        <f t="shared" si="1"/>
        <v>1950.583S</v>
      </c>
      <c r="F104" s="14" t="str">
        <f t="shared" si="2"/>
        <v>04428.360W</v>
      </c>
      <c r="G104" s="14" t="str">
        <f>IFERROR(__xludf.DUMMYFUNCTION("SPLIT($B104,"" "")"),"S19")</f>
        <v>S19</v>
      </c>
      <c r="H104" s="15">
        <f>IFERROR(__xludf.DUMMYFUNCTION("""COMPUTED_VALUE"""),50.0)</f>
        <v>50</v>
      </c>
      <c r="I104" s="16">
        <f>IFERROR(__xludf.DUMMYFUNCTION("""COMPUTED_VALUE"""),34.95)</f>
        <v>34.95</v>
      </c>
      <c r="J104" s="14" t="str">
        <f t="shared" si="3"/>
        <v>0.583</v>
      </c>
      <c r="K104" s="14"/>
      <c r="L104" s="14" t="str">
        <f>IFERROR(__xludf.DUMMYFUNCTION("SPLIT($C104,"" "")"),"W044")</f>
        <v>W044</v>
      </c>
      <c r="M104" s="17">
        <f>IFERROR(__xludf.DUMMYFUNCTION("""COMPUTED_VALUE"""),28.0)</f>
        <v>28</v>
      </c>
      <c r="N104" s="16">
        <f>IFERROR(__xludf.DUMMYFUNCTION("""COMPUTED_VALUE"""),21.62)</f>
        <v>21.62</v>
      </c>
      <c r="O104" s="14" t="str">
        <f t="shared" si="4"/>
        <v>0.360</v>
      </c>
      <c r="Q104" s="10">
        <f t="shared" si="5"/>
        <v>-19.84277778</v>
      </c>
      <c r="R104" s="10">
        <f t="shared" si="6"/>
        <v>-44.4725</v>
      </c>
    </row>
    <row r="105">
      <c r="A105" s="10" t="s">
        <v>385</v>
      </c>
      <c r="B105" s="10" t="s">
        <v>386</v>
      </c>
      <c r="C105" s="10" t="s">
        <v>387</v>
      </c>
      <c r="D105" s="13">
        <v>104.0</v>
      </c>
      <c r="E105" s="14" t="str">
        <f t="shared" si="1"/>
        <v>2017.540S</v>
      </c>
      <c r="F105" s="14" t="str">
        <f t="shared" si="2"/>
        <v>04325.028W</v>
      </c>
      <c r="G105" s="14" t="str">
        <f>IFERROR(__xludf.DUMMYFUNCTION("SPLIT($B105,"" "")"),"S20")</f>
        <v>S20</v>
      </c>
      <c r="H105" s="15">
        <f>IFERROR(__xludf.DUMMYFUNCTION("""COMPUTED_VALUE"""),17.0)</f>
        <v>17</v>
      </c>
      <c r="I105" s="16">
        <f>IFERROR(__xludf.DUMMYFUNCTION("""COMPUTED_VALUE"""),32.38)</f>
        <v>32.38</v>
      </c>
      <c r="J105" s="14" t="str">
        <f t="shared" si="3"/>
        <v>0.540</v>
      </c>
      <c r="K105" s="14"/>
      <c r="L105" s="14" t="str">
        <f>IFERROR(__xludf.DUMMYFUNCTION("SPLIT($C105,"" "")"),"W043")</f>
        <v>W043</v>
      </c>
      <c r="M105" s="17">
        <f>IFERROR(__xludf.DUMMYFUNCTION("""COMPUTED_VALUE"""),25.0)</f>
        <v>25</v>
      </c>
      <c r="N105" s="16">
        <f>IFERROR(__xludf.DUMMYFUNCTION("""COMPUTED_VALUE"""),1.65)</f>
        <v>1.65</v>
      </c>
      <c r="O105" s="14" t="str">
        <f t="shared" si="4"/>
        <v>0.028</v>
      </c>
      <c r="Q105" s="10">
        <f t="shared" si="5"/>
        <v>-20.29222222</v>
      </c>
      <c r="R105" s="10">
        <f t="shared" si="6"/>
        <v>-43.41694444</v>
      </c>
    </row>
    <row r="106">
      <c r="A106" s="10" t="s">
        <v>388</v>
      </c>
      <c r="B106" s="10" t="s">
        <v>389</v>
      </c>
      <c r="C106" s="10" t="s">
        <v>390</v>
      </c>
      <c r="D106" s="13">
        <v>105.0</v>
      </c>
      <c r="E106" s="14" t="str">
        <f t="shared" si="1"/>
        <v>1948.483S</v>
      </c>
      <c r="F106" s="14" t="str">
        <f t="shared" si="2"/>
        <v>04330.765W</v>
      </c>
      <c r="G106" s="14" t="str">
        <f>IFERROR(__xludf.DUMMYFUNCTION("SPLIT($B106,"" "")"),"S19")</f>
        <v>S19</v>
      </c>
      <c r="H106" s="15">
        <f>IFERROR(__xludf.DUMMYFUNCTION("""COMPUTED_VALUE"""),48.0)</f>
        <v>48</v>
      </c>
      <c r="I106" s="16">
        <f>IFERROR(__xludf.DUMMYFUNCTION("""COMPUTED_VALUE"""),29.0)</f>
        <v>29</v>
      </c>
      <c r="J106" s="14" t="str">
        <f t="shared" si="3"/>
        <v>0.483</v>
      </c>
      <c r="K106" s="14"/>
      <c r="L106" s="14" t="str">
        <f>IFERROR(__xludf.DUMMYFUNCTION("SPLIT($C106,"" "")"),"W043")</f>
        <v>W043</v>
      </c>
      <c r="M106" s="17">
        <f>IFERROR(__xludf.DUMMYFUNCTION("""COMPUTED_VALUE"""),30.0)</f>
        <v>30</v>
      </c>
      <c r="N106" s="16">
        <f>IFERROR(__xludf.DUMMYFUNCTION("""COMPUTED_VALUE"""),45.89)</f>
        <v>45.89</v>
      </c>
      <c r="O106" s="14" t="str">
        <f t="shared" si="4"/>
        <v>0.765</v>
      </c>
      <c r="Q106" s="10">
        <f t="shared" si="5"/>
        <v>-19.80805556</v>
      </c>
      <c r="R106" s="10">
        <f t="shared" si="6"/>
        <v>-43.5125</v>
      </c>
    </row>
    <row r="107">
      <c r="A107" s="10" t="s">
        <v>391</v>
      </c>
      <c r="B107" s="10" t="s">
        <v>392</v>
      </c>
      <c r="C107" s="10" t="s">
        <v>393</v>
      </c>
      <c r="D107" s="13">
        <v>106.0</v>
      </c>
      <c r="E107" s="14" t="str">
        <f t="shared" si="1"/>
        <v>1949.600S</v>
      </c>
      <c r="F107" s="14" t="str">
        <f t="shared" si="2"/>
        <v>04343.868W</v>
      </c>
      <c r="G107" s="14" t="str">
        <f>IFERROR(__xludf.DUMMYFUNCTION("SPLIT($B107,"" "")"),"S19")</f>
        <v>S19</v>
      </c>
      <c r="H107" s="15">
        <f>IFERROR(__xludf.DUMMYFUNCTION("""COMPUTED_VALUE"""),49.0)</f>
        <v>49</v>
      </c>
      <c r="I107" s="16">
        <f>IFERROR(__xludf.DUMMYFUNCTION("""COMPUTED_VALUE"""),36.02)</f>
        <v>36.02</v>
      </c>
      <c r="J107" s="14" t="str">
        <f t="shared" si="3"/>
        <v>0.600</v>
      </c>
      <c r="K107" s="14"/>
      <c r="L107" s="14" t="str">
        <f>IFERROR(__xludf.DUMMYFUNCTION("SPLIT($C107,"" "")"),"W043")</f>
        <v>W043</v>
      </c>
      <c r="M107" s="17">
        <f>IFERROR(__xludf.DUMMYFUNCTION("""COMPUTED_VALUE"""),43.0)</f>
        <v>43</v>
      </c>
      <c r="N107" s="16">
        <f>IFERROR(__xludf.DUMMYFUNCTION("""COMPUTED_VALUE"""),52.09)</f>
        <v>52.09</v>
      </c>
      <c r="O107" s="14" t="str">
        <f t="shared" si="4"/>
        <v>0.868</v>
      </c>
      <c r="Q107" s="10">
        <f t="shared" si="5"/>
        <v>-19.82666667</v>
      </c>
      <c r="R107" s="10">
        <f t="shared" si="6"/>
        <v>-43.73111111</v>
      </c>
    </row>
    <row r="108">
      <c r="A108" s="10" t="s">
        <v>394</v>
      </c>
      <c r="B108" s="10" t="s">
        <v>395</v>
      </c>
      <c r="C108" s="10" t="s">
        <v>396</v>
      </c>
      <c r="D108" s="13">
        <v>107.0</v>
      </c>
      <c r="E108" s="14" t="str">
        <f t="shared" si="1"/>
        <v>1957.101S</v>
      </c>
      <c r="F108" s="14" t="str">
        <f t="shared" si="2"/>
        <v>04422.923W</v>
      </c>
      <c r="G108" s="14" t="str">
        <f>IFERROR(__xludf.DUMMYFUNCTION("SPLIT($B108,"" "")"),"S19")</f>
        <v>S19</v>
      </c>
      <c r="H108" s="15">
        <f>IFERROR(__xludf.DUMMYFUNCTION("""COMPUTED_VALUE"""),57.0)</f>
        <v>57</v>
      </c>
      <c r="I108" s="16">
        <f>IFERROR(__xludf.DUMMYFUNCTION("""COMPUTED_VALUE"""),6.05)</f>
        <v>6.05</v>
      </c>
      <c r="J108" s="14" t="str">
        <f t="shared" si="3"/>
        <v>0.101</v>
      </c>
      <c r="K108" s="14"/>
      <c r="L108" s="14" t="str">
        <f>IFERROR(__xludf.DUMMYFUNCTION("SPLIT($C108,"" "")"),"W044")</f>
        <v>W044</v>
      </c>
      <c r="M108" s="17">
        <f>IFERROR(__xludf.DUMMYFUNCTION("""COMPUTED_VALUE"""),22.0)</f>
        <v>22</v>
      </c>
      <c r="N108" s="16">
        <f>IFERROR(__xludf.DUMMYFUNCTION("""COMPUTED_VALUE"""),55.35)</f>
        <v>55.35</v>
      </c>
      <c r="O108" s="14" t="str">
        <f t="shared" si="4"/>
        <v>0.923</v>
      </c>
      <c r="Q108" s="10">
        <f t="shared" si="5"/>
        <v>-19.95166667</v>
      </c>
      <c r="R108" s="10">
        <f t="shared" si="6"/>
        <v>-44.38194444</v>
      </c>
    </row>
    <row r="109">
      <c r="A109" s="10" t="s">
        <v>76</v>
      </c>
      <c r="B109" s="10" t="s">
        <v>397</v>
      </c>
      <c r="C109" s="10" t="s">
        <v>398</v>
      </c>
      <c r="D109" s="13">
        <v>108.0</v>
      </c>
      <c r="E109" s="14" t="str">
        <f t="shared" si="1"/>
        <v>1944.902S</v>
      </c>
      <c r="F109" s="14" t="str">
        <f t="shared" si="2"/>
        <v>04427.016W</v>
      </c>
      <c r="G109" s="14" t="str">
        <f>IFERROR(__xludf.DUMMYFUNCTION("SPLIT($B109,"" "")"),"S19")</f>
        <v>S19</v>
      </c>
      <c r="H109" s="15">
        <f>IFERROR(__xludf.DUMMYFUNCTION("""COMPUTED_VALUE"""),44.0)</f>
        <v>44</v>
      </c>
      <c r="I109" s="16">
        <f>IFERROR(__xludf.DUMMYFUNCTION("""COMPUTED_VALUE"""),54.14)</f>
        <v>54.14</v>
      </c>
      <c r="J109" s="14" t="str">
        <f t="shared" si="3"/>
        <v>0.902</v>
      </c>
      <c r="K109" s="14"/>
      <c r="L109" s="14" t="str">
        <f>IFERROR(__xludf.DUMMYFUNCTION("SPLIT($C109,"" "")"),"W044")</f>
        <v>W044</v>
      </c>
      <c r="M109" s="17">
        <f>IFERROR(__xludf.DUMMYFUNCTION("""COMPUTED_VALUE"""),27.0)</f>
        <v>27</v>
      </c>
      <c r="N109" s="16">
        <f>IFERROR(__xludf.DUMMYFUNCTION("""COMPUTED_VALUE"""),0.93)</f>
        <v>0.93</v>
      </c>
      <c r="O109" s="14" t="str">
        <f t="shared" si="4"/>
        <v>0.016</v>
      </c>
      <c r="Q109" s="10">
        <f t="shared" si="5"/>
        <v>-19.74833333</v>
      </c>
      <c r="R109" s="10">
        <f t="shared" si="6"/>
        <v>-44.45</v>
      </c>
    </row>
    <row r="110">
      <c r="A110" s="10" t="s">
        <v>77</v>
      </c>
      <c r="B110" s="10" t="s">
        <v>399</v>
      </c>
      <c r="C110" s="10" t="s">
        <v>400</v>
      </c>
      <c r="D110" s="13">
        <v>109.0</v>
      </c>
      <c r="E110" s="14" t="str">
        <f t="shared" si="1"/>
        <v>1935.255S</v>
      </c>
      <c r="F110" s="14" t="str">
        <f t="shared" si="2"/>
        <v>04446.243W</v>
      </c>
      <c r="G110" s="14" t="str">
        <f>IFERROR(__xludf.DUMMYFUNCTION("SPLIT($B110,"" "")"),"S19")</f>
        <v>S19</v>
      </c>
      <c r="H110" s="15">
        <f>IFERROR(__xludf.DUMMYFUNCTION("""COMPUTED_VALUE"""),35.0)</f>
        <v>35</v>
      </c>
      <c r="I110" s="16">
        <f>IFERROR(__xludf.DUMMYFUNCTION("""COMPUTED_VALUE"""),15.29)</f>
        <v>15.29</v>
      </c>
      <c r="J110" s="14" t="str">
        <f t="shared" si="3"/>
        <v>0.255</v>
      </c>
      <c r="K110" s="14"/>
      <c r="L110" s="14" t="str">
        <f>IFERROR(__xludf.DUMMYFUNCTION("SPLIT($C110,"" "")"),"W044")</f>
        <v>W044</v>
      </c>
      <c r="M110" s="17">
        <f>IFERROR(__xludf.DUMMYFUNCTION("""COMPUTED_VALUE"""),46.0)</f>
        <v>46</v>
      </c>
      <c r="N110" s="16">
        <f>IFERROR(__xludf.DUMMYFUNCTION("""COMPUTED_VALUE"""),14.58)</f>
        <v>14.58</v>
      </c>
      <c r="O110" s="14" t="str">
        <f t="shared" si="4"/>
        <v>0.243</v>
      </c>
      <c r="Q110" s="10">
        <f t="shared" si="5"/>
        <v>-19.5875</v>
      </c>
      <c r="R110" s="10">
        <f t="shared" si="6"/>
        <v>-44.77055556</v>
      </c>
    </row>
    <row r="111">
      <c r="A111" s="10" t="s">
        <v>401</v>
      </c>
      <c r="B111" s="10" t="s">
        <v>402</v>
      </c>
      <c r="C111" s="10" t="s">
        <v>403</v>
      </c>
      <c r="D111" s="13">
        <v>110.0</v>
      </c>
      <c r="E111" s="14" t="str">
        <f t="shared" si="1"/>
        <v>1922.930S</v>
      </c>
      <c r="F111" s="14" t="str">
        <f t="shared" si="2"/>
        <v>04418.763W</v>
      </c>
      <c r="G111" s="14" t="str">
        <f>IFERROR(__xludf.DUMMYFUNCTION("SPLIT($B111,"" "")"),"S19")</f>
        <v>S19</v>
      </c>
      <c r="H111" s="15">
        <f>IFERROR(__xludf.DUMMYFUNCTION("""COMPUTED_VALUE"""),22.0)</f>
        <v>22</v>
      </c>
      <c r="I111" s="16">
        <f>IFERROR(__xludf.DUMMYFUNCTION("""COMPUTED_VALUE"""),55.8)</f>
        <v>55.8</v>
      </c>
      <c r="J111" s="14" t="str">
        <f t="shared" si="3"/>
        <v>0.930</v>
      </c>
      <c r="K111" s="14"/>
      <c r="L111" s="14" t="str">
        <f>IFERROR(__xludf.DUMMYFUNCTION("SPLIT($C111,"" "")"),"W044")</f>
        <v>W044</v>
      </c>
      <c r="M111" s="17">
        <f>IFERROR(__xludf.DUMMYFUNCTION("""COMPUTED_VALUE"""),18.0)</f>
        <v>18</v>
      </c>
      <c r="N111" s="16">
        <f>IFERROR(__xludf.DUMMYFUNCTION("""COMPUTED_VALUE"""),45.78)</f>
        <v>45.78</v>
      </c>
      <c r="O111" s="14" t="str">
        <f t="shared" si="4"/>
        <v>0.763</v>
      </c>
      <c r="Q111" s="10">
        <f t="shared" si="5"/>
        <v>-19.38194444</v>
      </c>
      <c r="R111" s="10">
        <f t="shared" si="6"/>
        <v>-44.3125</v>
      </c>
    </row>
    <row r="112">
      <c r="A112" s="10" t="s">
        <v>404</v>
      </c>
      <c r="B112" s="10" t="s">
        <v>405</v>
      </c>
      <c r="C112" s="10" t="s">
        <v>406</v>
      </c>
      <c r="D112" s="13">
        <v>111.0</v>
      </c>
      <c r="E112" s="14" t="str">
        <f t="shared" si="1"/>
        <v>1951.072S</v>
      </c>
      <c r="F112" s="14" t="str">
        <f t="shared" si="2"/>
        <v>04346.473W</v>
      </c>
      <c r="G112" s="14" t="str">
        <f>IFERROR(__xludf.DUMMYFUNCTION("SPLIT($B112,"" "")"),"S19")</f>
        <v>S19</v>
      </c>
      <c r="H112" s="15">
        <f>IFERROR(__xludf.DUMMYFUNCTION("""COMPUTED_VALUE"""),51.0)</f>
        <v>51</v>
      </c>
      <c r="I112" s="16">
        <f>IFERROR(__xludf.DUMMYFUNCTION("""COMPUTED_VALUE"""),4.3)</f>
        <v>4.3</v>
      </c>
      <c r="J112" s="14" t="str">
        <f t="shared" si="3"/>
        <v>0.072</v>
      </c>
      <c r="K112" s="14"/>
      <c r="L112" s="14" t="str">
        <f>IFERROR(__xludf.DUMMYFUNCTION("SPLIT($C112,"" "")"),"W043")</f>
        <v>W043</v>
      </c>
      <c r="M112" s="17">
        <f>IFERROR(__xludf.DUMMYFUNCTION("""COMPUTED_VALUE"""),46.0)</f>
        <v>46</v>
      </c>
      <c r="N112" s="16">
        <f>IFERROR(__xludf.DUMMYFUNCTION("""COMPUTED_VALUE"""),28.37)</f>
        <v>28.37</v>
      </c>
      <c r="O112" s="14" t="str">
        <f t="shared" si="4"/>
        <v>0.473</v>
      </c>
      <c r="Q112" s="10">
        <f t="shared" si="5"/>
        <v>-19.85111111</v>
      </c>
      <c r="R112" s="10">
        <f t="shared" si="6"/>
        <v>-43.77444444</v>
      </c>
    </row>
    <row r="113">
      <c r="A113" s="10" t="s">
        <v>407</v>
      </c>
      <c r="B113" s="10" t="s">
        <v>408</v>
      </c>
      <c r="C113" s="10" t="s">
        <v>409</v>
      </c>
      <c r="D113" s="13">
        <v>112.0</v>
      </c>
      <c r="E113" s="14" t="str">
        <f t="shared" si="1"/>
        <v>2002.381S</v>
      </c>
      <c r="F113" s="14" t="str">
        <f t="shared" si="2"/>
        <v>04343.674W</v>
      </c>
      <c r="G113" s="14" t="str">
        <f>IFERROR(__xludf.DUMMYFUNCTION("SPLIT($B113,"" "")"),"S20")</f>
        <v>S20</v>
      </c>
      <c r="H113" s="15">
        <f>IFERROR(__xludf.DUMMYFUNCTION("""COMPUTED_VALUE"""),2.0)</f>
        <v>2</v>
      </c>
      <c r="I113" s="16">
        <f>IFERROR(__xludf.DUMMYFUNCTION("""COMPUTED_VALUE"""),22.83)</f>
        <v>22.83</v>
      </c>
      <c r="J113" s="14" t="str">
        <f t="shared" si="3"/>
        <v>0.381</v>
      </c>
      <c r="K113" s="14"/>
      <c r="L113" s="14" t="str">
        <f>IFERROR(__xludf.DUMMYFUNCTION("SPLIT($C113,"" "")"),"W043")</f>
        <v>W043</v>
      </c>
      <c r="M113" s="17">
        <f>IFERROR(__xludf.DUMMYFUNCTION("""COMPUTED_VALUE"""),43.0)</f>
        <v>43</v>
      </c>
      <c r="N113" s="16">
        <f>IFERROR(__xludf.DUMMYFUNCTION("""COMPUTED_VALUE"""),40.42)</f>
        <v>40.42</v>
      </c>
      <c r="O113" s="14" t="str">
        <f t="shared" si="4"/>
        <v>0.674</v>
      </c>
      <c r="Q113" s="10">
        <f t="shared" si="5"/>
        <v>-20.03944444</v>
      </c>
      <c r="R113" s="10">
        <f t="shared" si="6"/>
        <v>-43.72777778</v>
      </c>
    </row>
    <row r="114">
      <c r="A114" s="10" t="s">
        <v>410</v>
      </c>
      <c r="B114" s="10" t="s">
        <v>411</v>
      </c>
      <c r="C114" s="10" t="s">
        <v>412</v>
      </c>
      <c r="D114" s="13">
        <v>113.0</v>
      </c>
      <c r="E114" s="14" t="str">
        <f t="shared" si="1"/>
        <v>1920.443S</v>
      </c>
      <c r="F114" s="14" t="str">
        <f t="shared" si="2"/>
        <v>04348.452W</v>
      </c>
      <c r="G114" s="14" t="str">
        <f>IFERROR(__xludf.DUMMYFUNCTION("SPLIT($B114,"" "")"),"S19")</f>
        <v>S19</v>
      </c>
      <c r="H114" s="15">
        <f>IFERROR(__xludf.DUMMYFUNCTION("""COMPUTED_VALUE"""),20.0)</f>
        <v>20</v>
      </c>
      <c r="I114" s="16">
        <f>IFERROR(__xludf.DUMMYFUNCTION("""COMPUTED_VALUE"""),26.56)</f>
        <v>26.56</v>
      </c>
      <c r="J114" s="14" t="str">
        <f t="shared" si="3"/>
        <v>0.443</v>
      </c>
      <c r="K114" s="14"/>
      <c r="L114" s="14" t="str">
        <f>IFERROR(__xludf.DUMMYFUNCTION("SPLIT($C114,"" "")"),"W043")</f>
        <v>W043</v>
      </c>
      <c r="M114" s="17">
        <f>IFERROR(__xludf.DUMMYFUNCTION("""COMPUTED_VALUE"""),48.0)</f>
        <v>48</v>
      </c>
      <c r="N114" s="16">
        <f>IFERROR(__xludf.DUMMYFUNCTION("""COMPUTED_VALUE"""),27.11)</f>
        <v>27.11</v>
      </c>
      <c r="O114" s="14" t="str">
        <f t="shared" si="4"/>
        <v>0.452</v>
      </c>
      <c r="Q114" s="10">
        <f t="shared" si="5"/>
        <v>-19.34055556</v>
      </c>
      <c r="R114" s="10">
        <f t="shared" si="6"/>
        <v>-43.8075</v>
      </c>
    </row>
    <row r="115">
      <c r="A115" s="10" t="s">
        <v>413</v>
      </c>
      <c r="B115" s="10" t="s">
        <v>414</v>
      </c>
      <c r="C115" s="10" t="s">
        <v>415</v>
      </c>
      <c r="D115" s="13">
        <v>114.0</v>
      </c>
      <c r="E115" s="14" t="str">
        <f t="shared" si="1"/>
        <v>1922.961S</v>
      </c>
      <c r="F115" s="14" t="str">
        <f t="shared" si="2"/>
        <v>04326.921W</v>
      </c>
      <c r="G115" s="14" t="str">
        <f>IFERROR(__xludf.DUMMYFUNCTION("SPLIT($B115,"" "")"),"S19")</f>
        <v>S19</v>
      </c>
      <c r="H115" s="15">
        <f>IFERROR(__xludf.DUMMYFUNCTION("""COMPUTED_VALUE"""),22.0)</f>
        <v>22</v>
      </c>
      <c r="I115" s="16">
        <f>IFERROR(__xludf.DUMMYFUNCTION("""COMPUTED_VALUE"""),57.64)</f>
        <v>57.64</v>
      </c>
      <c r="J115" s="14" t="str">
        <f t="shared" si="3"/>
        <v>0.961</v>
      </c>
      <c r="K115" s="14"/>
      <c r="L115" s="14" t="str">
        <f>IFERROR(__xludf.DUMMYFUNCTION("SPLIT($C115,"" "")"),"W043")</f>
        <v>W043</v>
      </c>
      <c r="M115" s="17">
        <f>IFERROR(__xludf.DUMMYFUNCTION("""COMPUTED_VALUE"""),26.0)</f>
        <v>26</v>
      </c>
      <c r="N115" s="16">
        <f>IFERROR(__xludf.DUMMYFUNCTION("""COMPUTED_VALUE"""),55.26)</f>
        <v>55.26</v>
      </c>
      <c r="O115" s="14" t="str">
        <f t="shared" si="4"/>
        <v>0.921</v>
      </c>
      <c r="Q115" s="10">
        <f t="shared" si="5"/>
        <v>-19.3825</v>
      </c>
      <c r="R115" s="10">
        <f t="shared" si="6"/>
        <v>-43.44861111</v>
      </c>
    </row>
    <row r="116">
      <c r="A116" s="10" t="s">
        <v>416</v>
      </c>
      <c r="B116" s="10" t="s">
        <v>417</v>
      </c>
      <c r="C116" s="10" t="s">
        <v>418</v>
      </c>
      <c r="D116" s="13">
        <v>115.0</v>
      </c>
      <c r="E116" s="14" t="str">
        <f t="shared" si="1"/>
        <v>1912.590S</v>
      </c>
      <c r="F116" s="14" t="str">
        <f t="shared" si="2"/>
        <v>04326.601W</v>
      </c>
      <c r="G116" s="14" t="str">
        <f>IFERROR(__xludf.DUMMYFUNCTION("SPLIT($B116,"" "")"),"S19")</f>
        <v>S19</v>
      </c>
      <c r="H116" s="15">
        <f>IFERROR(__xludf.DUMMYFUNCTION("""COMPUTED_VALUE"""),12.0)</f>
        <v>12</v>
      </c>
      <c r="I116" s="16">
        <f>IFERROR(__xludf.DUMMYFUNCTION("""COMPUTED_VALUE"""),35.38)</f>
        <v>35.38</v>
      </c>
      <c r="J116" s="14" t="str">
        <f t="shared" si="3"/>
        <v>0.590</v>
      </c>
      <c r="K116" s="14"/>
      <c r="L116" s="14" t="str">
        <f>IFERROR(__xludf.DUMMYFUNCTION("SPLIT($C116,"" "")"),"W043")</f>
        <v>W043</v>
      </c>
      <c r="M116" s="17">
        <f>IFERROR(__xludf.DUMMYFUNCTION("""COMPUTED_VALUE"""),26.0)</f>
        <v>26</v>
      </c>
      <c r="N116" s="16">
        <f>IFERROR(__xludf.DUMMYFUNCTION("""COMPUTED_VALUE"""),36.06)</f>
        <v>36.06</v>
      </c>
      <c r="O116" s="14" t="str">
        <f t="shared" si="4"/>
        <v>0.601</v>
      </c>
      <c r="Q116" s="10">
        <f t="shared" si="5"/>
        <v>-19.20972222</v>
      </c>
      <c r="R116" s="10">
        <f t="shared" si="6"/>
        <v>-43.44333333</v>
      </c>
    </row>
    <row r="117">
      <c r="A117" s="10" t="s">
        <v>419</v>
      </c>
      <c r="B117" s="10" t="s">
        <v>420</v>
      </c>
      <c r="C117" s="10" t="s">
        <v>421</v>
      </c>
      <c r="D117" s="13">
        <v>116.0</v>
      </c>
      <c r="E117" s="14" t="str">
        <f t="shared" si="1"/>
        <v>1908.280S</v>
      </c>
      <c r="F117" s="14" t="str">
        <f t="shared" si="2"/>
        <v>04322.408W</v>
      </c>
      <c r="G117" s="14" t="str">
        <f>IFERROR(__xludf.DUMMYFUNCTION("SPLIT($B117,"" "")"),"S19")</f>
        <v>S19</v>
      </c>
      <c r="H117" s="15">
        <f>IFERROR(__xludf.DUMMYFUNCTION("""COMPUTED_VALUE"""),8.0)</f>
        <v>8</v>
      </c>
      <c r="I117" s="16">
        <f>IFERROR(__xludf.DUMMYFUNCTION("""COMPUTED_VALUE"""),16.79)</f>
        <v>16.79</v>
      </c>
      <c r="J117" s="14" t="str">
        <f t="shared" si="3"/>
        <v>0.280</v>
      </c>
      <c r="K117" s="14"/>
      <c r="L117" s="14" t="str">
        <f>IFERROR(__xludf.DUMMYFUNCTION("SPLIT($C117,"" "")"),"W043")</f>
        <v>W043</v>
      </c>
      <c r="M117" s="17">
        <f>IFERROR(__xludf.DUMMYFUNCTION("""COMPUTED_VALUE"""),22.0)</f>
        <v>22</v>
      </c>
      <c r="N117" s="16">
        <f>IFERROR(__xludf.DUMMYFUNCTION("""COMPUTED_VALUE"""),24.46)</f>
        <v>24.46</v>
      </c>
      <c r="O117" s="14" t="str">
        <f t="shared" si="4"/>
        <v>0.408</v>
      </c>
      <c r="Q117" s="10">
        <f t="shared" si="5"/>
        <v>-19.13777778</v>
      </c>
      <c r="R117" s="10">
        <f t="shared" si="6"/>
        <v>-43.37333333</v>
      </c>
    </row>
    <row r="118">
      <c r="A118" s="10" t="s">
        <v>422</v>
      </c>
      <c r="B118" s="10" t="s">
        <v>423</v>
      </c>
      <c r="C118" s="10" t="s">
        <v>424</v>
      </c>
      <c r="D118" s="13">
        <v>117.0</v>
      </c>
      <c r="E118" s="14" t="str">
        <f t="shared" si="1"/>
        <v>1902.504S</v>
      </c>
      <c r="F118" s="14" t="str">
        <f t="shared" si="2"/>
        <v>04327.315W</v>
      </c>
      <c r="G118" s="14" t="str">
        <f>IFERROR(__xludf.DUMMYFUNCTION("SPLIT($B118,"" "")"),"S19")</f>
        <v>S19</v>
      </c>
      <c r="H118" s="15">
        <f>IFERROR(__xludf.DUMMYFUNCTION("""COMPUTED_VALUE"""),2.0)</f>
        <v>2</v>
      </c>
      <c r="I118" s="16">
        <f>IFERROR(__xludf.DUMMYFUNCTION("""COMPUTED_VALUE"""),30.22)</f>
        <v>30.22</v>
      </c>
      <c r="J118" s="14" t="str">
        <f t="shared" si="3"/>
        <v>0.504</v>
      </c>
      <c r="K118" s="14"/>
      <c r="L118" s="14" t="str">
        <f>IFERROR(__xludf.DUMMYFUNCTION("SPLIT($C118,"" "")"),"W043")</f>
        <v>W043</v>
      </c>
      <c r="M118" s="17">
        <f>IFERROR(__xludf.DUMMYFUNCTION("""COMPUTED_VALUE"""),27.0)</f>
        <v>27</v>
      </c>
      <c r="N118" s="16">
        <f>IFERROR(__xludf.DUMMYFUNCTION("""COMPUTED_VALUE"""),18.9)</f>
        <v>18.9</v>
      </c>
      <c r="O118" s="14" t="str">
        <f t="shared" si="4"/>
        <v>0.315</v>
      </c>
      <c r="Q118" s="10">
        <f t="shared" si="5"/>
        <v>-19.04166667</v>
      </c>
      <c r="R118" s="10">
        <f t="shared" si="6"/>
        <v>-43.455</v>
      </c>
    </row>
    <row r="119">
      <c r="A119" s="10" t="s">
        <v>425</v>
      </c>
      <c r="B119" s="10" t="s">
        <v>426</v>
      </c>
      <c r="C119" s="10" t="s">
        <v>427</v>
      </c>
      <c r="D119" s="13">
        <v>118.0</v>
      </c>
      <c r="E119" s="14" t="str">
        <f t="shared" si="1"/>
        <v>1933.863S</v>
      </c>
      <c r="F119" s="14" t="str">
        <f t="shared" si="2"/>
        <v>04402.131W</v>
      </c>
      <c r="G119" s="14" t="str">
        <f>IFERROR(__xludf.DUMMYFUNCTION("SPLIT($B119,"" "")"),"S19")</f>
        <v>S19</v>
      </c>
      <c r="H119" s="15">
        <f>IFERROR(__xludf.DUMMYFUNCTION("""COMPUTED_VALUE"""),33.0)</f>
        <v>33</v>
      </c>
      <c r="I119" s="16">
        <f>IFERROR(__xludf.DUMMYFUNCTION("""COMPUTED_VALUE"""),51.79)</f>
        <v>51.79</v>
      </c>
      <c r="J119" s="14" t="str">
        <f t="shared" si="3"/>
        <v>0.863</v>
      </c>
      <c r="K119" s="14"/>
      <c r="L119" s="14" t="str">
        <f>IFERROR(__xludf.DUMMYFUNCTION("SPLIT($C119,"" "")"),"W044")</f>
        <v>W044</v>
      </c>
      <c r="M119" s="17">
        <f>IFERROR(__xludf.DUMMYFUNCTION("""COMPUTED_VALUE"""),2.0)</f>
        <v>2</v>
      </c>
      <c r="N119" s="16">
        <f>IFERROR(__xludf.DUMMYFUNCTION("""COMPUTED_VALUE"""),7.83)</f>
        <v>7.83</v>
      </c>
      <c r="O119" s="14" t="str">
        <f t="shared" si="4"/>
        <v>0.131</v>
      </c>
      <c r="Q119" s="10">
        <f t="shared" si="5"/>
        <v>-19.56416667</v>
      </c>
      <c r="R119" s="10">
        <f t="shared" si="6"/>
        <v>-44.03527778</v>
      </c>
    </row>
    <row r="120">
      <c r="A120" s="10" t="s">
        <v>428</v>
      </c>
      <c r="B120" s="10" t="s">
        <v>429</v>
      </c>
      <c r="C120" s="10" t="s">
        <v>430</v>
      </c>
      <c r="D120" s="13">
        <v>119.0</v>
      </c>
      <c r="E120" s="14" t="str">
        <f t="shared" si="1"/>
        <v>1853.584S</v>
      </c>
      <c r="F120" s="14" t="str">
        <f t="shared" si="2"/>
        <v>04349.555W</v>
      </c>
      <c r="G120" s="14" t="str">
        <f>IFERROR(__xludf.DUMMYFUNCTION("SPLIT($B120,"" "")"),"S18")</f>
        <v>S18</v>
      </c>
      <c r="H120" s="15">
        <f>IFERROR(__xludf.DUMMYFUNCTION("""COMPUTED_VALUE"""),53.0)</f>
        <v>53</v>
      </c>
      <c r="I120" s="16">
        <f>IFERROR(__xludf.DUMMYFUNCTION("""COMPUTED_VALUE"""),35.06)</f>
        <v>35.06</v>
      </c>
      <c r="J120" s="14" t="str">
        <f t="shared" si="3"/>
        <v>0.584</v>
      </c>
      <c r="K120" s="14"/>
      <c r="L120" s="14" t="str">
        <f>IFERROR(__xludf.DUMMYFUNCTION("SPLIT($C120,"" "")"),"W043")</f>
        <v>W043</v>
      </c>
      <c r="M120" s="17">
        <f>IFERROR(__xludf.DUMMYFUNCTION("""COMPUTED_VALUE"""),49.0)</f>
        <v>49</v>
      </c>
      <c r="N120" s="16">
        <f>IFERROR(__xludf.DUMMYFUNCTION("""COMPUTED_VALUE"""),33.29)</f>
        <v>33.29</v>
      </c>
      <c r="O120" s="14" t="str">
        <f t="shared" si="4"/>
        <v>0.555</v>
      </c>
      <c r="Q120" s="10">
        <f t="shared" si="5"/>
        <v>-18.89305556</v>
      </c>
      <c r="R120" s="10">
        <f t="shared" si="6"/>
        <v>-43.82583333</v>
      </c>
    </row>
    <row r="121">
      <c r="A121" s="10" t="s">
        <v>431</v>
      </c>
      <c r="B121" s="10" t="s">
        <v>432</v>
      </c>
      <c r="C121" s="10" t="s">
        <v>433</v>
      </c>
      <c r="D121" s="13">
        <v>120.0</v>
      </c>
      <c r="E121" s="14" t="str">
        <f t="shared" si="1"/>
        <v>1920.808S</v>
      </c>
      <c r="F121" s="14" t="str">
        <f t="shared" si="2"/>
        <v>04400.983W</v>
      </c>
      <c r="G121" s="14" t="str">
        <f>IFERROR(__xludf.DUMMYFUNCTION("SPLIT($B121,"" "")"),"S19")</f>
        <v>S19</v>
      </c>
      <c r="H121" s="15">
        <f>IFERROR(__xludf.DUMMYFUNCTION("""COMPUTED_VALUE"""),20.0)</f>
        <v>20</v>
      </c>
      <c r="I121" s="16">
        <f>IFERROR(__xludf.DUMMYFUNCTION("""COMPUTED_VALUE"""),48.47)</f>
        <v>48.47</v>
      </c>
      <c r="J121" s="14" t="str">
        <f t="shared" si="3"/>
        <v>0.808</v>
      </c>
      <c r="K121" s="14"/>
      <c r="L121" s="14" t="str">
        <f>IFERROR(__xludf.DUMMYFUNCTION("SPLIT($C121,"" "")"),"W044")</f>
        <v>W044</v>
      </c>
      <c r="M121" s="17">
        <f>IFERROR(__xludf.DUMMYFUNCTION("""COMPUTED_VALUE"""),0.0)</f>
        <v>0</v>
      </c>
      <c r="N121" s="16">
        <f>IFERROR(__xludf.DUMMYFUNCTION("""COMPUTED_VALUE"""),59.0)</f>
        <v>59</v>
      </c>
      <c r="O121" s="14" t="str">
        <f t="shared" si="4"/>
        <v>0.983</v>
      </c>
      <c r="Q121" s="10">
        <f t="shared" si="5"/>
        <v>-19.34666667</v>
      </c>
      <c r="R121" s="10">
        <f t="shared" si="6"/>
        <v>-44.01638889</v>
      </c>
    </row>
    <row r="122">
      <c r="A122" s="10" t="s">
        <v>434</v>
      </c>
      <c r="B122" s="10" t="s">
        <v>435</v>
      </c>
      <c r="C122" s="10" t="s">
        <v>436</v>
      </c>
      <c r="D122" s="13">
        <v>121.0</v>
      </c>
      <c r="E122" s="14" t="str">
        <f t="shared" si="1"/>
        <v>1938.698S</v>
      </c>
      <c r="F122" s="14" t="str">
        <f t="shared" si="2"/>
        <v>04405.087W</v>
      </c>
      <c r="G122" s="14" t="str">
        <f>IFERROR(__xludf.DUMMYFUNCTION("SPLIT($B122,"" "")"),"S19")</f>
        <v>S19</v>
      </c>
      <c r="H122" s="15">
        <f>IFERROR(__xludf.DUMMYFUNCTION("""COMPUTED_VALUE"""),38.0)</f>
        <v>38</v>
      </c>
      <c r="I122" s="16">
        <f>IFERROR(__xludf.DUMMYFUNCTION("""COMPUTED_VALUE"""),41.85)</f>
        <v>41.85</v>
      </c>
      <c r="J122" s="14" t="str">
        <f t="shared" si="3"/>
        <v>0.698</v>
      </c>
      <c r="K122" s="14"/>
      <c r="L122" s="14" t="str">
        <f>IFERROR(__xludf.DUMMYFUNCTION("SPLIT($C122,"" "")"),"W044")</f>
        <v>W044</v>
      </c>
      <c r="M122" s="17">
        <f>IFERROR(__xludf.DUMMYFUNCTION("""COMPUTED_VALUE"""),5.0)</f>
        <v>5</v>
      </c>
      <c r="N122" s="16">
        <f>IFERROR(__xludf.DUMMYFUNCTION("""COMPUTED_VALUE"""),5.21)</f>
        <v>5.21</v>
      </c>
      <c r="O122" s="14" t="str">
        <f t="shared" si="4"/>
        <v>0.087</v>
      </c>
      <c r="Q122" s="10">
        <f t="shared" si="5"/>
        <v>-19.64472222</v>
      </c>
      <c r="R122" s="10">
        <f t="shared" si="6"/>
        <v>-44.08472222</v>
      </c>
    </row>
    <row r="123">
      <c r="A123" s="10" t="s">
        <v>437</v>
      </c>
      <c r="B123" s="10" t="s">
        <v>438</v>
      </c>
      <c r="C123" s="10" t="s">
        <v>439</v>
      </c>
      <c r="D123" s="13">
        <v>122.0</v>
      </c>
      <c r="E123" s="14" t="str">
        <f t="shared" si="1"/>
        <v>1856.343S</v>
      </c>
      <c r="F123" s="14" t="str">
        <f t="shared" si="2"/>
        <v>04417.019W</v>
      </c>
      <c r="G123" s="14" t="str">
        <f>IFERROR(__xludf.DUMMYFUNCTION("SPLIT($B123,"" "")"),"S18")</f>
        <v>S18</v>
      </c>
      <c r="H123" s="15">
        <f>IFERROR(__xludf.DUMMYFUNCTION("""COMPUTED_VALUE"""),56.0)</f>
        <v>56</v>
      </c>
      <c r="I123" s="16">
        <f>IFERROR(__xludf.DUMMYFUNCTION("""COMPUTED_VALUE"""),20.58)</f>
        <v>20.58</v>
      </c>
      <c r="J123" s="14" t="str">
        <f t="shared" si="3"/>
        <v>0.343</v>
      </c>
      <c r="K123" s="14"/>
      <c r="L123" s="14" t="str">
        <f>IFERROR(__xludf.DUMMYFUNCTION("SPLIT($C123,"" "")"),"W044")</f>
        <v>W044</v>
      </c>
      <c r="M123" s="17">
        <f>IFERROR(__xludf.DUMMYFUNCTION("""COMPUTED_VALUE"""),17.0)</f>
        <v>17</v>
      </c>
      <c r="N123" s="16">
        <f>IFERROR(__xludf.DUMMYFUNCTION("""COMPUTED_VALUE"""),1.15)</f>
        <v>1.15</v>
      </c>
      <c r="O123" s="14" t="str">
        <f t="shared" si="4"/>
        <v>0.019</v>
      </c>
      <c r="Q123" s="10">
        <f t="shared" si="5"/>
        <v>-18.93888889</v>
      </c>
      <c r="R123" s="10">
        <f t="shared" si="6"/>
        <v>-44.28361111</v>
      </c>
    </row>
    <row r="124">
      <c r="A124" s="10" t="s">
        <v>440</v>
      </c>
      <c r="B124" s="10" t="s">
        <v>441</v>
      </c>
      <c r="C124" s="10" t="s">
        <v>442</v>
      </c>
      <c r="D124" s="13">
        <v>123.0</v>
      </c>
      <c r="E124" s="14" t="str">
        <f t="shared" si="1"/>
        <v>1940.716S</v>
      </c>
      <c r="F124" s="14" t="str">
        <f t="shared" si="2"/>
        <v>04409.810W</v>
      </c>
      <c r="G124" s="14" t="str">
        <f>IFERROR(__xludf.DUMMYFUNCTION("SPLIT($B124,"" "")"),"S19")</f>
        <v>S19</v>
      </c>
      <c r="H124" s="15">
        <f>IFERROR(__xludf.DUMMYFUNCTION("""COMPUTED_VALUE"""),40.0)</f>
        <v>40</v>
      </c>
      <c r="I124" s="16">
        <f>IFERROR(__xludf.DUMMYFUNCTION("""COMPUTED_VALUE"""),42.95)</f>
        <v>42.95</v>
      </c>
      <c r="J124" s="14" t="str">
        <f t="shared" si="3"/>
        <v>0.716</v>
      </c>
      <c r="K124" s="14"/>
      <c r="L124" s="14" t="str">
        <f>IFERROR(__xludf.DUMMYFUNCTION("SPLIT($C124,"" "")"),"W044")</f>
        <v>W044</v>
      </c>
      <c r="M124" s="17">
        <f>IFERROR(__xludf.DUMMYFUNCTION("""COMPUTED_VALUE"""),9.0)</f>
        <v>9</v>
      </c>
      <c r="N124" s="16">
        <f>IFERROR(__xludf.DUMMYFUNCTION("""COMPUTED_VALUE"""),48.58)</f>
        <v>48.58</v>
      </c>
      <c r="O124" s="14" t="str">
        <f t="shared" si="4"/>
        <v>0.810</v>
      </c>
      <c r="Q124" s="10">
        <f t="shared" si="5"/>
        <v>-19.67833333</v>
      </c>
      <c r="R124" s="10">
        <f t="shared" si="6"/>
        <v>-44.16333333</v>
      </c>
    </row>
    <row r="125">
      <c r="A125" s="10" t="s">
        <v>443</v>
      </c>
      <c r="B125" s="10" t="s">
        <v>444</v>
      </c>
      <c r="C125" s="10" t="s">
        <v>445</v>
      </c>
      <c r="D125" s="13">
        <v>124.0</v>
      </c>
      <c r="E125" s="14" t="str">
        <f t="shared" si="1"/>
        <v>1946.820S</v>
      </c>
      <c r="F125" s="14" t="str">
        <f t="shared" si="2"/>
        <v>04419.692W</v>
      </c>
      <c r="G125" s="14" t="str">
        <f>IFERROR(__xludf.DUMMYFUNCTION("SPLIT($B125,"" "")"),"S19")</f>
        <v>S19</v>
      </c>
      <c r="H125" s="15">
        <f>IFERROR(__xludf.DUMMYFUNCTION("""COMPUTED_VALUE"""),46.0)</f>
        <v>46</v>
      </c>
      <c r="I125" s="16">
        <f>IFERROR(__xludf.DUMMYFUNCTION("""COMPUTED_VALUE"""),49.2)</f>
        <v>49.2</v>
      </c>
      <c r="J125" s="14" t="str">
        <f t="shared" si="3"/>
        <v>0.820</v>
      </c>
      <c r="K125" s="14"/>
      <c r="L125" s="14" t="str">
        <f>IFERROR(__xludf.DUMMYFUNCTION("SPLIT($C125,"" "")"),"W044")</f>
        <v>W044</v>
      </c>
      <c r="M125" s="17">
        <f>IFERROR(__xludf.DUMMYFUNCTION("""COMPUTED_VALUE"""),19.0)</f>
        <v>19</v>
      </c>
      <c r="N125" s="16">
        <f>IFERROR(__xludf.DUMMYFUNCTION("""COMPUTED_VALUE"""),41.52)</f>
        <v>41.52</v>
      </c>
      <c r="O125" s="14" t="str">
        <f t="shared" si="4"/>
        <v>0.692</v>
      </c>
      <c r="Q125" s="10">
        <f t="shared" si="5"/>
        <v>-19.78027778</v>
      </c>
      <c r="R125" s="10">
        <f t="shared" si="6"/>
        <v>-44.32805556</v>
      </c>
    </row>
    <row r="126">
      <c r="A126" s="10" t="s">
        <v>446</v>
      </c>
      <c r="B126" s="10" t="s">
        <v>447</v>
      </c>
      <c r="C126" s="10" t="s">
        <v>448</v>
      </c>
      <c r="D126" s="13">
        <v>125.0</v>
      </c>
      <c r="E126" s="14" t="str">
        <f t="shared" si="1"/>
        <v>1942.424S</v>
      </c>
      <c r="F126" s="14" t="str">
        <f t="shared" si="2"/>
        <v>04420.050W</v>
      </c>
      <c r="G126" s="14" t="str">
        <f>IFERROR(__xludf.DUMMYFUNCTION("SPLIT($B126,"" "")"),"S19")</f>
        <v>S19</v>
      </c>
      <c r="H126" s="15">
        <f>IFERROR(__xludf.DUMMYFUNCTION("""COMPUTED_VALUE"""),42.0)</f>
        <v>42</v>
      </c>
      <c r="I126" s="16">
        <f>IFERROR(__xludf.DUMMYFUNCTION("""COMPUTED_VALUE"""),25.42)</f>
        <v>25.42</v>
      </c>
      <c r="J126" s="14" t="str">
        <f t="shared" si="3"/>
        <v>0.424</v>
      </c>
      <c r="K126" s="14"/>
      <c r="L126" s="14" t="str">
        <f>IFERROR(__xludf.DUMMYFUNCTION("SPLIT($C126,"" "")"),"W044")</f>
        <v>W044</v>
      </c>
      <c r="M126" s="17">
        <f>IFERROR(__xludf.DUMMYFUNCTION("""COMPUTED_VALUE"""),20.0)</f>
        <v>20</v>
      </c>
      <c r="N126" s="16">
        <f>IFERROR(__xludf.DUMMYFUNCTION("""COMPUTED_VALUE"""),2.97)</f>
        <v>2.97</v>
      </c>
      <c r="O126" s="14" t="str">
        <f t="shared" si="4"/>
        <v>0.050</v>
      </c>
      <c r="Q126" s="10">
        <f t="shared" si="5"/>
        <v>-19.70694444</v>
      </c>
      <c r="R126" s="10">
        <f t="shared" si="6"/>
        <v>-44.33388889</v>
      </c>
    </row>
    <row r="127">
      <c r="A127" s="10" t="s">
        <v>449</v>
      </c>
      <c r="B127" s="10" t="s">
        <v>450</v>
      </c>
      <c r="C127" s="10" t="s">
        <v>451</v>
      </c>
      <c r="D127" s="13">
        <v>126.0</v>
      </c>
      <c r="E127" s="14" t="str">
        <f t="shared" si="1"/>
        <v>1928.932S</v>
      </c>
      <c r="F127" s="14" t="str">
        <f t="shared" si="2"/>
        <v>04340.045W</v>
      </c>
      <c r="G127" s="14" t="str">
        <f>IFERROR(__xludf.DUMMYFUNCTION("SPLIT($B127,"" "")"),"S19")</f>
        <v>S19</v>
      </c>
      <c r="H127" s="15">
        <f>IFERROR(__xludf.DUMMYFUNCTION("""COMPUTED_VALUE"""),28.0)</f>
        <v>28</v>
      </c>
      <c r="I127" s="16">
        <f>IFERROR(__xludf.DUMMYFUNCTION("""COMPUTED_VALUE"""),55.9)</f>
        <v>55.9</v>
      </c>
      <c r="J127" s="14" t="str">
        <f t="shared" si="3"/>
        <v>0.932</v>
      </c>
      <c r="K127" s="14"/>
      <c r="L127" s="14" t="str">
        <f>IFERROR(__xludf.DUMMYFUNCTION("SPLIT($C127,"" "")"),"W043")</f>
        <v>W043</v>
      </c>
      <c r="M127" s="17">
        <f>IFERROR(__xludf.DUMMYFUNCTION("""COMPUTED_VALUE"""),40.0)</f>
        <v>40</v>
      </c>
      <c r="N127" s="16">
        <f>IFERROR(__xludf.DUMMYFUNCTION("""COMPUTED_VALUE"""),2.72)</f>
        <v>2.72</v>
      </c>
      <c r="O127" s="14" t="str">
        <f t="shared" si="4"/>
        <v>0.045</v>
      </c>
      <c r="Q127" s="10">
        <f t="shared" si="5"/>
        <v>-19.48194444</v>
      </c>
      <c r="R127" s="10">
        <f t="shared" si="6"/>
        <v>-43.66722222</v>
      </c>
    </row>
    <row r="128">
      <c r="A128" s="10" t="s">
        <v>452</v>
      </c>
      <c r="B128" s="10" t="s">
        <v>453</v>
      </c>
      <c r="C128" s="10" t="s">
        <v>454</v>
      </c>
      <c r="D128" s="13">
        <v>127.0</v>
      </c>
      <c r="E128" s="14" t="str">
        <f t="shared" si="1"/>
        <v>1928.418S</v>
      </c>
      <c r="F128" s="14" t="str">
        <f t="shared" si="2"/>
        <v>04310.810W</v>
      </c>
      <c r="G128" s="14" t="str">
        <f>IFERROR(__xludf.DUMMYFUNCTION("SPLIT($B128,"" "")"),"S19")</f>
        <v>S19</v>
      </c>
      <c r="H128" s="15">
        <f>IFERROR(__xludf.DUMMYFUNCTION("""COMPUTED_VALUE"""),28.0)</f>
        <v>28</v>
      </c>
      <c r="I128" s="16">
        <f>IFERROR(__xludf.DUMMYFUNCTION("""COMPUTED_VALUE"""),25.09)</f>
        <v>25.09</v>
      </c>
      <c r="J128" s="14" t="str">
        <f t="shared" si="3"/>
        <v>0.418</v>
      </c>
      <c r="K128" s="14"/>
      <c r="L128" s="14" t="str">
        <f>IFERROR(__xludf.DUMMYFUNCTION("SPLIT($C128,"" "")"),"W043")</f>
        <v>W043</v>
      </c>
      <c r="M128" s="17">
        <f>IFERROR(__xludf.DUMMYFUNCTION("""COMPUTED_VALUE"""),10.0)</f>
        <v>10</v>
      </c>
      <c r="N128" s="16">
        <f>IFERROR(__xludf.DUMMYFUNCTION("""COMPUTED_VALUE"""),48.61)</f>
        <v>48.61</v>
      </c>
      <c r="O128" s="14" t="str">
        <f t="shared" si="4"/>
        <v>0.810</v>
      </c>
      <c r="Q128" s="10">
        <f t="shared" si="5"/>
        <v>-19.47361111</v>
      </c>
      <c r="R128" s="10">
        <f t="shared" si="6"/>
        <v>-43.18</v>
      </c>
    </row>
    <row r="129">
      <c r="A129" s="10" t="s">
        <v>455</v>
      </c>
      <c r="B129" s="10" t="s">
        <v>456</v>
      </c>
      <c r="C129" s="10" t="s">
        <v>457</v>
      </c>
      <c r="D129" s="13">
        <v>128.0</v>
      </c>
      <c r="E129" s="14" t="str">
        <f t="shared" si="1"/>
        <v>1950.602S</v>
      </c>
      <c r="F129" s="14" t="str">
        <f t="shared" si="2"/>
        <v>04353.146W</v>
      </c>
      <c r="G129" s="14" t="str">
        <f>IFERROR(__xludf.DUMMYFUNCTION("SPLIT($B129,"" "")"),"S19")</f>
        <v>S19</v>
      </c>
      <c r="H129" s="15">
        <f>IFERROR(__xludf.DUMMYFUNCTION("""COMPUTED_VALUE"""),50.0)</f>
        <v>50</v>
      </c>
      <c r="I129" s="16">
        <f>IFERROR(__xludf.DUMMYFUNCTION("""COMPUTED_VALUE"""),36.11)</f>
        <v>36.11</v>
      </c>
      <c r="J129" s="14" t="str">
        <f t="shared" si="3"/>
        <v>0.602</v>
      </c>
      <c r="K129" s="14"/>
      <c r="L129" s="14" t="str">
        <f>IFERROR(__xludf.DUMMYFUNCTION("SPLIT($C129,"" "")"),"W043")</f>
        <v>W043</v>
      </c>
      <c r="M129" s="17">
        <f>IFERROR(__xludf.DUMMYFUNCTION("""COMPUTED_VALUE"""),53.0)</f>
        <v>53</v>
      </c>
      <c r="N129" s="16">
        <f>IFERROR(__xludf.DUMMYFUNCTION("""COMPUTED_VALUE"""),8.74)</f>
        <v>8.74</v>
      </c>
      <c r="O129" s="14" t="str">
        <f t="shared" si="4"/>
        <v>0.146</v>
      </c>
      <c r="Q129" s="10">
        <f t="shared" si="5"/>
        <v>-19.84333333</v>
      </c>
      <c r="R129" s="10">
        <f t="shared" si="6"/>
        <v>-43.88555556</v>
      </c>
    </row>
    <row r="130">
      <c r="A130" s="10" t="s">
        <v>458</v>
      </c>
      <c r="B130" s="10" t="s">
        <v>459</v>
      </c>
      <c r="C130" s="10" t="s">
        <v>460</v>
      </c>
      <c r="D130" s="13">
        <v>129.0</v>
      </c>
      <c r="E130" s="14" t="str">
        <f t="shared" si="1"/>
        <v>1956.437S</v>
      </c>
      <c r="F130" s="14" t="str">
        <f t="shared" si="2"/>
        <v>04347.367W</v>
      </c>
      <c r="G130" s="14" t="str">
        <f>IFERROR(__xludf.DUMMYFUNCTION("SPLIT($B130,"" "")"),"S19")</f>
        <v>S19</v>
      </c>
      <c r="H130" s="15">
        <f>IFERROR(__xludf.DUMMYFUNCTION("""COMPUTED_VALUE"""),56.0)</f>
        <v>56</v>
      </c>
      <c r="I130" s="16">
        <f>IFERROR(__xludf.DUMMYFUNCTION("""COMPUTED_VALUE"""),26.2)</f>
        <v>26.2</v>
      </c>
      <c r="J130" s="14" t="str">
        <f t="shared" si="3"/>
        <v>0.437</v>
      </c>
      <c r="K130" s="14"/>
      <c r="L130" s="14" t="str">
        <f>IFERROR(__xludf.DUMMYFUNCTION("SPLIT($C130,"" "")"),"W043")</f>
        <v>W043</v>
      </c>
      <c r="M130" s="17">
        <f>IFERROR(__xludf.DUMMYFUNCTION("""COMPUTED_VALUE"""),47.0)</f>
        <v>47</v>
      </c>
      <c r="N130" s="16">
        <f>IFERROR(__xludf.DUMMYFUNCTION("""COMPUTED_VALUE"""),21.99)</f>
        <v>21.99</v>
      </c>
      <c r="O130" s="14" t="str">
        <f t="shared" si="4"/>
        <v>0.367</v>
      </c>
      <c r="Q130" s="10">
        <f t="shared" si="5"/>
        <v>-19.94055556</v>
      </c>
      <c r="R130" s="10">
        <f t="shared" si="6"/>
        <v>-43.78916667</v>
      </c>
    </row>
    <row r="131">
      <c r="A131" s="10" t="s">
        <v>461</v>
      </c>
      <c r="B131" s="10" t="s">
        <v>462</v>
      </c>
      <c r="C131" s="10" t="s">
        <v>463</v>
      </c>
      <c r="D131" s="13">
        <v>130.0</v>
      </c>
      <c r="E131" s="14" t="str">
        <f t="shared" si="1"/>
        <v>1905.757S</v>
      </c>
      <c r="F131" s="14" t="str">
        <f t="shared" si="2"/>
        <v>04324.553W</v>
      </c>
      <c r="G131" s="14" t="str">
        <f>IFERROR(__xludf.DUMMYFUNCTION("SPLIT($B131,"" "")"),"S19")</f>
        <v>S19</v>
      </c>
      <c r="H131" s="15">
        <f>IFERROR(__xludf.DUMMYFUNCTION("""COMPUTED_VALUE"""),5.0)</f>
        <v>5</v>
      </c>
      <c r="I131" s="16">
        <f>IFERROR(__xludf.DUMMYFUNCTION("""COMPUTED_VALUE"""),45.39)</f>
        <v>45.39</v>
      </c>
      <c r="J131" s="14" t="str">
        <f t="shared" si="3"/>
        <v>0.757</v>
      </c>
      <c r="K131" s="14"/>
      <c r="L131" s="14" t="str">
        <f>IFERROR(__xludf.DUMMYFUNCTION("SPLIT($C131,"" "")"),"W043")</f>
        <v>W043</v>
      </c>
      <c r="M131" s="17">
        <f>IFERROR(__xludf.DUMMYFUNCTION("""COMPUTED_VALUE"""),24.0)</f>
        <v>24</v>
      </c>
      <c r="N131" s="16">
        <f>IFERROR(__xludf.DUMMYFUNCTION("""COMPUTED_VALUE"""),33.17)</f>
        <v>33.17</v>
      </c>
      <c r="O131" s="14" t="str">
        <f t="shared" si="4"/>
        <v>0.553</v>
      </c>
      <c r="Q131" s="10">
        <f t="shared" si="5"/>
        <v>-19.09583333</v>
      </c>
      <c r="R131" s="10">
        <f t="shared" si="6"/>
        <v>-43.40916667</v>
      </c>
    </row>
    <row r="132">
      <c r="A132" s="10" t="s">
        <v>59</v>
      </c>
      <c r="B132" s="10" t="s">
        <v>464</v>
      </c>
      <c r="C132" s="10" t="s">
        <v>465</v>
      </c>
      <c r="D132" s="13">
        <v>131.0</v>
      </c>
      <c r="E132" s="14" t="str">
        <f t="shared" si="1"/>
        <v>2000.393S</v>
      </c>
      <c r="F132" s="14" t="str">
        <f t="shared" si="2"/>
        <v>04408.619W</v>
      </c>
      <c r="G132" s="14" t="str">
        <f>IFERROR(__xludf.DUMMYFUNCTION("SPLIT($B132,"" "")"),"S20")</f>
        <v>S20</v>
      </c>
      <c r="H132" s="15">
        <f>IFERROR(__xludf.DUMMYFUNCTION("""COMPUTED_VALUE"""),0.0)</f>
        <v>0</v>
      </c>
      <c r="I132" s="16">
        <f>IFERROR(__xludf.DUMMYFUNCTION("""COMPUTED_VALUE"""),23.57)</f>
        <v>23.57</v>
      </c>
      <c r="J132" s="14" t="str">
        <f t="shared" si="3"/>
        <v>0.393</v>
      </c>
      <c r="K132" s="14"/>
      <c r="L132" s="14" t="str">
        <f>IFERROR(__xludf.DUMMYFUNCTION("SPLIT($C132,"" "")"),"W044")</f>
        <v>W044</v>
      </c>
      <c r="M132" s="17">
        <f>IFERROR(__xludf.DUMMYFUNCTION("""COMPUTED_VALUE"""),8.0)</f>
        <v>8</v>
      </c>
      <c r="N132" s="16">
        <f>IFERROR(__xludf.DUMMYFUNCTION("""COMPUTED_VALUE"""),37.12)</f>
        <v>37.12</v>
      </c>
      <c r="O132" s="14" t="str">
        <f t="shared" si="4"/>
        <v>0.619</v>
      </c>
      <c r="Q132" s="10">
        <f t="shared" si="5"/>
        <v>-20.00638889</v>
      </c>
      <c r="R132" s="10">
        <f t="shared" si="6"/>
        <v>-44.14361111</v>
      </c>
    </row>
    <row r="133">
      <c r="A133" s="10" t="s">
        <v>466</v>
      </c>
      <c r="B133" s="10" t="s">
        <v>467</v>
      </c>
      <c r="C133" s="10" t="s">
        <v>468</v>
      </c>
      <c r="D133" s="13">
        <v>132.0</v>
      </c>
      <c r="E133" s="14" t="str">
        <f t="shared" si="1"/>
        <v>1910.003S</v>
      </c>
      <c r="F133" s="14" t="str">
        <f t="shared" si="2"/>
        <v>04353.479W</v>
      </c>
      <c r="G133" s="14" t="str">
        <f>IFERROR(__xludf.DUMMYFUNCTION("SPLIT($B133,"" "")"),"S19")</f>
        <v>S19</v>
      </c>
      <c r="H133" s="15">
        <f>IFERROR(__xludf.DUMMYFUNCTION("""COMPUTED_VALUE"""),10.0)</f>
        <v>10</v>
      </c>
      <c r="I133" s="16">
        <f>IFERROR(__xludf.DUMMYFUNCTION("""COMPUTED_VALUE"""),0.17)</f>
        <v>0.17</v>
      </c>
      <c r="J133" s="14" t="str">
        <f t="shared" si="3"/>
        <v>0.003</v>
      </c>
      <c r="K133" s="14"/>
      <c r="L133" s="14" t="str">
        <f>IFERROR(__xludf.DUMMYFUNCTION("SPLIT($C133,"" "")"),"W043")</f>
        <v>W043</v>
      </c>
      <c r="M133" s="17">
        <f>IFERROR(__xludf.DUMMYFUNCTION("""COMPUTED_VALUE"""),53.0)</f>
        <v>53</v>
      </c>
      <c r="N133" s="16">
        <f>IFERROR(__xludf.DUMMYFUNCTION("""COMPUTED_VALUE"""),28.72)</f>
        <v>28.72</v>
      </c>
      <c r="O133" s="14" t="str">
        <f t="shared" si="4"/>
        <v>0.479</v>
      </c>
      <c r="Q133" s="10">
        <f t="shared" si="5"/>
        <v>-19.16666667</v>
      </c>
      <c r="R133" s="10">
        <f t="shared" si="6"/>
        <v>-43.89111111</v>
      </c>
    </row>
    <row r="134">
      <c r="A134" s="10" t="s">
        <v>469</v>
      </c>
      <c r="B134" s="10" t="s">
        <v>470</v>
      </c>
      <c r="C134" s="10" t="s">
        <v>471</v>
      </c>
      <c r="D134" s="13">
        <v>133.0</v>
      </c>
      <c r="E134" s="14" t="str">
        <f t="shared" si="1"/>
        <v>1939.167S</v>
      </c>
      <c r="F134" s="14" t="str">
        <f t="shared" si="2"/>
        <v>04416.803W</v>
      </c>
      <c r="G134" s="14" t="str">
        <f>IFERROR(__xludf.DUMMYFUNCTION("SPLIT($B134,"" "")"),"S19")</f>
        <v>S19</v>
      </c>
      <c r="H134" s="15">
        <f>IFERROR(__xludf.DUMMYFUNCTION("""COMPUTED_VALUE"""),39.0)</f>
        <v>39</v>
      </c>
      <c r="I134" s="16">
        <f>IFERROR(__xludf.DUMMYFUNCTION("""COMPUTED_VALUE"""),10.02)</f>
        <v>10.02</v>
      </c>
      <c r="J134" s="14" t="str">
        <f t="shared" si="3"/>
        <v>0.167</v>
      </c>
      <c r="K134" s="14"/>
      <c r="L134" s="14" t="str">
        <f>IFERROR(__xludf.DUMMYFUNCTION("SPLIT($C134,"" "")"),"W044")</f>
        <v>W044</v>
      </c>
      <c r="M134" s="17">
        <f>IFERROR(__xludf.DUMMYFUNCTION("""COMPUTED_VALUE"""),16.0)</f>
        <v>16</v>
      </c>
      <c r="N134" s="16">
        <f>IFERROR(__xludf.DUMMYFUNCTION("""COMPUTED_VALUE"""),48.19)</f>
        <v>48.19</v>
      </c>
      <c r="O134" s="14" t="str">
        <f t="shared" si="4"/>
        <v>0.803</v>
      </c>
      <c r="Q134" s="10">
        <f t="shared" si="5"/>
        <v>-19.65277778</v>
      </c>
      <c r="R134" s="10">
        <f t="shared" si="6"/>
        <v>-44.28</v>
      </c>
    </row>
    <row r="135">
      <c r="A135" s="10" t="s">
        <v>472</v>
      </c>
      <c r="B135" s="10" t="s">
        <v>473</v>
      </c>
      <c r="C135" s="10" t="s">
        <v>474</v>
      </c>
      <c r="D135" s="13">
        <v>134.0</v>
      </c>
      <c r="E135" s="14" t="str">
        <f t="shared" si="1"/>
        <v>1941.393S</v>
      </c>
      <c r="F135" s="14" t="str">
        <f t="shared" si="2"/>
        <v>04402.059W</v>
      </c>
      <c r="G135" s="14" t="str">
        <f>IFERROR(__xludf.DUMMYFUNCTION("SPLIT($B135,"" "")"),"S19")</f>
        <v>S19</v>
      </c>
      <c r="H135" s="15">
        <f>IFERROR(__xludf.DUMMYFUNCTION("""COMPUTED_VALUE"""),41.0)</f>
        <v>41</v>
      </c>
      <c r="I135" s="16">
        <f>IFERROR(__xludf.DUMMYFUNCTION("""COMPUTED_VALUE"""),23.56)</f>
        <v>23.56</v>
      </c>
      <c r="J135" s="14" t="str">
        <f t="shared" si="3"/>
        <v>0.393</v>
      </c>
      <c r="K135" s="14"/>
      <c r="L135" s="14" t="str">
        <f>IFERROR(__xludf.DUMMYFUNCTION("SPLIT($C135,"" "")"),"W044")</f>
        <v>W044</v>
      </c>
      <c r="M135" s="17">
        <f>IFERROR(__xludf.DUMMYFUNCTION("""COMPUTED_VALUE"""),2.0)</f>
        <v>2</v>
      </c>
      <c r="N135" s="16">
        <f>IFERROR(__xludf.DUMMYFUNCTION("""COMPUTED_VALUE"""),3.52)</f>
        <v>3.52</v>
      </c>
      <c r="O135" s="14" t="str">
        <f t="shared" si="4"/>
        <v>0.059</v>
      </c>
      <c r="Q135" s="10">
        <f t="shared" si="5"/>
        <v>-19.68972222</v>
      </c>
      <c r="R135" s="10">
        <f t="shared" si="6"/>
        <v>-44.03416667</v>
      </c>
    </row>
    <row r="136">
      <c r="A136" s="10" t="s">
        <v>475</v>
      </c>
      <c r="B136" s="10" t="s">
        <v>476</v>
      </c>
      <c r="C136" s="10" t="s">
        <v>477</v>
      </c>
      <c r="D136" s="13">
        <v>135.0</v>
      </c>
      <c r="E136" s="14" t="str">
        <f t="shared" si="1"/>
        <v>1940.269S</v>
      </c>
      <c r="F136" s="14" t="str">
        <f t="shared" si="2"/>
        <v>04411.275W</v>
      </c>
      <c r="G136" s="14" t="str">
        <f>IFERROR(__xludf.DUMMYFUNCTION("SPLIT($B136,"" "")"),"S19")</f>
        <v>S19</v>
      </c>
      <c r="H136" s="15">
        <f>IFERROR(__xludf.DUMMYFUNCTION("""COMPUTED_VALUE"""),40.0)</f>
        <v>40</v>
      </c>
      <c r="I136" s="16">
        <f>IFERROR(__xludf.DUMMYFUNCTION("""COMPUTED_VALUE"""),16.13)</f>
        <v>16.13</v>
      </c>
      <c r="J136" s="14" t="str">
        <f t="shared" si="3"/>
        <v>0.269</v>
      </c>
      <c r="K136" s="14"/>
      <c r="L136" s="14" t="str">
        <f>IFERROR(__xludf.DUMMYFUNCTION("SPLIT($C136,"" "")"),"W044")</f>
        <v>W044</v>
      </c>
      <c r="M136" s="17">
        <f>IFERROR(__xludf.DUMMYFUNCTION("""COMPUTED_VALUE"""),11.0)</f>
        <v>11</v>
      </c>
      <c r="N136" s="16">
        <f>IFERROR(__xludf.DUMMYFUNCTION("""COMPUTED_VALUE"""),16.47)</f>
        <v>16.47</v>
      </c>
      <c r="O136" s="14" t="str">
        <f t="shared" si="4"/>
        <v>0.275</v>
      </c>
      <c r="Q136" s="10">
        <f t="shared" si="5"/>
        <v>-19.67111111</v>
      </c>
      <c r="R136" s="10">
        <f t="shared" si="6"/>
        <v>-44.18777778</v>
      </c>
    </row>
    <row r="137">
      <c r="A137" s="10" t="s">
        <v>478</v>
      </c>
      <c r="B137" s="10" t="s">
        <v>479</v>
      </c>
      <c r="C137" s="10" t="s">
        <v>480</v>
      </c>
      <c r="D137" s="13">
        <v>136.0</v>
      </c>
      <c r="E137" s="14" t="str">
        <f t="shared" si="1"/>
        <v>1934.106S</v>
      </c>
      <c r="F137" s="14" t="str">
        <f t="shared" si="2"/>
        <v>04441.973W</v>
      </c>
      <c r="G137" s="14" t="str">
        <f>IFERROR(__xludf.DUMMYFUNCTION("SPLIT($B137,"" "")"),"S19")</f>
        <v>S19</v>
      </c>
      <c r="H137" s="15">
        <f>IFERROR(__xludf.DUMMYFUNCTION("""COMPUTED_VALUE"""),34.0)</f>
        <v>34</v>
      </c>
      <c r="I137" s="16">
        <f>IFERROR(__xludf.DUMMYFUNCTION("""COMPUTED_VALUE"""),6.35)</f>
        <v>6.35</v>
      </c>
      <c r="J137" s="14" t="str">
        <f t="shared" si="3"/>
        <v>0.106</v>
      </c>
      <c r="K137" s="14"/>
      <c r="L137" s="14" t="str">
        <f>IFERROR(__xludf.DUMMYFUNCTION("SPLIT($C137,"" "")"),"W044")</f>
        <v>W044</v>
      </c>
      <c r="M137" s="17">
        <f>IFERROR(__xludf.DUMMYFUNCTION("""COMPUTED_VALUE"""),41.0)</f>
        <v>41</v>
      </c>
      <c r="N137" s="16">
        <f>IFERROR(__xludf.DUMMYFUNCTION("""COMPUTED_VALUE"""),58.36)</f>
        <v>58.36</v>
      </c>
      <c r="O137" s="14" t="str">
        <f t="shared" si="4"/>
        <v>0.973</v>
      </c>
      <c r="Q137" s="10">
        <f t="shared" si="5"/>
        <v>-19.56833333</v>
      </c>
      <c r="R137" s="10">
        <f t="shared" si="6"/>
        <v>-44.69944444</v>
      </c>
    </row>
    <row r="138">
      <c r="A138" s="10" t="s">
        <v>481</v>
      </c>
      <c r="B138" s="10" t="s">
        <v>482</v>
      </c>
      <c r="C138" s="10" t="s">
        <v>483</v>
      </c>
      <c r="D138" s="13">
        <v>137.0</v>
      </c>
      <c r="E138" s="14" t="str">
        <f t="shared" si="1"/>
        <v>1939.800S</v>
      </c>
      <c r="F138" s="14" t="str">
        <f t="shared" si="2"/>
        <v>04437.434W</v>
      </c>
      <c r="G138" s="14" t="str">
        <f>IFERROR(__xludf.DUMMYFUNCTION("SPLIT($B138,"" "")"),"S19")</f>
        <v>S19</v>
      </c>
      <c r="H138" s="15">
        <f>IFERROR(__xludf.DUMMYFUNCTION("""COMPUTED_VALUE"""),39.0)</f>
        <v>39</v>
      </c>
      <c r="I138" s="16">
        <f>IFERROR(__xludf.DUMMYFUNCTION("""COMPUTED_VALUE"""),48.0)</f>
        <v>48</v>
      </c>
      <c r="J138" s="14" t="str">
        <f t="shared" si="3"/>
        <v>0.800</v>
      </c>
      <c r="K138" s="14"/>
      <c r="L138" s="14" t="str">
        <f>IFERROR(__xludf.DUMMYFUNCTION("SPLIT($C138,"" "")"),"W044")</f>
        <v>W044</v>
      </c>
      <c r="M138" s="17">
        <f>IFERROR(__xludf.DUMMYFUNCTION("""COMPUTED_VALUE"""),37.0)</f>
        <v>37</v>
      </c>
      <c r="N138" s="16">
        <f>IFERROR(__xludf.DUMMYFUNCTION("""COMPUTED_VALUE"""),26.02)</f>
        <v>26.02</v>
      </c>
      <c r="O138" s="14" t="str">
        <f t="shared" si="4"/>
        <v>0.434</v>
      </c>
      <c r="Q138" s="10">
        <f t="shared" si="5"/>
        <v>-19.66333333</v>
      </c>
      <c r="R138" s="10">
        <f t="shared" si="6"/>
        <v>-44.62388889</v>
      </c>
    </row>
    <row r="139">
      <c r="A139" s="10" t="s">
        <v>484</v>
      </c>
      <c r="B139" s="10" t="s">
        <v>485</v>
      </c>
      <c r="C139" s="10" t="s">
        <v>486</v>
      </c>
      <c r="D139" s="13">
        <v>138.0</v>
      </c>
      <c r="E139" s="14" t="str">
        <f t="shared" si="1"/>
        <v>1947.254S</v>
      </c>
      <c r="F139" s="14" t="str">
        <f t="shared" si="2"/>
        <v>04341.080W</v>
      </c>
      <c r="G139" s="14" t="str">
        <f>IFERROR(__xludf.DUMMYFUNCTION("SPLIT($B139,"" "")"),"S19")</f>
        <v>S19</v>
      </c>
      <c r="H139" s="15">
        <f>IFERROR(__xludf.DUMMYFUNCTION("""COMPUTED_VALUE"""),47.0)</f>
        <v>47</v>
      </c>
      <c r="I139" s="16">
        <f>IFERROR(__xludf.DUMMYFUNCTION("""COMPUTED_VALUE"""),15.26)</f>
        <v>15.26</v>
      </c>
      <c r="J139" s="14" t="str">
        <f t="shared" si="3"/>
        <v>0.254</v>
      </c>
      <c r="K139" s="14"/>
      <c r="L139" s="14" t="str">
        <f>IFERROR(__xludf.DUMMYFUNCTION("SPLIT($C139,"" "")"),"W043")</f>
        <v>W043</v>
      </c>
      <c r="M139" s="17">
        <f>IFERROR(__xludf.DUMMYFUNCTION("""COMPUTED_VALUE"""),41.0)</f>
        <v>41</v>
      </c>
      <c r="N139" s="16">
        <f>IFERROR(__xludf.DUMMYFUNCTION("""COMPUTED_VALUE"""),4.79)</f>
        <v>4.79</v>
      </c>
      <c r="O139" s="14" t="str">
        <f t="shared" si="4"/>
        <v>0.080</v>
      </c>
      <c r="Q139" s="10">
        <f t="shared" si="5"/>
        <v>-19.7875</v>
      </c>
      <c r="R139" s="10">
        <f t="shared" si="6"/>
        <v>-43.68444444</v>
      </c>
    </row>
    <row r="140">
      <c r="A140" s="10" t="s">
        <v>487</v>
      </c>
      <c r="B140" s="10" t="s">
        <v>488</v>
      </c>
      <c r="C140" s="10" t="s">
        <v>489</v>
      </c>
      <c r="D140" s="13">
        <v>139.0</v>
      </c>
      <c r="E140" s="14" t="str">
        <f t="shared" si="1"/>
        <v>1935.131S</v>
      </c>
      <c r="F140" s="14" t="str">
        <f t="shared" si="2"/>
        <v>04352.348W</v>
      </c>
      <c r="G140" s="14" t="str">
        <f>IFERROR(__xludf.DUMMYFUNCTION("SPLIT($B140,"" "")"),"S19")</f>
        <v>S19</v>
      </c>
      <c r="H140" s="15">
        <f>IFERROR(__xludf.DUMMYFUNCTION("""COMPUTED_VALUE"""),35.0)</f>
        <v>35</v>
      </c>
      <c r="I140" s="16">
        <f>IFERROR(__xludf.DUMMYFUNCTION("""COMPUTED_VALUE"""),7.84)</f>
        <v>7.84</v>
      </c>
      <c r="J140" s="14" t="str">
        <f t="shared" si="3"/>
        <v>0.131</v>
      </c>
      <c r="K140" s="14"/>
      <c r="L140" s="14" t="str">
        <f>IFERROR(__xludf.DUMMYFUNCTION("SPLIT($C140,"" "")"),"W043")</f>
        <v>W043</v>
      </c>
      <c r="M140" s="17">
        <f>IFERROR(__xludf.DUMMYFUNCTION("""COMPUTED_VALUE"""),52.0)</f>
        <v>52</v>
      </c>
      <c r="N140" s="16">
        <f>IFERROR(__xludf.DUMMYFUNCTION("""COMPUTED_VALUE"""),20.89)</f>
        <v>20.89</v>
      </c>
      <c r="O140" s="14" t="str">
        <f t="shared" si="4"/>
        <v>0.348</v>
      </c>
      <c r="Q140" s="10">
        <f t="shared" si="5"/>
        <v>-19.58527778</v>
      </c>
      <c r="R140" s="10">
        <f t="shared" si="6"/>
        <v>-43.87222222</v>
      </c>
    </row>
    <row r="141">
      <c r="A141" s="10" t="s">
        <v>490</v>
      </c>
      <c r="B141" s="10" t="s">
        <v>491</v>
      </c>
      <c r="C141" s="10" t="s">
        <v>492</v>
      </c>
      <c r="D141" s="13">
        <v>140.0</v>
      </c>
      <c r="E141" s="14" t="str">
        <f t="shared" si="1"/>
        <v>1924.673S</v>
      </c>
      <c r="F141" s="14" t="str">
        <f t="shared" si="2"/>
        <v>04404.631W</v>
      </c>
      <c r="G141" s="14" t="str">
        <f>IFERROR(__xludf.DUMMYFUNCTION("SPLIT($B141,"" "")"),"S19")</f>
        <v>S19</v>
      </c>
      <c r="H141" s="15">
        <f>IFERROR(__xludf.DUMMYFUNCTION("""COMPUTED_VALUE"""),24.0)</f>
        <v>24</v>
      </c>
      <c r="I141" s="16">
        <f>IFERROR(__xludf.DUMMYFUNCTION("""COMPUTED_VALUE"""),40.39)</f>
        <v>40.39</v>
      </c>
      <c r="J141" s="14" t="str">
        <f t="shared" si="3"/>
        <v>0.673</v>
      </c>
      <c r="K141" s="14"/>
      <c r="L141" s="14" t="str">
        <f>IFERROR(__xludf.DUMMYFUNCTION("SPLIT($C141,"" "")"),"W044")</f>
        <v>W044</v>
      </c>
      <c r="M141" s="17">
        <f>IFERROR(__xludf.DUMMYFUNCTION("""COMPUTED_VALUE"""),4.0)</f>
        <v>4</v>
      </c>
      <c r="N141" s="16">
        <f>IFERROR(__xludf.DUMMYFUNCTION("""COMPUTED_VALUE"""),37.88)</f>
        <v>37.88</v>
      </c>
      <c r="O141" s="14" t="str">
        <f t="shared" si="4"/>
        <v>0.631</v>
      </c>
      <c r="Q141" s="10">
        <f t="shared" si="5"/>
        <v>-19.41111111</v>
      </c>
      <c r="R141" s="10">
        <f t="shared" si="6"/>
        <v>-44.07694444</v>
      </c>
    </row>
    <row r="142">
      <c r="A142" s="10" t="s">
        <v>493</v>
      </c>
      <c r="B142" s="10" t="s">
        <v>494</v>
      </c>
      <c r="C142" s="10" t="s">
        <v>495</v>
      </c>
      <c r="D142" s="13">
        <v>141.0</v>
      </c>
      <c r="E142" s="14" t="str">
        <f t="shared" si="1"/>
        <v>1921.894S</v>
      </c>
      <c r="F142" s="14" t="str">
        <f t="shared" si="2"/>
        <v>04413.115W</v>
      </c>
      <c r="G142" s="14" t="str">
        <f>IFERROR(__xludf.DUMMYFUNCTION("SPLIT($B142,"" "")"),"S19")</f>
        <v>S19</v>
      </c>
      <c r="H142" s="15">
        <f>IFERROR(__xludf.DUMMYFUNCTION("""COMPUTED_VALUE"""),21.0)</f>
        <v>21</v>
      </c>
      <c r="I142" s="16">
        <f>IFERROR(__xludf.DUMMYFUNCTION("""COMPUTED_VALUE"""),53.63)</f>
        <v>53.63</v>
      </c>
      <c r="J142" s="14" t="str">
        <f t="shared" si="3"/>
        <v>0.894</v>
      </c>
      <c r="K142" s="14"/>
      <c r="L142" s="14" t="str">
        <f>IFERROR(__xludf.DUMMYFUNCTION("SPLIT($C142,"" "")"),"W044")</f>
        <v>W044</v>
      </c>
      <c r="M142" s="17">
        <f>IFERROR(__xludf.DUMMYFUNCTION("""COMPUTED_VALUE"""),13.0)</f>
        <v>13</v>
      </c>
      <c r="N142" s="16">
        <f>IFERROR(__xludf.DUMMYFUNCTION("""COMPUTED_VALUE"""),6.88)</f>
        <v>6.88</v>
      </c>
      <c r="O142" s="14" t="str">
        <f t="shared" si="4"/>
        <v>0.115</v>
      </c>
      <c r="Q142" s="10">
        <f t="shared" si="5"/>
        <v>-19.36472222</v>
      </c>
      <c r="R142" s="10">
        <f t="shared" si="6"/>
        <v>-44.21833333</v>
      </c>
    </row>
    <row r="143">
      <c r="A143" s="10" t="s">
        <v>496</v>
      </c>
      <c r="B143" s="10" t="s">
        <v>497</v>
      </c>
      <c r="C143" s="10" t="s">
        <v>498</v>
      </c>
      <c r="D143" s="13">
        <v>142.0</v>
      </c>
      <c r="E143" s="14" t="str">
        <f t="shared" si="1"/>
        <v>1919.695S</v>
      </c>
      <c r="F143" s="14" t="str">
        <f t="shared" si="2"/>
        <v>04355.640W</v>
      </c>
      <c r="G143" s="14" t="str">
        <f>IFERROR(__xludf.DUMMYFUNCTION("SPLIT($B143,"" "")"),"S19")</f>
        <v>S19</v>
      </c>
      <c r="H143" s="15">
        <f>IFERROR(__xludf.DUMMYFUNCTION("""COMPUTED_VALUE"""),19.0)</f>
        <v>19</v>
      </c>
      <c r="I143" s="16">
        <f>IFERROR(__xludf.DUMMYFUNCTION("""COMPUTED_VALUE"""),41.7)</f>
        <v>41.7</v>
      </c>
      <c r="J143" s="14" t="str">
        <f t="shared" si="3"/>
        <v>0.695</v>
      </c>
      <c r="K143" s="14"/>
      <c r="L143" s="14" t="str">
        <f>IFERROR(__xludf.DUMMYFUNCTION("SPLIT($C143,"" "")"),"W043")</f>
        <v>W043</v>
      </c>
      <c r="M143" s="17">
        <f>IFERROR(__xludf.DUMMYFUNCTION("""COMPUTED_VALUE"""),55.0)</f>
        <v>55</v>
      </c>
      <c r="N143" s="16">
        <f>IFERROR(__xludf.DUMMYFUNCTION("""COMPUTED_VALUE"""),38.38)</f>
        <v>38.38</v>
      </c>
      <c r="O143" s="14" t="str">
        <f t="shared" si="4"/>
        <v>0.640</v>
      </c>
      <c r="Q143" s="10">
        <f t="shared" si="5"/>
        <v>-19.32805556</v>
      </c>
      <c r="R143" s="10">
        <f t="shared" si="6"/>
        <v>-43.92722222</v>
      </c>
    </row>
    <row r="144">
      <c r="A144" s="10" t="s">
        <v>499</v>
      </c>
      <c r="B144" s="10" t="s">
        <v>500</v>
      </c>
      <c r="C144" s="10" t="s">
        <v>501</v>
      </c>
      <c r="D144" s="13">
        <v>143.0</v>
      </c>
      <c r="E144" s="14" t="str">
        <f t="shared" si="1"/>
        <v>1911.082S</v>
      </c>
      <c r="F144" s="14" t="str">
        <f t="shared" si="2"/>
        <v>04348.324W</v>
      </c>
      <c r="G144" s="14" t="str">
        <f>IFERROR(__xludf.DUMMYFUNCTION("SPLIT($B144,"" "")"),"S19")</f>
        <v>S19</v>
      </c>
      <c r="H144" s="15">
        <f>IFERROR(__xludf.DUMMYFUNCTION("""COMPUTED_VALUE"""),11.0)</f>
        <v>11</v>
      </c>
      <c r="I144" s="16">
        <f>IFERROR(__xludf.DUMMYFUNCTION("""COMPUTED_VALUE"""),4.91)</f>
        <v>4.91</v>
      </c>
      <c r="J144" s="14" t="str">
        <f t="shared" si="3"/>
        <v>0.082</v>
      </c>
      <c r="K144" s="14"/>
      <c r="L144" s="14" t="str">
        <f>IFERROR(__xludf.DUMMYFUNCTION("SPLIT($C144,"" "")"),"W043")</f>
        <v>W043</v>
      </c>
      <c r="M144" s="17">
        <f>IFERROR(__xludf.DUMMYFUNCTION("""COMPUTED_VALUE"""),48.0)</f>
        <v>48</v>
      </c>
      <c r="N144" s="16">
        <f>IFERROR(__xludf.DUMMYFUNCTION("""COMPUTED_VALUE"""),19.42)</f>
        <v>19.42</v>
      </c>
      <c r="O144" s="14" t="str">
        <f t="shared" si="4"/>
        <v>0.324</v>
      </c>
      <c r="Q144" s="10">
        <f t="shared" si="5"/>
        <v>-19.18444444</v>
      </c>
      <c r="R144" s="10">
        <f t="shared" si="6"/>
        <v>-43.80527778</v>
      </c>
    </row>
    <row r="145">
      <c r="A145" s="10" t="s">
        <v>502</v>
      </c>
      <c r="B145" s="10" t="s">
        <v>503</v>
      </c>
      <c r="C145" s="10" t="s">
        <v>504</v>
      </c>
      <c r="D145" s="13">
        <v>144.0</v>
      </c>
      <c r="E145" s="14" t="str">
        <f t="shared" si="1"/>
        <v>1943.207S</v>
      </c>
      <c r="F145" s="14" t="str">
        <f t="shared" si="2"/>
        <v>04316.987W</v>
      </c>
      <c r="G145" s="14" t="str">
        <f>IFERROR(__xludf.DUMMYFUNCTION("SPLIT($B145,"" "")"),"S19")</f>
        <v>S19</v>
      </c>
      <c r="H145" s="15">
        <f>IFERROR(__xludf.DUMMYFUNCTION("""COMPUTED_VALUE"""),43.0)</f>
        <v>43</v>
      </c>
      <c r="I145" s="16">
        <f>IFERROR(__xludf.DUMMYFUNCTION("""COMPUTED_VALUE"""),12.41)</f>
        <v>12.41</v>
      </c>
      <c r="J145" s="14" t="str">
        <f t="shared" si="3"/>
        <v>0.207</v>
      </c>
      <c r="K145" s="14"/>
      <c r="L145" s="14" t="str">
        <f>IFERROR(__xludf.DUMMYFUNCTION("SPLIT($C145,"" "")"),"W043")</f>
        <v>W043</v>
      </c>
      <c r="M145" s="17">
        <f>IFERROR(__xludf.DUMMYFUNCTION("""COMPUTED_VALUE"""),16.0)</f>
        <v>16</v>
      </c>
      <c r="N145" s="16">
        <f>IFERROR(__xludf.DUMMYFUNCTION("""COMPUTED_VALUE"""),59.23)</f>
        <v>59.23</v>
      </c>
      <c r="O145" s="14" t="str">
        <f t="shared" si="4"/>
        <v>0.987</v>
      </c>
      <c r="Q145" s="10">
        <f t="shared" si="5"/>
        <v>-19.72</v>
      </c>
      <c r="R145" s="10">
        <f t="shared" si="6"/>
        <v>-43.28305556</v>
      </c>
    </row>
    <row r="146">
      <c r="A146" s="10" t="s">
        <v>505</v>
      </c>
      <c r="B146" s="10" t="s">
        <v>506</v>
      </c>
      <c r="C146" s="10" t="s">
        <v>507</v>
      </c>
      <c r="D146" s="13">
        <v>145.0</v>
      </c>
      <c r="E146" s="14" t="str">
        <f t="shared" si="1"/>
        <v>1929.131S</v>
      </c>
      <c r="F146" s="14" t="str">
        <f t="shared" si="2"/>
        <v>04315.888W</v>
      </c>
      <c r="G146" s="14" t="str">
        <f>IFERROR(__xludf.DUMMYFUNCTION("SPLIT($B146,"" "")"),"S19")</f>
        <v>S19</v>
      </c>
      <c r="H146" s="15">
        <f>IFERROR(__xludf.DUMMYFUNCTION("""COMPUTED_VALUE"""),29.0)</f>
        <v>29</v>
      </c>
      <c r="I146" s="16">
        <f>IFERROR(__xludf.DUMMYFUNCTION("""COMPUTED_VALUE"""),7.83)</f>
        <v>7.83</v>
      </c>
      <c r="J146" s="14" t="str">
        <f t="shared" si="3"/>
        <v>0.131</v>
      </c>
      <c r="K146" s="14"/>
      <c r="L146" s="14" t="str">
        <f>IFERROR(__xludf.DUMMYFUNCTION("SPLIT($C146,"" "")"),"W043")</f>
        <v>W043</v>
      </c>
      <c r="M146" s="17">
        <f>IFERROR(__xludf.DUMMYFUNCTION("""COMPUTED_VALUE"""),15.0)</f>
        <v>15</v>
      </c>
      <c r="N146" s="16">
        <f>IFERROR(__xludf.DUMMYFUNCTION("""COMPUTED_VALUE"""),53.28)</f>
        <v>53.28</v>
      </c>
      <c r="O146" s="14" t="str">
        <f t="shared" si="4"/>
        <v>0.888</v>
      </c>
      <c r="Q146" s="10">
        <f t="shared" si="5"/>
        <v>-19.48527778</v>
      </c>
      <c r="R146" s="10">
        <f t="shared" si="6"/>
        <v>-43.26472222</v>
      </c>
    </row>
    <row r="147">
      <c r="A147" s="10" t="s">
        <v>508</v>
      </c>
      <c r="B147" s="10" t="s">
        <v>509</v>
      </c>
      <c r="C147" s="10" t="s">
        <v>510</v>
      </c>
      <c r="D147" s="13">
        <v>146.0</v>
      </c>
      <c r="E147" s="14" t="str">
        <f t="shared" si="1"/>
        <v>1954.876S</v>
      </c>
      <c r="F147" s="14" t="str">
        <f t="shared" si="2"/>
        <v>04335.761W</v>
      </c>
      <c r="G147" s="14" t="str">
        <f>IFERROR(__xludf.DUMMYFUNCTION("SPLIT($B147,"" "")"),"S19")</f>
        <v>S19</v>
      </c>
      <c r="H147" s="15">
        <f>IFERROR(__xludf.DUMMYFUNCTION("""COMPUTED_VALUE"""),54.0)</f>
        <v>54</v>
      </c>
      <c r="I147" s="16">
        <f>IFERROR(__xludf.DUMMYFUNCTION("""COMPUTED_VALUE"""),52.55)</f>
        <v>52.55</v>
      </c>
      <c r="J147" s="14" t="str">
        <f t="shared" si="3"/>
        <v>0.876</v>
      </c>
      <c r="K147" s="14"/>
      <c r="L147" s="14" t="str">
        <f>IFERROR(__xludf.DUMMYFUNCTION("SPLIT($C147,"" "")"),"W043")</f>
        <v>W043</v>
      </c>
      <c r="M147" s="17">
        <f>IFERROR(__xludf.DUMMYFUNCTION("""COMPUTED_VALUE"""),35.0)</f>
        <v>35</v>
      </c>
      <c r="N147" s="16">
        <f>IFERROR(__xludf.DUMMYFUNCTION("""COMPUTED_VALUE"""),45.64)</f>
        <v>45.64</v>
      </c>
      <c r="O147" s="14" t="str">
        <f t="shared" si="4"/>
        <v>0.761</v>
      </c>
      <c r="Q147" s="10">
        <f t="shared" si="5"/>
        <v>-19.91444444</v>
      </c>
      <c r="R147" s="10">
        <f t="shared" si="6"/>
        <v>-43.59583333</v>
      </c>
    </row>
    <row r="148">
      <c r="A148" s="10" t="s">
        <v>511</v>
      </c>
      <c r="B148" s="10" t="s">
        <v>512</v>
      </c>
      <c r="C148" s="10" t="s">
        <v>513</v>
      </c>
      <c r="D148" s="13">
        <v>147.0</v>
      </c>
      <c r="E148" s="14" t="str">
        <f t="shared" si="1"/>
        <v>2001.633S</v>
      </c>
      <c r="F148" s="14" t="str">
        <f t="shared" si="2"/>
        <v>04332.579W</v>
      </c>
      <c r="G148" s="14" t="str">
        <f>IFERROR(__xludf.DUMMYFUNCTION("SPLIT($B148,"" "")"),"S20")</f>
        <v>S20</v>
      </c>
      <c r="H148" s="15">
        <f>IFERROR(__xludf.DUMMYFUNCTION("""COMPUTED_VALUE"""),1.0)</f>
        <v>1</v>
      </c>
      <c r="I148" s="16">
        <f>IFERROR(__xludf.DUMMYFUNCTION("""COMPUTED_VALUE"""),37.98)</f>
        <v>37.98</v>
      </c>
      <c r="J148" s="14" t="str">
        <f t="shared" si="3"/>
        <v>0.633</v>
      </c>
      <c r="K148" s="14"/>
      <c r="L148" s="14" t="str">
        <f>IFERROR(__xludf.DUMMYFUNCTION("SPLIT($C148,"" "")"),"W043")</f>
        <v>W043</v>
      </c>
      <c r="M148" s="17">
        <f>IFERROR(__xludf.DUMMYFUNCTION("""COMPUTED_VALUE"""),32.0)</f>
        <v>32</v>
      </c>
      <c r="N148" s="16">
        <f>IFERROR(__xludf.DUMMYFUNCTION("""COMPUTED_VALUE"""),34.71)</f>
        <v>34.71</v>
      </c>
      <c r="O148" s="14" t="str">
        <f t="shared" si="4"/>
        <v>0.579</v>
      </c>
      <c r="Q148" s="10">
        <f t="shared" si="5"/>
        <v>-20.02694444</v>
      </c>
      <c r="R148" s="10">
        <f t="shared" si="6"/>
        <v>-43.54277778</v>
      </c>
    </row>
    <row r="149">
      <c r="A149" s="10" t="s">
        <v>514</v>
      </c>
      <c r="B149" s="10" t="s">
        <v>515</v>
      </c>
      <c r="C149" s="10" t="s">
        <v>516</v>
      </c>
      <c r="D149" s="13">
        <v>148.0</v>
      </c>
      <c r="E149" s="14" t="str">
        <f t="shared" si="1"/>
        <v>2008.148S</v>
      </c>
      <c r="F149" s="14" t="str">
        <f t="shared" si="2"/>
        <v>04329.491W</v>
      </c>
      <c r="G149" s="14" t="str">
        <f>IFERROR(__xludf.DUMMYFUNCTION("SPLIT($B149,"" "")"),"S20")</f>
        <v>S20</v>
      </c>
      <c r="H149" s="15">
        <f>IFERROR(__xludf.DUMMYFUNCTION("""COMPUTED_VALUE"""),8.0)</f>
        <v>8</v>
      </c>
      <c r="I149" s="16">
        <f>IFERROR(__xludf.DUMMYFUNCTION("""COMPUTED_VALUE"""),8.89)</f>
        <v>8.89</v>
      </c>
      <c r="J149" s="14" t="str">
        <f t="shared" si="3"/>
        <v>0.148</v>
      </c>
      <c r="K149" s="14"/>
      <c r="L149" s="14" t="str">
        <f>IFERROR(__xludf.DUMMYFUNCTION("SPLIT($C149,"" "")"),"W043")</f>
        <v>W043</v>
      </c>
      <c r="M149" s="17">
        <f>IFERROR(__xludf.DUMMYFUNCTION("""COMPUTED_VALUE"""),29.0)</f>
        <v>29</v>
      </c>
      <c r="N149" s="16">
        <f>IFERROR(__xludf.DUMMYFUNCTION("""COMPUTED_VALUE"""),29.47)</f>
        <v>29.47</v>
      </c>
      <c r="O149" s="14" t="str">
        <f t="shared" si="4"/>
        <v>0.491</v>
      </c>
      <c r="Q149" s="10">
        <f t="shared" si="5"/>
        <v>-20.13555556</v>
      </c>
      <c r="R149" s="10">
        <f t="shared" si="6"/>
        <v>-43.49138889</v>
      </c>
    </row>
    <row r="150">
      <c r="A150" s="10" t="s">
        <v>517</v>
      </c>
      <c r="B150" s="10" t="s">
        <v>518</v>
      </c>
      <c r="C150" s="10" t="s">
        <v>519</v>
      </c>
      <c r="D150" s="13">
        <v>149.0</v>
      </c>
      <c r="E150" s="14" t="str">
        <f t="shared" si="1"/>
        <v>2007.430S</v>
      </c>
      <c r="F150" s="14" t="str">
        <f t="shared" si="2"/>
        <v>04342.578W</v>
      </c>
      <c r="G150" s="14" t="str">
        <f>IFERROR(__xludf.DUMMYFUNCTION("SPLIT($B150,"" "")"),"S20")</f>
        <v>S20</v>
      </c>
      <c r="H150" s="15">
        <f>IFERROR(__xludf.DUMMYFUNCTION("""COMPUTED_VALUE"""),7.0)</f>
        <v>7</v>
      </c>
      <c r="I150" s="16">
        <f>IFERROR(__xludf.DUMMYFUNCTION("""COMPUTED_VALUE"""),25.81)</f>
        <v>25.81</v>
      </c>
      <c r="J150" s="14" t="str">
        <f t="shared" si="3"/>
        <v>0.430</v>
      </c>
      <c r="K150" s="14"/>
      <c r="L150" s="14" t="str">
        <f>IFERROR(__xludf.DUMMYFUNCTION("SPLIT($C150,"" "")"),"W043")</f>
        <v>W043</v>
      </c>
      <c r="M150" s="17">
        <f>IFERROR(__xludf.DUMMYFUNCTION("""COMPUTED_VALUE"""),42.0)</f>
        <v>42</v>
      </c>
      <c r="N150" s="16">
        <f>IFERROR(__xludf.DUMMYFUNCTION("""COMPUTED_VALUE"""),34.67)</f>
        <v>34.67</v>
      </c>
      <c r="O150" s="14" t="str">
        <f t="shared" si="4"/>
        <v>0.578</v>
      </c>
      <c r="Q150" s="10">
        <f t="shared" si="5"/>
        <v>-20.12361111</v>
      </c>
      <c r="R150" s="10">
        <f t="shared" si="6"/>
        <v>-43.70944444</v>
      </c>
    </row>
    <row r="151">
      <c r="A151" s="10" t="s">
        <v>520</v>
      </c>
      <c r="B151" s="10" t="s">
        <v>521</v>
      </c>
      <c r="C151" s="10" t="s">
        <v>522</v>
      </c>
      <c r="D151" s="13">
        <v>150.0</v>
      </c>
      <c r="E151" s="14" t="str">
        <f t="shared" si="1"/>
        <v>2013.233S</v>
      </c>
      <c r="F151" s="14" t="str">
        <f t="shared" si="2"/>
        <v>04352.549W</v>
      </c>
      <c r="G151" s="14" t="str">
        <f>IFERROR(__xludf.DUMMYFUNCTION("SPLIT($B151,"" "")"),"S20")</f>
        <v>S20</v>
      </c>
      <c r="H151" s="15">
        <f>IFERROR(__xludf.DUMMYFUNCTION("""COMPUTED_VALUE"""),13.0)</f>
        <v>13</v>
      </c>
      <c r="I151" s="16">
        <f>IFERROR(__xludf.DUMMYFUNCTION("""COMPUTED_VALUE"""),14.0)</f>
        <v>14</v>
      </c>
      <c r="J151" s="14" t="str">
        <f t="shared" si="3"/>
        <v>0.233</v>
      </c>
      <c r="K151" s="14"/>
      <c r="L151" s="14" t="str">
        <f>IFERROR(__xludf.DUMMYFUNCTION("SPLIT($C151,"" "")"),"W043")</f>
        <v>W043</v>
      </c>
      <c r="M151" s="17">
        <f>IFERROR(__xludf.DUMMYFUNCTION("""COMPUTED_VALUE"""),52.0)</f>
        <v>52</v>
      </c>
      <c r="N151" s="16">
        <f>IFERROR(__xludf.DUMMYFUNCTION("""COMPUTED_VALUE"""),32.91)</f>
        <v>32.91</v>
      </c>
      <c r="O151" s="14" t="str">
        <f t="shared" si="4"/>
        <v>0.549</v>
      </c>
      <c r="Q151" s="10">
        <f t="shared" si="5"/>
        <v>-20.22055556</v>
      </c>
      <c r="R151" s="10">
        <f t="shared" si="6"/>
        <v>-43.87555556</v>
      </c>
    </row>
    <row r="152">
      <c r="A152" s="10" t="s">
        <v>523</v>
      </c>
      <c r="B152" s="10" t="s">
        <v>524</v>
      </c>
      <c r="C152" s="10" t="s">
        <v>525</v>
      </c>
      <c r="D152" s="13">
        <v>151.0</v>
      </c>
      <c r="E152" s="14" t="str">
        <f t="shared" si="1"/>
        <v>2020.376S</v>
      </c>
      <c r="F152" s="14" t="str">
        <f t="shared" si="2"/>
        <v>04404.880W</v>
      </c>
      <c r="G152" s="14" t="str">
        <f>IFERROR(__xludf.DUMMYFUNCTION("SPLIT($B152,"" "")"),"S20")</f>
        <v>S20</v>
      </c>
      <c r="H152" s="15">
        <f>IFERROR(__xludf.DUMMYFUNCTION("""COMPUTED_VALUE"""),20.0)</f>
        <v>20</v>
      </c>
      <c r="I152" s="16">
        <f>IFERROR(__xludf.DUMMYFUNCTION("""COMPUTED_VALUE"""),22.55)</f>
        <v>22.55</v>
      </c>
      <c r="J152" s="14" t="str">
        <f t="shared" si="3"/>
        <v>0.376</v>
      </c>
      <c r="K152" s="14"/>
      <c r="L152" s="14" t="str">
        <f>IFERROR(__xludf.DUMMYFUNCTION("SPLIT($C152,"" "")"),"W044")</f>
        <v>W044</v>
      </c>
      <c r="M152" s="17">
        <f>IFERROR(__xludf.DUMMYFUNCTION("""COMPUTED_VALUE"""),4.0)</f>
        <v>4</v>
      </c>
      <c r="N152" s="16">
        <f>IFERROR(__xludf.DUMMYFUNCTION("""COMPUTED_VALUE"""),52.77)</f>
        <v>52.77</v>
      </c>
      <c r="O152" s="14" t="str">
        <f t="shared" si="4"/>
        <v>0.880</v>
      </c>
      <c r="Q152" s="10">
        <f t="shared" si="5"/>
        <v>-20.33944444</v>
      </c>
      <c r="R152" s="10">
        <f t="shared" si="6"/>
        <v>-44.08111111</v>
      </c>
    </row>
    <row r="153">
      <c r="A153" s="10" t="s">
        <v>61</v>
      </c>
      <c r="B153" s="10" t="s">
        <v>526</v>
      </c>
      <c r="C153" s="10" t="s">
        <v>527</v>
      </c>
      <c r="D153" s="13">
        <v>152.0</v>
      </c>
      <c r="E153" s="14" t="str">
        <f t="shared" si="1"/>
        <v>1939.939S</v>
      </c>
      <c r="F153" s="14" t="str">
        <f t="shared" si="2"/>
        <v>04404.937W</v>
      </c>
      <c r="G153" s="14" t="str">
        <f>IFERROR(__xludf.DUMMYFUNCTION("SPLIT($B153,"" "")"),"S19")</f>
        <v>S19</v>
      </c>
      <c r="H153" s="15">
        <f>IFERROR(__xludf.DUMMYFUNCTION("""COMPUTED_VALUE"""),39.0)</f>
        <v>39</v>
      </c>
      <c r="I153" s="16">
        <f>IFERROR(__xludf.DUMMYFUNCTION("""COMPUTED_VALUE"""),56.32)</f>
        <v>56.32</v>
      </c>
      <c r="J153" s="14" t="str">
        <f t="shared" si="3"/>
        <v>0.939</v>
      </c>
      <c r="K153" s="14"/>
      <c r="L153" s="14" t="str">
        <f>IFERROR(__xludf.DUMMYFUNCTION("SPLIT($C153,"" "")"),"W044")</f>
        <v>W044</v>
      </c>
      <c r="M153" s="17">
        <f>IFERROR(__xludf.DUMMYFUNCTION("""COMPUTED_VALUE"""),4.0)</f>
        <v>4</v>
      </c>
      <c r="N153" s="16">
        <f>IFERROR(__xludf.DUMMYFUNCTION("""COMPUTED_VALUE"""),56.24)</f>
        <v>56.24</v>
      </c>
      <c r="O153" s="14" t="str">
        <f t="shared" si="4"/>
        <v>0.937</v>
      </c>
      <c r="Q153" s="10">
        <f t="shared" si="5"/>
        <v>-19.66555556</v>
      </c>
      <c r="R153" s="10">
        <f t="shared" si="6"/>
        <v>-44.08222222</v>
      </c>
    </row>
    <row r="154">
      <c r="A154" s="10" t="s">
        <v>528</v>
      </c>
      <c r="B154" s="10" t="s">
        <v>529</v>
      </c>
      <c r="C154" s="10" t="s">
        <v>530</v>
      </c>
      <c r="D154" s="13">
        <v>153.0</v>
      </c>
      <c r="E154" s="14" t="str">
        <f t="shared" si="1"/>
        <v>1934.187S</v>
      </c>
      <c r="F154" s="14" t="str">
        <f t="shared" si="2"/>
        <v>04353.224W</v>
      </c>
      <c r="G154" s="14" t="str">
        <f>IFERROR(__xludf.DUMMYFUNCTION("SPLIT($B154,"" "")"),"S19")</f>
        <v>S19</v>
      </c>
      <c r="H154" s="15">
        <f>IFERROR(__xludf.DUMMYFUNCTION("""COMPUTED_VALUE"""),34.0)</f>
        <v>34</v>
      </c>
      <c r="I154" s="16">
        <f>IFERROR(__xludf.DUMMYFUNCTION("""COMPUTED_VALUE"""),11.2)</f>
        <v>11.2</v>
      </c>
      <c r="J154" s="14" t="str">
        <f t="shared" si="3"/>
        <v>0.187</v>
      </c>
      <c r="K154" s="14"/>
      <c r="L154" s="14" t="str">
        <f>IFERROR(__xludf.DUMMYFUNCTION("SPLIT($C154,"" "")"),"W043")</f>
        <v>W043</v>
      </c>
      <c r="M154" s="17">
        <f>IFERROR(__xludf.DUMMYFUNCTION("""COMPUTED_VALUE"""),53.0)</f>
        <v>53</v>
      </c>
      <c r="N154" s="16">
        <f>IFERROR(__xludf.DUMMYFUNCTION("""COMPUTED_VALUE"""),13.44)</f>
        <v>13.44</v>
      </c>
      <c r="O154" s="14" t="str">
        <f t="shared" si="4"/>
        <v>0.224</v>
      </c>
      <c r="Q154" s="10">
        <f t="shared" si="5"/>
        <v>-19.56972222</v>
      </c>
      <c r="R154" s="10">
        <f t="shared" si="6"/>
        <v>-43.88694444</v>
      </c>
    </row>
    <row r="155">
      <c r="A155" s="10" t="s">
        <v>531</v>
      </c>
      <c r="B155" s="10" t="s">
        <v>532</v>
      </c>
      <c r="C155" s="1" t="s">
        <v>533</v>
      </c>
      <c r="D155" s="13">
        <v>154.0</v>
      </c>
      <c r="E155" s="14" t="str">
        <f t="shared" si="1"/>
        <v>1916.243S</v>
      </c>
      <c r="F155" s="14" t="str">
        <f t="shared" si="2"/>
        <v>04352.707W</v>
      </c>
      <c r="G155" s="14" t="str">
        <f>IFERROR(__xludf.DUMMYFUNCTION("SPLIT($B155,"" "")"),"S19")</f>
        <v>S19</v>
      </c>
      <c r="H155" s="15">
        <f>IFERROR(__xludf.DUMMYFUNCTION("""COMPUTED_VALUE"""),16.0)</f>
        <v>16</v>
      </c>
      <c r="I155" s="16">
        <f>IFERROR(__xludf.DUMMYFUNCTION("""COMPUTED_VALUE"""),14.57)</f>
        <v>14.57</v>
      </c>
      <c r="J155" s="14" t="str">
        <f t="shared" si="3"/>
        <v>0.243</v>
      </c>
      <c r="K155" s="14"/>
      <c r="L155" s="14" t="str">
        <f>IFERROR(__xludf.DUMMYFUNCTION("SPLIT($C155,"" "")"),"W043")</f>
        <v>W043</v>
      </c>
      <c r="M155" s="17">
        <f>IFERROR(__xludf.DUMMYFUNCTION("""COMPUTED_VALUE"""),52.0)</f>
        <v>52</v>
      </c>
      <c r="N155" s="16">
        <f>IFERROR(__xludf.DUMMYFUNCTION("""COMPUTED_VALUE"""),42.39)</f>
        <v>42.39</v>
      </c>
      <c r="O155" s="14" t="str">
        <f t="shared" si="4"/>
        <v>0.707</v>
      </c>
      <c r="Q155" s="10">
        <f t="shared" si="5"/>
        <v>-19.27055556</v>
      </c>
      <c r="R155" s="10">
        <f t="shared" si="6"/>
        <v>-43.87833333</v>
      </c>
    </row>
    <row r="156">
      <c r="A156" s="10" t="s">
        <v>534</v>
      </c>
      <c r="B156" s="10" t="s">
        <v>535</v>
      </c>
      <c r="C156" s="10" t="s">
        <v>536</v>
      </c>
      <c r="D156" s="13">
        <v>155.0</v>
      </c>
      <c r="E156" s="14" t="str">
        <f t="shared" si="1"/>
        <v>1913.629S</v>
      </c>
      <c r="F156" s="14" t="str">
        <f t="shared" si="2"/>
        <v>04426.729W</v>
      </c>
      <c r="G156" s="14" t="str">
        <f>IFERROR(__xludf.DUMMYFUNCTION("SPLIT($B156,"" "")"),"S19")</f>
        <v>S19</v>
      </c>
      <c r="H156" s="15">
        <f>IFERROR(__xludf.DUMMYFUNCTION("""COMPUTED_VALUE"""),13.0)</f>
        <v>13</v>
      </c>
      <c r="I156" s="16">
        <f>IFERROR(__xludf.DUMMYFUNCTION("""COMPUTED_VALUE"""),37.71)</f>
        <v>37.71</v>
      </c>
      <c r="J156" s="14" t="str">
        <f t="shared" si="3"/>
        <v>0.629</v>
      </c>
      <c r="K156" s="14"/>
      <c r="L156" s="14" t="str">
        <f>IFERROR(__xludf.DUMMYFUNCTION("SPLIT($C156,"" "")"),"W044")</f>
        <v>W044</v>
      </c>
      <c r="M156" s="17">
        <f>IFERROR(__xludf.DUMMYFUNCTION("""COMPUTED_VALUE"""),26.0)</f>
        <v>26</v>
      </c>
      <c r="N156" s="16">
        <f>IFERROR(__xludf.DUMMYFUNCTION("""COMPUTED_VALUE"""),43.72)</f>
        <v>43.72</v>
      </c>
      <c r="O156" s="14" t="str">
        <f t="shared" si="4"/>
        <v>0.729</v>
      </c>
      <c r="Q156" s="10">
        <f t="shared" si="5"/>
        <v>-19.22694444</v>
      </c>
      <c r="R156" s="10">
        <f t="shared" si="6"/>
        <v>-44.44527778</v>
      </c>
    </row>
    <row r="157">
      <c r="A157" s="10" t="s">
        <v>537</v>
      </c>
      <c r="B157" s="10" t="s">
        <v>538</v>
      </c>
      <c r="C157" s="10" t="s">
        <v>539</v>
      </c>
      <c r="D157" s="13">
        <v>156.0</v>
      </c>
      <c r="E157" s="14" t="str">
        <f t="shared" si="1"/>
        <v>1916.688S</v>
      </c>
      <c r="F157" s="14" t="str">
        <f t="shared" si="2"/>
        <v>04421.698W</v>
      </c>
      <c r="G157" s="14" t="str">
        <f>IFERROR(__xludf.DUMMYFUNCTION("SPLIT($B157,"" "")"),"S19")</f>
        <v>S19</v>
      </c>
      <c r="H157" s="15">
        <f>IFERROR(__xludf.DUMMYFUNCTION("""COMPUTED_VALUE"""),16.0)</f>
        <v>16</v>
      </c>
      <c r="I157" s="16">
        <f>IFERROR(__xludf.DUMMYFUNCTION("""COMPUTED_VALUE"""),41.25)</f>
        <v>41.25</v>
      </c>
      <c r="J157" s="14" t="str">
        <f t="shared" si="3"/>
        <v>0.688</v>
      </c>
      <c r="K157" s="14"/>
      <c r="L157" s="14" t="str">
        <f>IFERROR(__xludf.DUMMYFUNCTION("SPLIT($C157,"" "")"),"W044")</f>
        <v>W044</v>
      </c>
      <c r="M157" s="17">
        <f>IFERROR(__xludf.DUMMYFUNCTION("""COMPUTED_VALUE"""),21.0)</f>
        <v>21</v>
      </c>
      <c r="N157" s="16">
        <f>IFERROR(__xludf.DUMMYFUNCTION("""COMPUTED_VALUE"""),41.9)</f>
        <v>41.9</v>
      </c>
      <c r="O157" s="14" t="str">
        <f t="shared" si="4"/>
        <v>0.698</v>
      </c>
      <c r="Q157" s="10">
        <f t="shared" si="5"/>
        <v>-19.27805556</v>
      </c>
      <c r="R157" s="10">
        <f t="shared" si="6"/>
        <v>-44.36138889</v>
      </c>
    </row>
    <row r="158">
      <c r="A158" s="10" t="s">
        <v>540</v>
      </c>
      <c r="B158" s="10" t="s">
        <v>541</v>
      </c>
      <c r="C158" s="10" t="s">
        <v>542</v>
      </c>
      <c r="D158" s="13">
        <v>157.0</v>
      </c>
      <c r="E158" s="14" t="str">
        <f t="shared" si="1"/>
        <v>1941.825S</v>
      </c>
      <c r="F158" s="14" t="str">
        <f t="shared" si="2"/>
        <v>04340.486W</v>
      </c>
      <c r="G158" s="14" t="str">
        <f>IFERROR(__xludf.DUMMYFUNCTION("SPLIT($B158,"" "")"),"S19")</f>
        <v>S19</v>
      </c>
      <c r="H158" s="15">
        <f>IFERROR(__xludf.DUMMYFUNCTION("""COMPUTED_VALUE"""),41.0)</f>
        <v>41</v>
      </c>
      <c r="I158" s="16">
        <f>IFERROR(__xludf.DUMMYFUNCTION("""COMPUTED_VALUE"""),49.52)</f>
        <v>49.52</v>
      </c>
      <c r="J158" s="14" t="str">
        <f t="shared" si="3"/>
        <v>0.825</v>
      </c>
      <c r="K158" s="14"/>
      <c r="L158" s="14" t="str">
        <f>IFERROR(__xludf.DUMMYFUNCTION("SPLIT($C158,"" "")"),"W043")</f>
        <v>W043</v>
      </c>
      <c r="M158" s="17">
        <f>IFERROR(__xludf.DUMMYFUNCTION("""COMPUTED_VALUE"""),40.0)</f>
        <v>40</v>
      </c>
      <c r="N158" s="16">
        <f>IFERROR(__xludf.DUMMYFUNCTION("""COMPUTED_VALUE"""),29.13)</f>
        <v>29.13</v>
      </c>
      <c r="O158" s="14" t="str">
        <f t="shared" si="4"/>
        <v>0.486</v>
      </c>
      <c r="Q158" s="10">
        <f t="shared" si="5"/>
        <v>-19.69694444</v>
      </c>
      <c r="R158" s="10">
        <f t="shared" si="6"/>
        <v>-43.67472222</v>
      </c>
    </row>
    <row r="159">
      <c r="A159" s="10" t="s">
        <v>543</v>
      </c>
      <c r="B159" s="10" t="s">
        <v>544</v>
      </c>
      <c r="C159" s="10" t="s">
        <v>545</v>
      </c>
      <c r="D159" s="13">
        <v>158.0</v>
      </c>
      <c r="E159" s="14" t="str">
        <f t="shared" si="1"/>
        <v>1900.102S</v>
      </c>
      <c r="F159" s="14" t="str">
        <f t="shared" si="2"/>
        <v>04329.354W</v>
      </c>
      <c r="G159" s="14" t="str">
        <f>IFERROR(__xludf.DUMMYFUNCTION("SPLIT($B159,"" "")"),"S19")</f>
        <v>S19</v>
      </c>
      <c r="H159" s="15">
        <f>IFERROR(__xludf.DUMMYFUNCTION("""COMPUTED_VALUE"""),0.0)</f>
        <v>0</v>
      </c>
      <c r="I159" s="16">
        <f>IFERROR(__xludf.DUMMYFUNCTION("""COMPUTED_VALUE"""),6.12)</f>
        <v>6.12</v>
      </c>
      <c r="J159" s="14" t="str">
        <f t="shared" si="3"/>
        <v>0.102</v>
      </c>
      <c r="K159" s="14"/>
      <c r="L159" s="14" t="str">
        <f>IFERROR(__xludf.DUMMYFUNCTION("SPLIT($C159,"" "")"),"W043")</f>
        <v>W043</v>
      </c>
      <c r="M159" s="17">
        <f>IFERROR(__xludf.DUMMYFUNCTION("""COMPUTED_VALUE"""),29.0)</f>
        <v>29</v>
      </c>
      <c r="N159" s="16">
        <f>IFERROR(__xludf.DUMMYFUNCTION("""COMPUTED_VALUE"""),21.26)</f>
        <v>21.26</v>
      </c>
      <c r="O159" s="14" t="str">
        <f t="shared" si="4"/>
        <v>0.354</v>
      </c>
      <c r="Q159" s="10">
        <f t="shared" si="5"/>
        <v>-19.00166667</v>
      </c>
      <c r="R159" s="10">
        <f t="shared" si="6"/>
        <v>-43.48916667</v>
      </c>
    </row>
    <row r="160">
      <c r="A160" s="10" t="s">
        <v>546</v>
      </c>
      <c r="B160" s="10" t="s">
        <v>547</v>
      </c>
      <c r="C160" s="10" t="s">
        <v>548</v>
      </c>
      <c r="D160" s="13">
        <v>159.0</v>
      </c>
      <c r="E160" s="14" t="str">
        <f t="shared" si="1"/>
        <v>1950.470S</v>
      </c>
      <c r="F160" s="14" t="str">
        <f t="shared" si="2"/>
        <v>04358.605W</v>
      </c>
      <c r="G160" s="14" t="str">
        <f>IFERROR(__xludf.DUMMYFUNCTION("SPLIT($B160,"" "")"),"S19")</f>
        <v>S19</v>
      </c>
      <c r="H160" s="15">
        <f>IFERROR(__xludf.DUMMYFUNCTION("""COMPUTED_VALUE"""),50.0)</f>
        <v>50</v>
      </c>
      <c r="I160" s="16">
        <f>IFERROR(__xludf.DUMMYFUNCTION("""COMPUTED_VALUE"""),28.19)</f>
        <v>28.19</v>
      </c>
      <c r="J160" s="14" t="str">
        <f t="shared" si="3"/>
        <v>0.470</v>
      </c>
      <c r="K160" s="14"/>
      <c r="L160" s="14" t="str">
        <f>IFERROR(__xludf.DUMMYFUNCTION("SPLIT($C160,"" "")"),"W043")</f>
        <v>W043</v>
      </c>
      <c r="M160" s="17">
        <f>IFERROR(__xludf.DUMMYFUNCTION("""COMPUTED_VALUE"""),58.0)</f>
        <v>58</v>
      </c>
      <c r="N160" s="16">
        <f>IFERROR(__xludf.DUMMYFUNCTION("""COMPUTED_VALUE"""),36.31)</f>
        <v>36.31</v>
      </c>
      <c r="O160" s="14" t="str">
        <f t="shared" si="4"/>
        <v>0.605</v>
      </c>
      <c r="Q160" s="10">
        <f t="shared" si="5"/>
        <v>-19.84111111</v>
      </c>
      <c r="R160" s="10">
        <f t="shared" si="6"/>
        <v>-43.97666667</v>
      </c>
    </row>
    <row r="161">
      <c r="A161" s="10" t="s">
        <v>549</v>
      </c>
      <c r="B161" s="10" t="s">
        <v>550</v>
      </c>
      <c r="C161" s="10" t="s">
        <v>551</v>
      </c>
      <c r="D161" s="13">
        <v>160.0</v>
      </c>
      <c r="E161" s="14" t="str">
        <f t="shared" si="1"/>
        <v>1908.495S</v>
      </c>
      <c r="F161" s="14" t="str">
        <f t="shared" si="2"/>
        <v>04346.128W</v>
      </c>
      <c r="G161" s="14" t="str">
        <f>IFERROR(__xludf.DUMMYFUNCTION("SPLIT($B161,"" "")"),"S19")</f>
        <v>S19</v>
      </c>
      <c r="H161" s="15">
        <f>IFERROR(__xludf.DUMMYFUNCTION("""COMPUTED_VALUE"""),8.0)</f>
        <v>8</v>
      </c>
      <c r="I161" s="16">
        <f>IFERROR(__xludf.DUMMYFUNCTION("""COMPUTED_VALUE"""),29.7)</f>
        <v>29.7</v>
      </c>
      <c r="J161" s="14" t="str">
        <f t="shared" si="3"/>
        <v>0.495</v>
      </c>
      <c r="K161" s="14"/>
      <c r="L161" s="14" t="str">
        <f>IFERROR(__xludf.DUMMYFUNCTION("SPLIT($C161,"" "")"),"W043")</f>
        <v>W043</v>
      </c>
      <c r="M161" s="17">
        <f>IFERROR(__xludf.DUMMYFUNCTION("""COMPUTED_VALUE"""),46.0)</f>
        <v>46</v>
      </c>
      <c r="N161" s="16">
        <f>IFERROR(__xludf.DUMMYFUNCTION("""COMPUTED_VALUE"""),7.68)</f>
        <v>7.68</v>
      </c>
      <c r="O161" s="14" t="str">
        <f t="shared" si="4"/>
        <v>0.128</v>
      </c>
      <c r="Q161" s="10">
        <f t="shared" si="5"/>
        <v>-19.14138889</v>
      </c>
      <c r="R161" s="10">
        <f t="shared" si="6"/>
        <v>-43.76861111</v>
      </c>
    </row>
    <row r="162">
      <c r="A162" s="10" t="s">
        <v>552</v>
      </c>
      <c r="B162" s="10" t="s">
        <v>553</v>
      </c>
      <c r="C162" s="10" t="s">
        <v>554</v>
      </c>
      <c r="D162" s="13">
        <v>161.0</v>
      </c>
      <c r="E162" s="14" t="str">
        <f t="shared" si="1"/>
        <v>1938.786S</v>
      </c>
      <c r="F162" s="14" t="str">
        <f t="shared" si="2"/>
        <v>04414.056W</v>
      </c>
      <c r="G162" s="14" t="str">
        <f>IFERROR(__xludf.DUMMYFUNCTION("SPLIT($B162,"" "")"),"S19")</f>
        <v>S19</v>
      </c>
      <c r="H162" s="15">
        <f>IFERROR(__xludf.DUMMYFUNCTION("""COMPUTED_VALUE"""),38.0)</f>
        <v>38</v>
      </c>
      <c r="I162" s="16">
        <f>IFERROR(__xludf.DUMMYFUNCTION("""COMPUTED_VALUE"""),47.18)</f>
        <v>47.18</v>
      </c>
      <c r="J162" s="14" t="str">
        <f t="shared" si="3"/>
        <v>0.786</v>
      </c>
      <c r="K162" s="14"/>
      <c r="L162" s="14" t="str">
        <f>IFERROR(__xludf.DUMMYFUNCTION("SPLIT($C162,"" "")"),"W044")</f>
        <v>W044</v>
      </c>
      <c r="M162" s="17">
        <f>IFERROR(__xludf.DUMMYFUNCTION("""COMPUTED_VALUE"""),14.0)</f>
        <v>14</v>
      </c>
      <c r="N162" s="16">
        <f>IFERROR(__xludf.DUMMYFUNCTION("""COMPUTED_VALUE"""),3.36)</f>
        <v>3.36</v>
      </c>
      <c r="O162" s="14" t="str">
        <f t="shared" si="4"/>
        <v>0.056</v>
      </c>
      <c r="Q162" s="10">
        <f t="shared" si="5"/>
        <v>-19.64638889</v>
      </c>
      <c r="R162" s="10">
        <f t="shared" si="6"/>
        <v>-44.23416667</v>
      </c>
    </row>
    <row r="163">
      <c r="A163" s="10" t="s">
        <v>555</v>
      </c>
      <c r="B163" s="10" t="s">
        <v>556</v>
      </c>
      <c r="C163" s="10" t="s">
        <v>557</v>
      </c>
      <c r="D163" s="13">
        <v>162.0</v>
      </c>
      <c r="E163" s="14" t="str">
        <f t="shared" si="1"/>
        <v>1936.358S</v>
      </c>
      <c r="F163" s="14" t="str">
        <f t="shared" si="2"/>
        <v>04408.244W</v>
      </c>
      <c r="G163" s="14" t="str">
        <f>IFERROR(__xludf.DUMMYFUNCTION("SPLIT($B163,"" "")"),"S19")</f>
        <v>S19</v>
      </c>
      <c r="H163" s="15">
        <f>IFERROR(__xludf.DUMMYFUNCTION("""COMPUTED_VALUE"""),36.0)</f>
        <v>36</v>
      </c>
      <c r="I163" s="16">
        <f>IFERROR(__xludf.DUMMYFUNCTION("""COMPUTED_VALUE"""),21.46)</f>
        <v>21.46</v>
      </c>
      <c r="J163" s="14" t="str">
        <f t="shared" si="3"/>
        <v>0.358</v>
      </c>
      <c r="K163" s="14"/>
      <c r="L163" s="14" t="str">
        <f>IFERROR(__xludf.DUMMYFUNCTION("SPLIT($C163,"" "")"),"W044")</f>
        <v>W044</v>
      </c>
      <c r="M163" s="17">
        <f>IFERROR(__xludf.DUMMYFUNCTION("""COMPUTED_VALUE"""),8.0)</f>
        <v>8</v>
      </c>
      <c r="N163" s="16">
        <f>IFERROR(__xludf.DUMMYFUNCTION("""COMPUTED_VALUE"""),14.63)</f>
        <v>14.63</v>
      </c>
      <c r="O163" s="14" t="str">
        <f t="shared" si="4"/>
        <v>0.244</v>
      </c>
      <c r="Q163" s="10">
        <f t="shared" si="5"/>
        <v>-19.60583333</v>
      </c>
      <c r="R163" s="10">
        <f t="shared" si="6"/>
        <v>-44.13722222</v>
      </c>
    </row>
    <row r="164">
      <c r="A164" s="10" t="s">
        <v>558</v>
      </c>
      <c r="B164" s="10" t="s">
        <v>559</v>
      </c>
      <c r="C164" s="10" t="s">
        <v>560</v>
      </c>
      <c r="D164" s="13">
        <v>163.0</v>
      </c>
      <c r="E164" s="14" t="str">
        <f t="shared" si="1"/>
        <v>1931.481S</v>
      </c>
      <c r="F164" s="14" t="str">
        <f t="shared" si="2"/>
        <v>04404.679W</v>
      </c>
      <c r="G164" s="14" t="str">
        <f>IFERROR(__xludf.DUMMYFUNCTION("SPLIT($B164,"" "")"),"S19")</f>
        <v>S19</v>
      </c>
      <c r="H164" s="15">
        <f>IFERROR(__xludf.DUMMYFUNCTION("""COMPUTED_VALUE"""),31.0)</f>
        <v>31</v>
      </c>
      <c r="I164" s="16">
        <f>IFERROR(__xludf.DUMMYFUNCTION("""COMPUTED_VALUE"""),28.84)</f>
        <v>28.84</v>
      </c>
      <c r="J164" s="14" t="str">
        <f t="shared" si="3"/>
        <v>0.481</v>
      </c>
      <c r="K164" s="14"/>
      <c r="L164" s="14" t="str">
        <f>IFERROR(__xludf.DUMMYFUNCTION("SPLIT($C164,"" "")"),"W044")</f>
        <v>W044</v>
      </c>
      <c r="M164" s="17">
        <f>IFERROR(__xludf.DUMMYFUNCTION("""COMPUTED_VALUE"""),4.0)</f>
        <v>4</v>
      </c>
      <c r="N164" s="16">
        <f>IFERROR(__xludf.DUMMYFUNCTION("""COMPUTED_VALUE"""),40.75)</f>
        <v>40.75</v>
      </c>
      <c r="O164" s="14" t="str">
        <f t="shared" si="4"/>
        <v>0.679</v>
      </c>
      <c r="Q164" s="10">
        <f t="shared" si="5"/>
        <v>-19.52444444</v>
      </c>
      <c r="R164" s="10">
        <f t="shared" si="6"/>
        <v>-44.07777778</v>
      </c>
    </row>
    <row r="165">
      <c r="A165" s="10" t="s">
        <v>561</v>
      </c>
      <c r="B165" s="10" t="s">
        <v>562</v>
      </c>
      <c r="C165" s="10" t="s">
        <v>563</v>
      </c>
      <c r="D165" s="13">
        <v>164.0</v>
      </c>
      <c r="E165" s="14" t="str">
        <f t="shared" si="1"/>
        <v>1932.329S</v>
      </c>
      <c r="F165" s="14" t="str">
        <f t="shared" si="2"/>
        <v>04403.387W</v>
      </c>
      <c r="G165" s="14" t="str">
        <f>IFERROR(__xludf.DUMMYFUNCTION("SPLIT($B165,"" "")"),"S19")</f>
        <v>S19</v>
      </c>
      <c r="H165" s="15">
        <f>IFERROR(__xludf.DUMMYFUNCTION("""COMPUTED_VALUE"""),32.0)</f>
        <v>32</v>
      </c>
      <c r="I165" s="16">
        <f>IFERROR(__xludf.DUMMYFUNCTION("""COMPUTED_VALUE"""),19.76)</f>
        <v>19.76</v>
      </c>
      <c r="J165" s="14" t="str">
        <f t="shared" si="3"/>
        <v>0.329</v>
      </c>
      <c r="K165" s="14"/>
      <c r="L165" s="14" t="str">
        <f>IFERROR(__xludf.DUMMYFUNCTION("SPLIT($C165,"" "")"),"W044")</f>
        <v>W044</v>
      </c>
      <c r="M165" s="17">
        <f>IFERROR(__xludf.DUMMYFUNCTION("""COMPUTED_VALUE"""),3.0)</f>
        <v>3</v>
      </c>
      <c r="N165" s="16">
        <f>IFERROR(__xludf.DUMMYFUNCTION("""COMPUTED_VALUE"""),23.2)</f>
        <v>23.2</v>
      </c>
      <c r="O165" s="14" t="str">
        <f t="shared" si="4"/>
        <v>0.387</v>
      </c>
      <c r="Q165" s="10">
        <f t="shared" si="5"/>
        <v>-19.53861111</v>
      </c>
      <c r="R165" s="10">
        <f t="shared" si="6"/>
        <v>-44.05638889</v>
      </c>
    </row>
    <row r="166">
      <c r="A166" s="10" t="s">
        <v>564</v>
      </c>
      <c r="B166" s="10" t="s">
        <v>565</v>
      </c>
      <c r="C166" s="10" t="s">
        <v>566</v>
      </c>
      <c r="D166" s="13">
        <v>165.0</v>
      </c>
      <c r="E166" s="14" t="str">
        <f t="shared" si="1"/>
        <v>1934.391S</v>
      </c>
      <c r="F166" s="14" t="str">
        <f t="shared" si="2"/>
        <v>04401.482W</v>
      </c>
      <c r="G166" s="14" t="str">
        <f>IFERROR(__xludf.DUMMYFUNCTION("SPLIT($B166,"" "")"),"S19")</f>
        <v>S19</v>
      </c>
      <c r="H166" s="15">
        <f>IFERROR(__xludf.DUMMYFUNCTION("""COMPUTED_VALUE"""),34.0)</f>
        <v>34</v>
      </c>
      <c r="I166" s="16">
        <f>IFERROR(__xludf.DUMMYFUNCTION("""COMPUTED_VALUE"""),23.46)</f>
        <v>23.46</v>
      </c>
      <c r="J166" s="14" t="str">
        <f t="shared" si="3"/>
        <v>0.391</v>
      </c>
      <c r="K166" s="14"/>
      <c r="L166" s="14" t="str">
        <f>IFERROR(__xludf.DUMMYFUNCTION("SPLIT($C166,"" "")"),"W044")</f>
        <v>W044</v>
      </c>
      <c r="M166" s="17">
        <f>IFERROR(__xludf.DUMMYFUNCTION("""COMPUTED_VALUE"""),1.0)</f>
        <v>1</v>
      </c>
      <c r="N166" s="16">
        <f>IFERROR(__xludf.DUMMYFUNCTION("""COMPUTED_VALUE"""),28.94)</f>
        <v>28.94</v>
      </c>
      <c r="O166" s="14" t="str">
        <f t="shared" si="4"/>
        <v>0.482</v>
      </c>
      <c r="Q166" s="10">
        <f t="shared" si="5"/>
        <v>-19.57305556</v>
      </c>
      <c r="R166" s="10">
        <f t="shared" si="6"/>
        <v>-44.02444444</v>
      </c>
    </row>
    <row r="167">
      <c r="A167" s="10" t="s">
        <v>567</v>
      </c>
      <c r="B167" s="10" t="s">
        <v>568</v>
      </c>
      <c r="C167" s="10" t="s">
        <v>569</v>
      </c>
      <c r="D167" s="13">
        <v>166.0</v>
      </c>
      <c r="E167" s="14" t="str">
        <f t="shared" si="1"/>
        <v>2116.821S</v>
      </c>
      <c r="F167" s="14" t="str">
        <f t="shared" si="2"/>
        <v>04305.634W</v>
      </c>
      <c r="G167" s="14" t="str">
        <f>IFERROR(__xludf.DUMMYFUNCTION("SPLIT($B167,"" "")"),"S21")</f>
        <v>S21</v>
      </c>
      <c r="H167" s="15">
        <f>IFERROR(__xludf.DUMMYFUNCTION("""COMPUTED_VALUE"""),16.0)</f>
        <v>16</v>
      </c>
      <c r="I167" s="16">
        <f>IFERROR(__xludf.DUMMYFUNCTION("""COMPUTED_VALUE"""),49.27)</f>
        <v>49.27</v>
      </c>
      <c r="J167" s="14" t="str">
        <f t="shared" si="3"/>
        <v>0.821</v>
      </c>
      <c r="K167" s="14"/>
      <c r="L167" s="14" t="str">
        <f>IFERROR(__xludf.DUMMYFUNCTION("SPLIT($C167,"" "")"),"W043")</f>
        <v>W043</v>
      </c>
      <c r="M167" s="17">
        <f>IFERROR(__xludf.DUMMYFUNCTION("""COMPUTED_VALUE"""),5.0)</f>
        <v>5</v>
      </c>
      <c r="N167" s="16">
        <f>IFERROR(__xludf.DUMMYFUNCTION("""COMPUTED_VALUE"""),38.03)</f>
        <v>38.03</v>
      </c>
      <c r="O167" s="14" t="str">
        <f t="shared" si="4"/>
        <v>0.634</v>
      </c>
      <c r="Q167" s="10">
        <f t="shared" si="5"/>
        <v>-21.28027778</v>
      </c>
      <c r="R167" s="10">
        <f t="shared" si="6"/>
        <v>-43.09388889</v>
      </c>
    </row>
    <row r="168">
      <c r="A168" s="10" t="s">
        <v>570</v>
      </c>
      <c r="B168" s="10" t="s">
        <v>571</v>
      </c>
      <c r="C168" s="10" t="s">
        <v>572</v>
      </c>
      <c r="D168" s="13">
        <v>167.0</v>
      </c>
      <c r="E168" s="14" t="str">
        <f t="shared" si="1"/>
        <v>2029.379S</v>
      </c>
      <c r="F168" s="14" t="str">
        <f t="shared" si="2"/>
        <v>04446.252W</v>
      </c>
      <c r="G168" s="14" t="str">
        <f>IFERROR(__xludf.DUMMYFUNCTION("SPLIT($B168,"" "")"),"S20")</f>
        <v>S20</v>
      </c>
      <c r="H168" s="15">
        <f>IFERROR(__xludf.DUMMYFUNCTION("""COMPUTED_VALUE"""),29.0)</f>
        <v>29</v>
      </c>
      <c r="I168" s="16">
        <f>IFERROR(__xludf.DUMMYFUNCTION("""COMPUTED_VALUE"""),22.74)</f>
        <v>22.74</v>
      </c>
      <c r="J168" s="14" t="str">
        <f t="shared" si="3"/>
        <v>0.379</v>
      </c>
      <c r="K168" s="14"/>
      <c r="L168" s="14" t="str">
        <f>IFERROR(__xludf.DUMMYFUNCTION("SPLIT($C168,"" "")"),"W044")</f>
        <v>W044</v>
      </c>
      <c r="M168" s="17">
        <f>IFERROR(__xludf.DUMMYFUNCTION("""COMPUTED_VALUE"""),46.0)</f>
        <v>46</v>
      </c>
      <c r="N168" s="16">
        <f>IFERROR(__xludf.DUMMYFUNCTION("""COMPUTED_VALUE"""),15.12)</f>
        <v>15.12</v>
      </c>
      <c r="O168" s="14" t="str">
        <f t="shared" si="4"/>
        <v>0.252</v>
      </c>
      <c r="Q168" s="10">
        <f t="shared" si="5"/>
        <v>-20.48944444</v>
      </c>
      <c r="R168" s="10">
        <f t="shared" si="6"/>
        <v>-44.77083333</v>
      </c>
    </row>
    <row r="169">
      <c r="A169" s="10" t="s">
        <v>573</v>
      </c>
      <c r="B169" s="10" t="s">
        <v>574</v>
      </c>
      <c r="C169" s="10" t="s">
        <v>575</v>
      </c>
      <c r="D169" s="13">
        <v>168.0</v>
      </c>
      <c r="E169" s="14" t="str">
        <f t="shared" si="1"/>
        <v>1847.284S</v>
      </c>
      <c r="F169" s="14" t="str">
        <f t="shared" si="2"/>
        <v>04301.976W</v>
      </c>
      <c r="G169" s="14" t="str">
        <f>IFERROR(__xludf.DUMMYFUNCTION("SPLIT($B169,"" "")"),"S18")</f>
        <v>S18</v>
      </c>
      <c r="H169" s="15">
        <f>IFERROR(__xludf.DUMMYFUNCTION("""COMPUTED_VALUE"""),47.0)</f>
        <v>47</v>
      </c>
      <c r="I169" s="16">
        <f>IFERROR(__xludf.DUMMYFUNCTION("""COMPUTED_VALUE"""),17.026)</f>
        <v>17.026</v>
      </c>
      <c r="J169" s="14" t="str">
        <f t="shared" si="3"/>
        <v>0.284</v>
      </c>
      <c r="K169" s="14"/>
      <c r="L169" s="14" t="str">
        <f>IFERROR(__xludf.DUMMYFUNCTION("SPLIT($C169,"" "")"),"W043")</f>
        <v>W043</v>
      </c>
      <c r="M169" s="17">
        <f>IFERROR(__xludf.DUMMYFUNCTION("""COMPUTED_VALUE"""),1.0)</f>
        <v>1</v>
      </c>
      <c r="N169" s="16">
        <f>IFERROR(__xludf.DUMMYFUNCTION("""COMPUTED_VALUE"""),58.58)</f>
        <v>58.58</v>
      </c>
      <c r="O169" s="14" t="str">
        <f t="shared" si="4"/>
        <v>0.976</v>
      </c>
      <c r="Q169" s="10">
        <f t="shared" si="5"/>
        <v>-18.78805556</v>
      </c>
      <c r="R169" s="10">
        <f t="shared" si="6"/>
        <v>-43.03277778</v>
      </c>
    </row>
    <row r="170">
      <c r="D170" s="13"/>
      <c r="E170" s="14"/>
      <c r="F170" s="14"/>
      <c r="G170" s="14"/>
      <c r="H170" s="15"/>
      <c r="I170" s="16"/>
      <c r="J170" s="14"/>
      <c r="K170" s="14"/>
      <c r="L170" s="14" t="str">
        <f>IFERROR(__xludf.DUMMYFUNCTION("SPLIT($C170,"" "")"),"#VALUE!")</f>
        <v>#VALUE!</v>
      </c>
      <c r="M170" s="17"/>
      <c r="N170" s="16"/>
      <c r="O170" s="14" t="str">
        <f t="shared" si="4"/>
        <v>0.000</v>
      </c>
      <c r="Q170" s="10">
        <f t="shared" si="5"/>
        <v>0</v>
      </c>
      <c r="R170" s="10" t="str">
        <f t="shared" si="6"/>
        <v>#VALUE!</v>
      </c>
    </row>
    <row r="171">
      <c r="A171" s="10" t="s">
        <v>576</v>
      </c>
      <c r="B171" s="10" t="s">
        <v>577</v>
      </c>
      <c r="C171" s="10" t="s">
        <v>578</v>
      </c>
      <c r="D171" s="13">
        <v>170.0</v>
      </c>
      <c r="E171" s="14" t="str">
        <f t="shared" ref="E171:E174" si="7">concatenate(RIGHT($G171,2),text($H171+$J171,"00.000"),LEFT($G171,1))</f>
        <v>2055.799S</v>
      </c>
      <c r="F171" s="14" t="str">
        <f t="shared" ref="F171:F174" si="8">concatenate(RIGHT($L171,3),text($M171+$O171,"00.000"),LEFT($L171,1))</f>
        <v>04359.024W</v>
      </c>
      <c r="G171" s="14" t="str">
        <f>IFERROR(__xludf.DUMMYFUNCTION("SPLIT($B171,"" "")"),"S20")</f>
        <v>S20</v>
      </c>
      <c r="H171" s="15">
        <f>IFERROR(__xludf.DUMMYFUNCTION("""COMPUTED_VALUE"""),55.0)</f>
        <v>55</v>
      </c>
      <c r="I171" s="16">
        <f>IFERROR(__xludf.DUMMYFUNCTION("""COMPUTED_VALUE"""),47.93)</f>
        <v>47.93</v>
      </c>
      <c r="J171" s="14" t="str">
        <f t="shared" ref="J171:J174" si="9">text(ROUND(I171/60,3),"0.000")</f>
        <v>0.799</v>
      </c>
      <c r="K171" s="14"/>
      <c r="L171" s="14" t="str">
        <f>IFERROR(__xludf.DUMMYFUNCTION("SPLIT($C171,"" "")"),"W043")</f>
        <v>W043</v>
      </c>
      <c r="M171" s="17">
        <f>IFERROR(__xludf.DUMMYFUNCTION("""COMPUTED_VALUE"""),59.0)</f>
        <v>59</v>
      </c>
      <c r="N171" s="16">
        <f>IFERROR(__xludf.DUMMYFUNCTION("""COMPUTED_VALUE"""),1.46)</f>
        <v>1.46</v>
      </c>
      <c r="O171" s="14" t="str">
        <f t="shared" si="4"/>
        <v>0.024</v>
      </c>
      <c r="Q171" s="10">
        <f t="shared" si="5"/>
        <v>-20.92972222</v>
      </c>
      <c r="R171" s="10">
        <f t="shared" si="6"/>
        <v>-43.98361111</v>
      </c>
    </row>
    <row r="172">
      <c r="A172" s="10" t="s">
        <v>579</v>
      </c>
      <c r="B172" s="10" t="s">
        <v>580</v>
      </c>
      <c r="C172" s="10" t="s">
        <v>581</v>
      </c>
      <c r="D172" s="13">
        <v>171.0</v>
      </c>
      <c r="E172" s="14" t="str">
        <f t="shared" si="7"/>
        <v>2033.571S</v>
      </c>
      <c r="F172" s="14" t="str">
        <f t="shared" si="8"/>
        <v>04351.987W</v>
      </c>
      <c r="G172" s="14" t="str">
        <f>IFERROR(__xludf.DUMMYFUNCTION("SPLIT($B172,"" "")"),"S20")</f>
        <v>S20</v>
      </c>
      <c r="H172" s="15">
        <f>IFERROR(__xludf.DUMMYFUNCTION("""COMPUTED_VALUE"""),33.0)</f>
        <v>33</v>
      </c>
      <c r="I172" s="16">
        <f>IFERROR(__xludf.DUMMYFUNCTION("""COMPUTED_VALUE"""),34.25)</f>
        <v>34.25</v>
      </c>
      <c r="J172" s="14" t="str">
        <f t="shared" si="9"/>
        <v>0.571</v>
      </c>
      <c r="K172" s="14"/>
      <c r="L172" s="14" t="str">
        <f>IFERROR(__xludf.DUMMYFUNCTION("SPLIT($C172,"" "")"),"W043")</f>
        <v>W043</v>
      </c>
      <c r="M172" s="17">
        <f>IFERROR(__xludf.DUMMYFUNCTION("""COMPUTED_VALUE"""),51.0)</f>
        <v>51</v>
      </c>
      <c r="N172" s="16">
        <f>IFERROR(__xludf.DUMMYFUNCTION("""COMPUTED_VALUE"""),59.2)</f>
        <v>59.2</v>
      </c>
      <c r="O172" s="14" t="str">
        <f t="shared" si="4"/>
        <v>0.987</v>
      </c>
      <c r="Q172" s="10">
        <f t="shared" si="5"/>
        <v>-20.55944444</v>
      </c>
      <c r="R172" s="10">
        <f t="shared" si="6"/>
        <v>-43.86638889</v>
      </c>
    </row>
    <row r="173">
      <c r="A173" s="10" t="s">
        <v>582</v>
      </c>
      <c r="B173" s="10" t="s">
        <v>583</v>
      </c>
      <c r="C173" s="10" t="s">
        <v>584</v>
      </c>
      <c r="D173" s="13">
        <v>172.0</v>
      </c>
      <c r="E173" s="14" t="str">
        <f t="shared" si="7"/>
        <v>1651.180S</v>
      </c>
      <c r="F173" s="14" t="str">
        <f t="shared" si="8"/>
        <v>04444.280W</v>
      </c>
      <c r="G173" s="14" t="str">
        <f>IFERROR(__xludf.DUMMYFUNCTION("SPLIT($B173,"" "")"),"S16")</f>
        <v>S16</v>
      </c>
      <c r="H173" s="15">
        <f>IFERROR(__xludf.DUMMYFUNCTION("""COMPUTED_VALUE"""),51.0)</f>
        <v>51</v>
      </c>
      <c r="I173" s="16">
        <f>IFERROR(__xludf.DUMMYFUNCTION("""COMPUTED_VALUE"""),10.8)</f>
        <v>10.8</v>
      </c>
      <c r="J173" s="14" t="str">
        <f t="shared" si="9"/>
        <v>0.180</v>
      </c>
      <c r="K173" s="14"/>
      <c r="L173" s="14" t="str">
        <f>IFERROR(__xludf.DUMMYFUNCTION("SPLIT($C173,"" "")"),"W044")</f>
        <v>W044</v>
      </c>
      <c r="M173" s="17">
        <f>IFERROR(__xludf.DUMMYFUNCTION("""COMPUTED_VALUE"""),44.0)</f>
        <v>44</v>
      </c>
      <c r="N173" s="16">
        <f>IFERROR(__xludf.DUMMYFUNCTION("""COMPUTED_VALUE"""),16.8)</f>
        <v>16.8</v>
      </c>
      <c r="O173" s="14" t="str">
        <f t="shared" si="4"/>
        <v>0.280</v>
      </c>
      <c r="Q173" s="10">
        <f t="shared" si="5"/>
        <v>-16.85277778</v>
      </c>
      <c r="R173" s="10">
        <f t="shared" si="6"/>
        <v>-44.73777778</v>
      </c>
    </row>
    <row r="174">
      <c r="A174" s="10" t="s">
        <v>585</v>
      </c>
      <c r="B174" s="10" t="s">
        <v>586</v>
      </c>
      <c r="C174" s="10" t="s">
        <v>587</v>
      </c>
      <c r="D174" s="13">
        <v>173.0</v>
      </c>
      <c r="E174" s="14" t="str">
        <f t="shared" si="7"/>
        <v>1859.902S</v>
      </c>
      <c r="F174" s="14" t="str">
        <f t="shared" si="8"/>
        <v>04425.556W</v>
      </c>
      <c r="G174" s="14" t="str">
        <f>IFERROR(__xludf.DUMMYFUNCTION("SPLIT($B174,"" "")"),"S18")</f>
        <v>S18</v>
      </c>
      <c r="H174" s="15">
        <f>IFERROR(__xludf.DUMMYFUNCTION("""COMPUTED_VALUE"""),59.0)</f>
        <v>59</v>
      </c>
      <c r="I174" s="16">
        <f>IFERROR(__xludf.DUMMYFUNCTION("""COMPUTED_VALUE"""),54.09)</f>
        <v>54.09</v>
      </c>
      <c r="J174" s="14" t="str">
        <f t="shared" si="9"/>
        <v>0.902</v>
      </c>
      <c r="K174" s="14"/>
      <c r="L174" s="14" t="str">
        <f>IFERROR(__xludf.DUMMYFUNCTION("SPLIT($C174,"" "")"),"W044")</f>
        <v>W044</v>
      </c>
      <c r="M174" s="17">
        <f>IFERROR(__xludf.DUMMYFUNCTION("""COMPUTED_VALUE"""),25.0)</f>
        <v>25</v>
      </c>
      <c r="N174" s="16">
        <f>IFERROR(__xludf.DUMMYFUNCTION("""COMPUTED_VALUE"""),33.35)</f>
        <v>33.35</v>
      </c>
      <c r="O174" s="14" t="str">
        <f t="shared" si="4"/>
        <v>0.556</v>
      </c>
      <c r="Q174" s="10">
        <f t="shared" si="5"/>
        <v>-18.99833333</v>
      </c>
      <c r="R174" s="10">
        <f t="shared" si="6"/>
        <v>-44.42583333</v>
      </c>
    </row>
    <row r="175">
      <c r="D175" s="13"/>
      <c r="E175" s="14"/>
      <c r="F175" s="14"/>
      <c r="G175" s="14"/>
      <c r="H175" s="15"/>
      <c r="I175" s="16"/>
      <c r="J175" s="14"/>
      <c r="K175" s="14"/>
      <c r="L175" s="14" t="str">
        <f>IFERROR(__xludf.DUMMYFUNCTION("SPLIT($C175,"" "")"),"#VALUE!")</f>
        <v>#VALUE!</v>
      </c>
      <c r="M175" s="17"/>
      <c r="N175" s="16"/>
      <c r="O175" s="14" t="str">
        <f t="shared" si="4"/>
        <v>0.000</v>
      </c>
      <c r="Q175" s="10">
        <f t="shared" si="5"/>
        <v>0</v>
      </c>
      <c r="R175" s="10" t="str">
        <f t="shared" si="6"/>
        <v>#VALUE!</v>
      </c>
    </row>
    <row r="176">
      <c r="D176" s="13"/>
      <c r="E176" s="14"/>
      <c r="F176" s="14"/>
      <c r="G176" s="14"/>
      <c r="H176" s="15"/>
      <c r="I176" s="16"/>
      <c r="J176" s="14"/>
      <c r="K176" s="14"/>
      <c r="L176" s="14" t="str">
        <f>IFERROR(__xludf.DUMMYFUNCTION("SPLIT($C176,"" "")"),"#VALUE!")</f>
        <v>#VALUE!</v>
      </c>
      <c r="M176" s="17"/>
      <c r="N176" s="16"/>
      <c r="O176" s="14" t="str">
        <f t="shared" si="4"/>
        <v>0.000</v>
      </c>
      <c r="Q176" s="10">
        <f t="shared" si="5"/>
        <v>0</v>
      </c>
      <c r="R176" s="10" t="str">
        <f t="shared" si="6"/>
        <v>#VALUE!</v>
      </c>
    </row>
    <row r="177">
      <c r="A177" s="10" t="s">
        <v>588</v>
      </c>
      <c r="B177" s="10" t="s">
        <v>589</v>
      </c>
      <c r="C177" s="10" t="s">
        <v>590</v>
      </c>
      <c r="D177" s="13">
        <v>176.0</v>
      </c>
      <c r="E177" s="14" t="str">
        <f t="shared" ref="E177:E257" si="10">concatenate(RIGHT($G177,2),text($H177+$J177,"00.000"),LEFT($G177,1))</f>
        <v>1814.480S</v>
      </c>
      <c r="F177" s="14" t="str">
        <f t="shared" ref="F177:F257" si="11">concatenate(RIGHT($L177,3),text($M177+$O177,"00.000"),LEFT($L177,1))</f>
        <v>04324.720W</v>
      </c>
      <c r="G177" s="14" t="str">
        <f>IFERROR(__xludf.DUMMYFUNCTION("SPLIT($B177,"" "")"),"S18")</f>
        <v>S18</v>
      </c>
      <c r="H177" s="15">
        <f>IFERROR(__xludf.DUMMYFUNCTION("""COMPUTED_VALUE"""),14.0)</f>
        <v>14</v>
      </c>
      <c r="I177" s="16">
        <f>IFERROR(__xludf.DUMMYFUNCTION("""COMPUTED_VALUE"""),28.77)</f>
        <v>28.77</v>
      </c>
      <c r="J177" s="14" t="str">
        <f t="shared" ref="J177:J257" si="12">text(ROUND(I177/60,3),"0.000")</f>
        <v>0.480</v>
      </c>
      <c r="K177" s="14"/>
      <c r="L177" s="14" t="str">
        <f>IFERROR(__xludf.DUMMYFUNCTION("SPLIT($C177,"" "")"),"W043")</f>
        <v>W043</v>
      </c>
      <c r="M177" s="17">
        <f>IFERROR(__xludf.DUMMYFUNCTION("""COMPUTED_VALUE"""),24.0)</f>
        <v>24</v>
      </c>
      <c r="N177" s="16">
        <f>IFERROR(__xludf.DUMMYFUNCTION("""COMPUTED_VALUE"""),43.2)</f>
        <v>43.2</v>
      </c>
      <c r="O177" s="14" t="str">
        <f t="shared" si="4"/>
        <v>0.720</v>
      </c>
      <c r="Q177" s="10">
        <f t="shared" si="5"/>
        <v>-18.24111111</v>
      </c>
      <c r="R177" s="10">
        <f t="shared" si="6"/>
        <v>-43.41194444</v>
      </c>
    </row>
    <row r="178">
      <c r="A178" s="10" t="s">
        <v>591</v>
      </c>
      <c r="B178" s="10" t="s">
        <v>592</v>
      </c>
      <c r="C178" s="10" t="s">
        <v>593</v>
      </c>
      <c r="D178" s="13">
        <v>177.0</v>
      </c>
      <c r="E178" s="14" t="str">
        <f t="shared" si="10"/>
        <v>1855.612S</v>
      </c>
      <c r="F178" s="14" t="str">
        <f t="shared" si="11"/>
        <v>04246.868W</v>
      </c>
      <c r="G178" s="14" t="str">
        <f>IFERROR(__xludf.DUMMYFUNCTION("SPLIT($B178,"" "")"),"S18")</f>
        <v>S18</v>
      </c>
      <c r="H178" s="15">
        <f>IFERROR(__xludf.DUMMYFUNCTION("""COMPUTED_VALUE"""),55.0)</f>
        <v>55</v>
      </c>
      <c r="I178" s="16">
        <f>IFERROR(__xludf.DUMMYFUNCTION("""COMPUTED_VALUE"""),36.69)</f>
        <v>36.69</v>
      </c>
      <c r="J178" s="14" t="str">
        <f t="shared" si="12"/>
        <v>0.612</v>
      </c>
      <c r="K178" s="14"/>
      <c r="L178" s="14" t="str">
        <f>IFERROR(__xludf.DUMMYFUNCTION("SPLIT($C178,"" "")"),"W042")</f>
        <v>W042</v>
      </c>
      <c r="M178" s="17">
        <f>IFERROR(__xludf.DUMMYFUNCTION("""COMPUTED_VALUE"""),46.0)</f>
        <v>46</v>
      </c>
      <c r="N178" s="16">
        <f>IFERROR(__xludf.DUMMYFUNCTION("""COMPUTED_VALUE"""),52.09)</f>
        <v>52.09</v>
      </c>
      <c r="O178" s="14" t="str">
        <f t="shared" si="4"/>
        <v>0.868</v>
      </c>
      <c r="Q178" s="10">
        <f t="shared" si="5"/>
        <v>-18.92666667</v>
      </c>
      <c r="R178" s="10">
        <f t="shared" si="6"/>
        <v>-42.78111111</v>
      </c>
    </row>
    <row r="179">
      <c r="A179" s="10" t="s">
        <v>57</v>
      </c>
      <c r="B179" s="10" t="s">
        <v>594</v>
      </c>
      <c r="C179" s="10" t="s">
        <v>595</v>
      </c>
      <c r="D179" s="13">
        <v>178.0</v>
      </c>
      <c r="E179" s="14" t="str">
        <f t="shared" si="10"/>
        <v>2047.624S</v>
      </c>
      <c r="F179" s="14" t="str">
        <f t="shared" si="11"/>
        <v>04434.271W</v>
      </c>
      <c r="G179" s="14" t="str">
        <f>IFERROR(__xludf.DUMMYFUNCTION("SPLIT($B179,"" "")"),"S20")</f>
        <v>S20</v>
      </c>
      <c r="H179" s="15">
        <f>IFERROR(__xludf.DUMMYFUNCTION("""COMPUTED_VALUE"""),47.0)</f>
        <v>47</v>
      </c>
      <c r="I179" s="16">
        <f>IFERROR(__xludf.DUMMYFUNCTION("""COMPUTED_VALUE"""),37.45)</f>
        <v>37.45</v>
      </c>
      <c r="J179" s="14" t="str">
        <f t="shared" si="12"/>
        <v>0.624</v>
      </c>
      <c r="K179" s="14"/>
      <c r="L179" s="14" t="str">
        <f>IFERROR(__xludf.DUMMYFUNCTION("SPLIT($C179,"" "")"),"W044")</f>
        <v>W044</v>
      </c>
      <c r="M179" s="17">
        <f>IFERROR(__xludf.DUMMYFUNCTION("""COMPUTED_VALUE"""),34.0)</f>
        <v>34</v>
      </c>
      <c r="N179" s="16">
        <f>IFERROR(__xludf.DUMMYFUNCTION("""COMPUTED_VALUE"""),16.25)</f>
        <v>16.25</v>
      </c>
      <c r="O179" s="14" t="str">
        <f t="shared" si="4"/>
        <v>0.271</v>
      </c>
      <c r="Q179" s="10">
        <f t="shared" si="5"/>
        <v>-20.79361111</v>
      </c>
      <c r="R179" s="10">
        <f t="shared" si="6"/>
        <v>-44.57111111</v>
      </c>
    </row>
    <row r="180">
      <c r="A180" s="10" t="s">
        <v>596</v>
      </c>
      <c r="B180" s="10" t="s">
        <v>597</v>
      </c>
      <c r="C180" s="10" t="s">
        <v>598</v>
      </c>
      <c r="D180" s="13">
        <v>179.0</v>
      </c>
      <c r="E180" s="14" t="str">
        <f t="shared" si="10"/>
        <v>1951.077S</v>
      </c>
      <c r="F180" s="14" t="str">
        <f t="shared" si="11"/>
        <v>04337.558W</v>
      </c>
      <c r="G180" s="14" t="str">
        <f>IFERROR(__xludf.DUMMYFUNCTION("SPLIT($B180,"" "")"),"S19")</f>
        <v>S19</v>
      </c>
      <c r="H180" s="15">
        <f>IFERROR(__xludf.DUMMYFUNCTION("""COMPUTED_VALUE"""),51.0)</f>
        <v>51</v>
      </c>
      <c r="I180" s="16">
        <f>IFERROR(__xludf.DUMMYFUNCTION("""COMPUTED_VALUE"""),4.6)</f>
        <v>4.6</v>
      </c>
      <c r="J180" s="14" t="str">
        <f t="shared" si="12"/>
        <v>0.077</v>
      </c>
      <c r="K180" s="14"/>
      <c r="L180" s="14" t="str">
        <f>IFERROR(__xludf.DUMMYFUNCTION("SPLIT($C180,"" "")"),"W043")</f>
        <v>W043</v>
      </c>
      <c r="M180" s="17">
        <f>IFERROR(__xludf.DUMMYFUNCTION("""COMPUTED_VALUE"""),37.0)</f>
        <v>37</v>
      </c>
      <c r="N180" s="16">
        <f>IFERROR(__xludf.DUMMYFUNCTION("""COMPUTED_VALUE"""),33.48)</f>
        <v>33.48</v>
      </c>
      <c r="O180" s="14" t="str">
        <f t="shared" si="4"/>
        <v>0.558</v>
      </c>
      <c r="Q180" s="10">
        <f t="shared" si="5"/>
        <v>-19.85111111</v>
      </c>
      <c r="R180" s="10">
        <f t="shared" si="6"/>
        <v>-43.62583333</v>
      </c>
    </row>
    <row r="181">
      <c r="A181" s="10" t="s">
        <v>599</v>
      </c>
      <c r="B181" s="10" t="s">
        <v>600</v>
      </c>
      <c r="C181" s="10" t="s">
        <v>601</v>
      </c>
      <c r="D181" s="13">
        <v>180.0</v>
      </c>
      <c r="E181" s="14" t="str">
        <f t="shared" si="10"/>
        <v>1942.210S</v>
      </c>
      <c r="F181" s="14" t="str">
        <f t="shared" si="11"/>
        <v>04345.790W</v>
      </c>
      <c r="G181" s="14" t="str">
        <f>IFERROR(__xludf.DUMMYFUNCTION("SPLIT($B181,"" "")"),"S19")</f>
        <v>S19</v>
      </c>
      <c r="H181" s="15">
        <f>IFERROR(__xludf.DUMMYFUNCTION("""COMPUTED_VALUE"""),42.0)</f>
        <v>42</v>
      </c>
      <c r="I181" s="16">
        <f>IFERROR(__xludf.DUMMYFUNCTION("""COMPUTED_VALUE"""),12.57)</f>
        <v>12.57</v>
      </c>
      <c r="J181" s="14" t="str">
        <f t="shared" si="12"/>
        <v>0.210</v>
      </c>
      <c r="K181" s="14"/>
      <c r="L181" s="14" t="str">
        <f>IFERROR(__xludf.DUMMYFUNCTION("SPLIT($C181,"" "")"),"W043")</f>
        <v>W043</v>
      </c>
      <c r="M181" s="17">
        <f>IFERROR(__xludf.DUMMYFUNCTION("""COMPUTED_VALUE"""),45.0)</f>
        <v>45</v>
      </c>
      <c r="N181" s="16">
        <f>IFERROR(__xludf.DUMMYFUNCTION("""COMPUTED_VALUE"""),47.39)</f>
        <v>47.39</v>
      </c>
      <c r="O181" s="14" t="str">
        <f t="shared" si="4"/>
        <v>0.790</v>
      </c>
      <c r="Q181" s="10">
        <f t="shared" si="5"/>
        <v>-19.70333333</v>
      </c>
      <c r="R181" s="10">
        <f t="shared" si="6"/>
        <v>-43.76305556</v>
      </c>
    </row>
    <row r="182">
      <c r="A182" s="10" t="s">
        <v>602</v>
      </c>
      <c r="B182" s="10" t="s">
        <v>603</v>
      </c>
      <c r="C182" s="10" t="s">
        <v>604</v>
      </c>
      <c r="D182" s="13">
        <v>181.0</v>
      </c>
      <c r="E182" s="14" t="str">
        <f t="shared" si="10"/>
        <v>2127.451S</v>
      </c>
      <c r="F182" s="14" t="str">
        <f t="shared" si="11"/>
        <v>04409.176W</v>
      </c>
      <c r="G182" s="14" t="str">
        <f>IFERROR(__xludf.DUMMYFUNCTION("SPLIT($B182,"" "")"),"S21")</f>
        <v>S21</v>
      </c>
      <c r="H182" s="15">
        <f>IFERROR(__xludf.DUMMYFUNCTION("""COMPUTED_VALUE"""),27.0)</f>
        <v>27</v>
      </c>
      <c r="I182" s="16">
        <f>IFERROR(__xludf.DUMMYFUNCTION("""COMPUTED_VALUE"""),27.08)</f>
        <v>27.08</v>
      </c>
      <c r="J182" s="14" t="str">
        <f t="shared" si="12"/>
        <v>0.451</v>
      </c>
      <c r="K182" s="14"/>
      <c r="L182" s="14" t="str">
        <f>IFERROR(__xludf.DUMMYFUNCTION("SPLIT($C182,"" "")"),"W044")</f>
        <v>W044</v>
      </c>
      <c r="M182" s="17">
        <f>IFERROR(__xludf.DUMMYFUNCTION("""COMPUTED_VALUE"""),9.0)</f>
        <v>9</v>
      </c>
      <c r="N182" s="16">
        <f>IFERROR(__xludf.DUMMYFUNCTION("""COMPUTED_VALUE"""),10.54)</f>
        <v>10.54</v>
      </c>
      <c r="O182" s="14" t="str">
        <f t="shared" si="4"/>
        <v>0.176</v>
      </c>
      <c r="Q182" s="10">
        <f t="shared" si="5"/>
        <v>-21.4575</v>
      </c>
      <c r="R182" s="10">
        <f t="shared" si="6"/>
        <v>-44.15277778</v>
      </c>
    </row>
    <row r="183">
      <c r="A183" s="10" t="s">
        <v>78</v>
      </c>
      <c r="B183" s="10" t="s">
        <v>605</v>
      </c>
      <c r="C183" s="10" t="s">
        <v>606</v>
      </c>
      <c r="D183" s="13">
        <v>182.0</v>
      </c>
      <c r="E183" s="14" t="str">
        <f t="shared" si="10"/>
        <v>1931.882S</v>
      </c>
      <c r="F183" s="14" t="str">
        <f t="shared" si="11"/>
        <v>04452.917W</v>
      </c>
      <c r="G183" s="14" t="str">
        <f>IFERROR(__xludf.DUMMYFUNCTION("SPLIT($B183,"" "")"),"S19")</f>
        <v>S19</v>
      </c>
      <c r="H183" s="15">
        <f>IFERROR(__xludf.DUMMYFUNCTION("""COMPUTED_VALUE"""),31.0)</f>
        <v>31</v>
      </c>
      <c r="I183" s="16">
        <f>IFERROR(__xludf.DUMMYFUNCTION("""COMPUTED_VALUE"""),52.92)</f>
        <v>52.92</v>
      </c>
      <c r="J183" s="14" t="str">
        <f t="shared" si="12"/>
        <v>0.882</v>
      </c>
      <c r="K183" s="14"/>
      <c r="L183" s="14" t="str">
        <f>IFERROR(__xludf.DUMMYFUNCTION("SPLIT($C183,"" "")"),"W044")</f>
        <v>W044</v>
      </c>
      <c r="M183" s="17">
        <f>IFERROR(__xludf.DUMMYFUNCTION("""COMPUTED_VALUE"""),52.0)</f>
        <v>52</v>
      </c>
      <c r="N183" s="16">
        <f>IFERROR(__xludf.DUMMYFUNCTION("""COMPUTED_VALUE"""),55.0)</f>
        <v>55</v>
      </c>
      <c r="O183" s="14" t="str">
        <f t="shared" si="4"/>
        <v>0.917</v>
      </c>
      <c r="Q183" s="10">
        <f t="shared" si="5"/>
        <v>-19.53111111</v>
      </c>
      <c r="R183" s="10">
        <f t="shared" si="6"/>
        <v>-44.88194444</v>
      </c>
    </row>
    <row r="184">
      <c r="A184" s="10" t="s">
        <v>607</v>
      </c>
      <c r="B184" s="10" t="s">
        <v>608</v>
      </c>
      <c r="C184" s="10" t="s">
        <v>609</v>
      </c>
      <c r="D184" s="13">
        <v>183.0</v>
      </c>
      <c r="E184" s="14" t="str">
        <f t="shared" si="10"/>
        <v>1939.380S</v>
      </c>
      <c r="F184" s="14" t="str">
        <f t="shared" si="11"/>
        <v>04307.020W</v>
      </c>
      <c r="G184" s="14" t="str">
        <f>IFERROR(__xludf.DUMMYFUNCTION("SPLIT($B184,"" "")"),"S19")</f>
        <v>S19</v>
      </c>
      <c r="H184" s="15">
        <f>IFERROR(__xludf.DUMMYFUNCTION("""COMPUTED_VALUE"""),39.0)</f>
        <v>39</v>
      </c>
      <c r="I184" s="16">
        <f>IFERROR(__xludf.DUMMYFUNCTION("""COMPUTED_VALUE"""),22.8)</f>
        <v>22.8</v>
      </c>
      <c r="J184" s="14" t="str">
        <f t="shared" si="12"/>
        <v>0.380</v>
      </c>
      <c r="K184" s="14"/>
      <c r="L184" s="14" t="str">
        <f>IFERROR(__xludf.DUMMYFUNCTION("SPLIT($C184,"" "")"),"W043")</f>
        <v>W043</v>
      </c>
      <c r="M184" s="17">
        <f>IFERROR(__xludf.DUMMYFUNCTION("""COMPUTED_VALUE"""),7.0)</f>
        <v>7</v>
      </c>
      <c r="N184" s="16">
        <f>IFERROR(__xludf.DUMMYFUNCTION("""COMPUTED_VALUE"""),1.2)</f>
        <v>1.2</v>
      </c>
      <c r="O184" s="14" t="str">
        <f t="shared" si="4"/>
        <v>0.020</v>
      </c>
      <c r="Q184" s="10">
        <f t="shared" si="5"/>
        <v>-19.65611111</v>
      </c>
      <c r="R184" s="10">
        <f t="shared" si="6"/>
        <v>-43.11694444</v>
      </c>
    </row>
    <row r="185">
      <c r="A185" s="10" t="s">
        <v>610</v>
      </c>
      <c r="B185" s="10" t="s">
        <v>611</v>
      </c>
      <c r="C185" s="10" t="s">
        <v>612</v>
      </c>
      <c r="D185" s="13">
        <v>184.0</v>
      </c>
      <c r="E185" s="14" t="str">
        <f t="shared" si="10"/>
        <v>1724.140S</v>
      </c>
      <c r="F185" s="14" t="str">
        <f t="shared" si="11"/>
        <v>04501.450W</v>
      </c>
      <c r="G185" s="14" t="str">
        <f>IFERROR(__xludf.DUMMYFUNCTION("SPLIT($B185,"" "")"),"S17")</f>
        <v>S17</v>
      </c>
      <c r="H185" s="15">
        <f>IFERROR(__xludf.DUMMYFUNCTION("""COMPUTED_VALUE"""),24.0)</f>
        <v>24</v>
      </c>
      <c r="I185" s="16">
        <f>IFERROR(__xludf.DUMMYFUNCTION("""COMPUTED_VALUE"""),8.4)</f>
        <v>8.4</v>
      </c>
      <c r="J185" s="14" t="str">
        <f t="shared" si="12"/>
        <v>0.140</v>
      </c>
      <c r="K185" s="14"/>
      <c r="L185" s="14" t="str">
        <f>IFERROR(__xludf.DUMMYFUNCTION("SPLIT($C185,"" "")"),"W045")</f>
        <v>W045</v>
      </c>
      <c r="M185" s="17">
        <f>IFERROR(__xludf.DUMMYFUNCTION("""COMPUTED_VALUE"""),1.0)</f>
        <v>1</v>
      </c>
      <c r="N185" s="16">
        <f>IFERROR(__xludf.DUMMYFUNCTION("""COMPUTED_VALUE"""),27.0)</f>
        <v>27</v>
      </c>
      <c r="O185" s="14" t="str">
        <f t="shared" si="4"/>
        <v>0.450</v>
      </c>
      <c r="Q185" s="10">
        <f t="shared" si="5"/>
        <v>-17.40222222</v>
      </c>
      <c r="R185" s="10">
        <f t="shared" si="6"/>
        <v>-45.02416667</v>
      </c>
    </row>
    <row r="186">
      <c r="A186" s="10" t="s">
        <v>613</v>
      </c>
      <c r="B186" s="10" t="s">
        <v>614</v>
      </c>
      <c r="C186" s="10" t="s">
        <v>615</v>
      </c>
      <c r="D186" s="13">
        <v>185.0</v>
      </c>
      <c r="E186" s="14" t="str">
        <f t="shared" si="10"/>
        <v>2018.603S</v>
      </c>
      <c r="F186" s="14" t="str">
        <f t="shared" si="11"/>
        <v>04533.456W</v>
      </c>
      <c r="G186" s="14" t="str">
        <f>IFERROR(__xludf.DUMMYFUNCTION("SPLIT($B186,"" "")"),"S20")</f>
        <v>S20</v>
      </c>
      <c r="H186" s="15">
        <f>IFERROR(__xludf.DUMMYFUNCTION("""COMPUTED_VALUE"""),18.0)</f>
        <v>18</v>
      </c>
      <c r="I186" s="16">
        <f>IFERROR(__xludf.DUMMYFUNCTION("""COMPUTED_VALUE"""),36.18)</f>
        <v>36.18</v>
      </c>
      <c r="J186" s="14" t="str">
        <f t="shared" si="12"/>
        <v>0.603</v>
      </c>
      <c r="K186" s="14"/>
      <c r="L186" s="14" t="str">
        <f>IFERROR(__xludf.DUMMYFUNCTION("SPLIT($C186,"" "")"),"W045")</f>
        <v>W045</v>
      </c>
      <c r="M186" s="17">
        <f>IFERROR(__xludf.DUMMYFUNCTION("""COMPUTED_VALUE"""),33.0)</f>
        <v>33</v>
      </c>
      <c r="N186" s="16">
        <f>IFERROR(__xludf.DUMMYFUNCTION("""COMPUTED_VALUE"""),27.36)</f>
        <v>27.36</v>
      </c>
      <c r="O186" s="14" t="str">
        <f t="shared" si="4"/>
        <v>0.456</v>
      </c>
      <c r="Q186" s="10">
        <f t="shared" si="5"/>
        <v>-20.31</v>
      </c>
      <c r="R186" s="10">
        <f t="shared" si="6"/>
        <v>-45.5575</v>
      </c>
    </row>
    <row r="187">
      <c r="A187" s="10" t="s">
        <v>616</v>
      </c>
      <c r="B187" s="10" t="s">
        <v>617</v>
      </c>
      <c r="C187" s="10" t="s">
        <v>618</v>
      </c>
      <c r="D187" s="13">
        <v>186.0</v>
      </c>
      <c r="E187" s="14" t="str">
        <f t="shared" si="10"/>
        <v>1823.256S</v>
      </c>
      <c r="F187" s="14" t="str">
        <f t="shared" si="11"/>
        <v>04307.837W</v>
      </c>
      <c r="G187" s="14" t="str">
        <f>IFERROR(__xludf.DUMMYFUNCTION("SPLIT($B187,"" "")"),"S18")</f>
        <v>S18</v>
      </c>
      <c r="H187" s="15">
        <f>IFERROR(__xludf.DUMMYFUNCTION("""COMPUTED_VALUE"""),23.0)</f>
        <v>23</v>
      </c>
      <c r="I187" s="16">
        <f>IFERROR(__xludf.DUMMYFUNCTION("""COMPUTED_VALUE"""),15.33)</f>
        <v>15.33</v>
      </c>
      <c r="J187" s="14" t="str">
        <f t="shared" si="12"/>
        <v>0.256</v>
      </c>
      <c r="K187" s="14"/>
      <c r="L187" s="14" t="str">
        <f>IFERROR(__xludf.DUMMYFUNCTION("SPLIT($C187,"" "")"),"W043")</f>
        <v>W043</v>
      </c>
      <c r="M187" s="17">
        <f>IFERROR(__xludf.DUMMYFUNCTION("""COMPUTED_VALUE"""),7.0)</f>
        <v>7</v>
      </c>
      <c r="N187" s="16">
        <f>IFERROR(__xludf.DUMMYFUNCTION("""COMPUTED_VALUE"""),50.22)</f>
        <v>50.22</v>
      </c>
      <c r="O187" s="14" t="str">
        <f t="shared" si="4"/>
        <v>0.837</v>
      </c>
      <c r="Q187" s="10">
        <f t="shared" si="5"/>
        <v>-18.3875</v>
      </c>
      <c r="R187" s="10">
        <f t="shared" si="6"/>
        <v>-43.13055556</v>
      </c>
    </row>
    <row r="188">
      <c r="A188" s="10" t="s">
        <v>619</v>
      </c>
      <c r="B188" s="10" t="s">
        <v>620</v>
      </c>
      <c r="C188" s="10" t="s">
        <v>621</v>
      </c>
      <c r="D188" s="13">
        <v>187.0</v>
      </c>
      <c r="E188" s="14" t="str">
        <f t="shared" si="10"/>
        <v>1926.074S</v>
      </c>
      <c r="F188" s="14" t="str">
        <f t="shared" si="11"/>
        <v>04409.150W</v>
      </c>
      <c r="G188" s="14" t="str">
        <f>IFERROR(__xludf.DUMMYFUNCTION("SPLIT($B188,"" "")"),"S19")</f>
        <v>S19</v>
      </c>
      <c r="H188" s="15">
        <f>IFERROR(__xludf.DUMMYFUNCTION("""COMPUTED_VALUE"""),26.0)</f>
        <v>26</v>
      </c>
      <c r="I188" s="16">
        <f>IFERROR(__xludf.DUMMYFUNCTION("""COMPUTED_VALUE"""),4.45)</f>
        <v>4.45</v>
      </c>
      <c r="J188" s="14" t="str">
        <f t="shared" si="12"/>
        <v>0.074</v>
      </c>
      <c r="K188" s="14"/>
      <c r="L188" s="14" t="str">
        <f>IFERROR(__xludf.DUMMYFUNCTION("SPLIT($C188,"" "")"),"W044")</f>
        <v>W044</v>
      </c>
      <c r="M188" s="17">
        <f>IFERROR(__xludf.DUMMYFUNCTION("""COMPUTED_VALUE"""),9.0)</f>
        <v>9</v>
      </c>
      <c r="N188" s="16">
        <f>IFERROR(__xludf.DUMMYFUNCTION("""COMPUTED_VALUE"""),8.98)</f>
        <v>8.98</v>
      </c>
      <c r="O188" s="14" t="str">
        <f t="shared" si="4"/>
        <v>0.150</v>
      </c>
      <c r="Q188" s="10">
        <f t="shared" si="5"/>
        <v>-19.43444444</v>
      </c>
      <c r="R188" s="10">
        <f t="shared" si="6"/>
        <v>-44.15222222</v>
      </c>
    </row>
    <row r="189">
      <c r="A189" s="10" t="s">
        <v>622</v>
      </c>
      <c r="B189" s="10" t="s">
        <v>623</v>
      </c>
      <c r="C189" s="10" t="s">
        <v>624</v>
      </c>
      <c r="D189" s="13">
        <v>188.0</v>
      </c>
      <c r="E189" s="14" t="str">
        <f t="shared" si="10"/>
        <v>1806.353S</v>
      </c>
      <c r="F189" s="14" t="str">
        <f t="shared" si="11"/>
        <v>04340.205W</v>
      </c>
      <c r="G189" s="14" t="str">
        <f>IFERROR(__xludf.DUMMYFUNCTION("SPLIT($B189,"" "")"),"S18")</f>
        <v>S18</v>
      </c>
      <c r="H189" s="15">
        <f>IFERROR(__xludf.DUMMYFUNCTION("""COMPUTED_VALUE"""),6.0)</f>
        <v>6</v>
      </c>
      <c r="I189" s="16">
        <f>IFERROR(__xludf.DUMMYFUNCTION("""COMPUTED_VALUE"""),21.2)</f>
        <v>21.2</v>
      </c>
      <c r="J189" s="14" t="str">
        <f t="shared" si="12"/>
        <v>0.353</v>
      </c>
      <c r="K189" s="14"/>
      <c r="L189" s="14" t="str">
        <f>IFERROR(__xludf.DUMMYFUNCTION("SPLIT($C189,"" "")"),"W043")</f>
        <v>W043</v>
      </c>
      <c r="M189" s="17">
        <f>IFERROR(__xludf.DUMMYFUNCTION("""COMPUTED_VALUE"""),40.0)</f>
        <v>40</v>
      </c>
      <c r="N189" s="16">
        <f>IFERROR(__xludf.DUMMYFUNCTION("""COMPUTED_VALUE"""),12.27)</f>
        <v>12.27</v>
      </c>
      <c r="O189" s="14" t="str">
        <f t="shared" si="4"/>
        <v>0.205</v>
      </c>
      <c r="Q189" s="10">
        <f t="shared" si="5"/>
        <v>-18.10583333</v>
      </c>
      <c r="R189" s="10">
        <f t="shared" si="6"/>
        <v>-43.67</v>
      </c>
    </row>
    <row r="190">
      <c r="A190" s="10" t="s">
        <v>625</v>
      </c>
      <c r="B190" s="10" t="s">
        <v>626</v>
      </c>
      <c r="C190" s="10" t="s">
        <v>627</v>
      </c>
      <c r="D190" s="13">
        <v>189.0</v>
      </c>
      <c r="E190" s="14" t="str">
        <f t="shared" si="10"/>
        <v>1933.538S</v>
      </c>
      <c r="F190" s="14" t="str">
        <f t="shared" si="11"/>
        <v>04229.302W</v>
      </c>
      <c r="G190" s="14" t="str">
        <f>IFERROR(__xludf.DUMMYFUNCTION("SPLIT($B190,"" "")"),"S19")</f>
        <v>S19</v>
      </c>
      <c r="H190" s="15">
        <f>IFERROR(__xludf.DUMMYFUNCTION("""COMPUTED_VALUE"""),33.0)</f>
        <v>33</v>
      </c>
      <c r="I190" s="16">
        <f>IFERROR(__xludf.DUMMYFUNCTION("""COMPUTED_VALUE"""),32.28)</f>
        <v>32.28</v>
      </c>
      <c r="J190" s="14" t="str">
        <f t="shared" si="12"/>
        <v>0.538</v>
      </c>
      <c r="K190" s="14"/>
      <c r="L190" s="14" t="str">
        <f>IFERROR(__xludf.DUMMYFUNCTION("SPLIT($C190,"" "")"),"W042")</f>
        <v>W042</v>
      </c>
      <c r="M190" s="17">
        <f>IFERROR(__xludf.DUMMYFUNCTION("""COMPUTED_VALUE"""),29.0)</f>
        <v>29</v>
      </c>
      <c r="N190" s="16">
        <f>IFERROR(__xludf.DUMMYFUNCTION("""COMPUTED_VALUE"""),18.09)</f>
        <v>18.09</v>
      </c>
      <c r="O190" s="14" t="str">
        <f t="shared" si="4"/>
        <v>0.302</v>
      </c>
      <c r="Q190" s="10">
        <f t="shared" si="5"/>
        <v>-19.55888889</v>
      </c>
      <c r="R190" s="10">
        <f t="shared" si="6"/>
        <v>-42.48833333</v>
      </c>
    </row>
    <row r="191">
      <c r="A191" s="10" t="s">
        <v>628</v>
      </c>
      <c r="B191" s="10" t="s">
        <v>629</v>
      </c>
      <c r="C191" s="10" t="s">
        <v>630</v>
      </c>
      <c r="D191" s="13">
        <v>190.0</v>
      </c>
      <c r="E191" s="14" t="str">
        <f t="shared" si="10"/>
        <v>1906.300S</v>
      </c>
      <c r="F191" s="14" t="str">
        <f t="shared" si="11"/>
        <v>04226.438W</v>
      </c>
      <c r="G191" s="14" t="str">
        <f>IFERROR(__xludf.DUMMYFUNCTION("SPLIT($B191,"" "")"),"S19")</f>
        <v>S19</v>
      </c>
      <c r="H191" s="15">
        <f>IFERROR(__xludf.DUMMYFUNCTION("""COMPUTED_VALUE"""),6.0)</f>
        <v>6</v>
      </c>
      <c r="I191" s="16">
        <f>IFERROR(__xludf.DUMMYFUNCTION("""COMPUTED_VALUE"""),18.0)</f>
        <v>18</v>
      </c>
      <c r="J191" s="14" t="str">
        <f t="shared" si="12"/>
        <v>0.300</v>
      </c>
      <c r="K191" s="14"/>
      <c r="L191" s="14" t="str">
        <f>IFERROR(__xludf.DUMMYFUNCTION("SPLIT($C191,"" "")"),"W042")</f>
        <v>W042</v>
      </c>
      <c r="M191" s="17">
        <f>IFERROR(__xludf.DUMMYFUNCTION("""COMPUTED_VALUE"""),26.0)</f>
        <v>26</v>
      </c>
      <c r="N191" s="16">
        <f>IFERROR(__xludf.DUMMYFUNCTION("""COMPUTED_VALUE"""),26.27)</f>
        <v>26.27</v>
      </c>
      <c r="O191" s="14" t="str">
        <f t="shared" si="4"/>
        <v>0.438</v>
      </c>
      <c r="Q191" s="10">
        <f t="shared" si="5"/>
        <v>-19.105</v>
      </c>
      <c r="R191" s="10">
        <f t="shared" si="6"/>
        <v>-42.44055556</v>
      </c>
    </row>
    <row r="192">
      <c r="A192" s="10" t="s">
        <v>631</v>
      </c>
      <c r="B192" s="10" t="s">
        <v>632</v>
      </c>
      <c r="C192" s="10" t="s">
        <v>633</v>
      </c>
      <c r="D192" s="13">
        <v>191.0</v>
      </c>
      <c r="E192" s="14" t="str">
        <f t="shared" si="10"/>
        <v>1826.280S</v>
      </c>
      <c r="F192" s="14" t="str">
        <f t="shared" si="11"/>
        <v>04534.280W</v>
      </c>
      <c r="G192" s="14" t="str">
        <f>IFERROR(__xludf.DUMMYFUNCTION("SPLIT($B192,"" "")"),"S18")</f>
        <v>S18</v>
      </c>
      <c r="H192" s="15">
        <f>IFERROR(__xludf.DUMMYFUNCTION("""COMPUTED_VALUE"""),26.0)</f>
        <v>26</v>
      </c>
      <c r="I192" s="16">
        <f>IFERROR(__xludf.DUMMYFUNCTION("""COMPUTED_VALUE"""),16.8)</f>
        <v>16.8</v>
      </c>
      <c r="J192" s="14" t="str">
        <f t="shared" si="12"/>
        <v>0.280</v>
      </c>
      <c r="K192" s="14"/>
      <c r="L192" s="14" t="str">
        <f>IFERROR(__xludf.DUMMYFUNCTION("SPLIT($C192,"" "")"),"W045")</f>
        <v>W045</v>
      </c>
      <c r="M192" s="17">
        <f>IFERROR(__xludf.DUMMYFUNCTION("""COMPUTED_VALUE"""),34.0)</f>
        <v>34</v>
      </c>
      <c r="N192" s="16">
        <f>IFERROR(__xludf.DUMMYFUNCTION("""COMPUTED_VALUE"""),16.8)</f>
        <v>16.8</v>
      </c>
      <c r="O192" s="14" t="str">
        <f t="shared" si="4"/>
        <v>0.280</v>
      </c>
      <c r="Q192" s="10">
        <f t="shared" si="5"/>
        <v>-18.43777778</v>
      </c>
      <c r="R192" s="10">
        <f t="shared" si="6"/>
        <v>-45.57111111</v>
      </c>
    </row>
    <row r="193">
      <c r="A193" s="10" t="s">
        <v>634</v>
      </c>
      <c r="B193" s="10" t="s">
        <v>635</v>
      </c>
      <c r="C193" s="10" t="s">
        <v>636</v>
      </c>
      <c r="D193" s="13">
        <v>192.0</v>
      </c>
      <c r="E193" s="14" t="str">
        <f t="shared" si="10"/>
        <v>1803.280S</v>
      </c>
      <c r="F193" s="14" t="str">
        <f t="shared" si="11"/>
        <v>04426.030W</v>
      </c>
      <c r="G193" s="14" t="str">
        <f>IFERROR(__xludf.DUMMYFUNCTION("SPLIT($B193,"" "")"),"S18")</f>
        <v>S18</v>
      </c>
      <c r="H193" s="15">
        <f>IFERROR(__xludf.DUMMYFUNCTION("""COMPUTED_VALUE"""),3.0)</f>
        <v>3</v>
      </c>
      <c r="I193" s="16">
        <f>IFERROR(__xludf.DUMMYFUNCTION("""COMPUTED_VALUE"""),16.8)</f>
        <v>16.8</v>
      </c>
      <c r="J193" s="14" t="str">
        <f t="shared" si="12"/>
        <v>0.280</v>
      </c>
      <c r="K193" s="14"/>
      <c r="L193" s="14" t="str">
        <f>IFERROR(__xludf.DUMMYFUNCTION("SPLIT($C193,"" "")"),"W044")</f>
        <v>W044</v>
      </c>
      <c r="M193" s="17">
        <f>IFERROR(__xludf.DUMMYFUNCTION("""COMPUTED_VALUE"""),26.0)</f>
        <v>26</v>
      </c>
      <c r="N193" s="16">
        <f>IFERROR(__xludf.DUMMYFUNCTION("""COMPUTED_VALUE"""),1.8)</f>
        <v>1.8</v>
      </c>
      <c r="O193" s="14" t="str">
        <f t="shared" si="4"/>
        <v>0.030</v>
      </c>
      <c r="Q193" s="10">
        <f t="shared" si="5"/>
        <v>-18.05444444</v>
      </c>
      <c r="R193" s="10">
        <f t="shared" si="6"/>
        <v>-44.43361111</v>
      </c>
    </row>
    <row r="194">
      <c r="A194" s="1" t="s">
        <v>637</v>
      </c>
      <c r="B194" s="10" t="s">
        <v>638</v>
      </c>
      <c r="C194" s="10" t="s">
        <v>639</v>
      </c>
      <c r="D194" s="13">
        <v>193.0</v>
      </c>
      <c r="E194" s="14" t="str">
        <f t="shared" si="10"/>
        <v>1937.411S</v>
      </c>
      <c r="F194" s="14" t="str">
        <f t="shared" si="11"/>
        <v>04358.691W</v>
      </c>
      <c r="G194" s="14" t="str">
        <f>IFERROR(__xludf.DUMMYFUNCTION("SPLIT($B194,"" "")"),"S19")</f>
        <v>S19</v>
      </c>
      <c r="H194" s="15">
        <f>IFERROR(__xludf.DUMMYFUNCTION("""COMPUTED_VALUE"""),37.0)</f>
        <v>37</v>
      </c>
      <c r="I194" s="16">
        <f>IFERROR(__xludf.DUMMYFUNCTION("""COMPUTED_VALUE"""),24.68)</f>
        <v>24.68</v>
      </c>
      <c r="J194" s="14" t="str">
        <f t="shared" si="12"/>
        <v>0.411</v>
      </c>
      <c r="K194" s="14"/>
      <c r="L194" s="14" t="str">
        <f>IFERROR(__xludf.DUMMYFUNCTION("SPLIT($C194,"" "")"),"W043")</f>
        <v>W043</v>
      </c>
      <c r="M194" s="17">
        <f>IFERROR(__xludf.DUMMYFUNCTION("""COMPUTED_VALUE"""),58.0)</f>
        <v>58</v>
      </c>
      <c r="N194" s="16">
        <f>IFERROR(__xludf.DUMMYFUNCTION("""COMPUTED_VALUE"""),41.44)</f>
        <v>41.44</v>
      </c>
      <c r="O194" s="14" t="str">
        <f t="shared" si="4"/>
        <v>0.691</v>
      </c>
      <c r="Q194" s="10">
        <f t="shared" si="5"/>
        <v>-19.62333333</v>
      </c>
      <c r="R194" s="10">
        <f t="shared" si="6"/>
        <v>-43.97805556</v>
      </c>
    </row>
    <row r="195">
      <c r="A195" s="1" t="s">
        <v>640</v>
      </c>
      <c r="B195" s="10" t="s">
        <v>641</v>
      </c>
      <c r="C195" s="10" t="s">
        <v>642</v>
      </c>
      <c r="D195" s="13">
        <v>194.0</v>
      </c>
      <c r="E195" s="14" t="str">
        <f t="shared" si="10"/>
        <v>1950.824S</v>
      </c>
      <c r="F195" s="14" t="str">
        <f t="shared" si="11"/>
        <v>04357.629W</v>
      </c>
      <c r="G195" s="14" t="str">
        <f>IFERROR(__xludf.DUMMYFUNCTION("SPLIT($B195,"" "")"),"S19")</f>
        <v>S19</v>
      </c>
      <c r="H195" s="15">
        <f>IFERROR(__xludf.DUMMYFUNCTION("""COMPUTED_VALUE"""),50.0)</f>
        <v>50</v>
      </c>
      <c r="I195" s="16">
        <f>IFERROR(__xludf.DUMMYFUNCTION("""COMPUTED_VALUE"""),49.43)</f>
        <v>49.43</v>
      </c>
      <c r="J195" s="14" t="str">
        <f t="shared" si="12"/>
        <v>0.824</v>
      </c>
      <c r="K195" s="14"/>
      <c r="L195" s="14" t="str">
        <f>IFERROR(__xludf.DUMMYFUNCTION("SPLIT($C195,"" "")"),"W043")</f>
        <v>W043</v>
      </c>
      <c r="M195" s="17">
        <f>IFERROR(__xludf.DUMMYFUNCTION("""COMPUTED_VALUE"""),57.0)</f>
        <v>57</v>
      </c>
      <c r="N195" s="16">
        <f>IFERROR(__xludf.DUMMYFUNCTION("""COMPUTED_VALUE"""),37.72)</f>
        <v>37.72</v>
      </c>
      <c r="O195" s="14" t="str">
        <f t="shared" si="4"/>
        <v>0.629</v>
      </c>
      <c r="Q195" s="10">
        <f t="shared" si="5"/>
        <v>-19.84694444</v>
      </c>
      <c r="R195" s="10">
        <f t="shared" si="6"/>
        <v>-43.96027778</v>
      </c>
    </row>
    <row r="196">
      <c r="A196" s="1" t="s">
        <v>643</v>
      </c>
      <c r="B196" s="10" t="s">
        <v>644</v>
      </c>
      <c r="C196" s="10" t="s">
        <v>645</v>
      </c>
      <c r="D196" s="13">
        <v>195.0</v>
      </c>
      <c r="E196" s="14" t="str">
        <f t="shared" si="10"/>
        <v>1951.277S</v>
      </c>
      <c r="F196" s="14" t="str">
        <f t="shared" si="11"/>
        <v>04356.364W</v>
      </c>
      <c r="G196" s="14" t="str">
        <f>IFERROR(__xludf.DUMMYFUNCTION("SPLIT($B196,"" "")"),"S19")</f>
        <v>S19</v>
      </c>
      <c r="H196" s="15">
        <f>IFERROR(__xludf.DUMMYFUNCTION("""COMPUTED_VALUE"""),51.0)</f>
        <v>51</v>
      </c>
      <c r="I196" s="16">
        <f>IFERROR(__xludf.DUMMYFUNCTION("""COMPUTED_VALUE"""),16.62)</f>
        <v>16.62</v>
      </c>
      <c r="J196" s="14" t="str">
        <f t="shared" si="12"/>
        <v>0.277</v>
      </c>
      <c r="K196" s="14"/>
      <c r="L196" s="14" t="str">
        <f>IFERROR(__xludf.DUMMYFUNCTION("SPLIT($C196,"" "")"),"W043")</f>
        <v>W043</v>
      </c>
      <c r="M196" s="17">
        <f>IFERROR(__xludf.DUMMYFUNCTION("""COMPUTED_VALUE"""),56.0)</f>
        <v>56</v>
      </c>
      <c r="N196" s="16">
        <f>IFERROR(__xludf.DUMMYFUNCTION("""COMPUTED_VALUE"""),21.84)</f>
        <v>21.84</v>
      </c>
      <c r="O196" s="14" t="str">
        <f t="shared" si="4"/>
        <v>0.364</v>
      </c>
      <c r="Q196" s="10">
        <f t="shared" si="5"/>
        <v>-19.85444444</v>
      </c>
      <c r="R196" s="10">
        <f t="shared" si="6"/>
        <v>-43.93916667</v>
      </c>
    </row>
    <row r="197">
      <c r="A197" s="10" t="s">
        <v>646</v>
      </c>
      <c r="B197" s="10" t="s">
        <v>647</v>
      </c>
      <c r="C197" s="10" t="s">
        <v>648</v>
      </c>
      <c r="D197" s="13">
        <v>196.0</v>
      </c>
      <c r="E197" s="14" t="str">
        <f t="shared" si="10"/>
        <v>1912.926S</v>
      </c>
      <c r="F197" s="14" t="str">
        <f t="shared" si="11"/>
        <v>04438.700W</v>
      </c>
      <c r="G197" s="14" t="str">
        <f>IFERROR(__xludf.DUMMYFUNCTION("SPLIT($B197,"" "")"),"S19")</f>
        <v>S19</v>
      </c>
      <c r="H197" s="15">
        <f>IFERROR(__xludf.DUMMYFUNCTION("""COMPUTED_VALUE"""),12.0)</f>
        <v>12</v>
      </c>
      <c r="I197" s="16">
        <f>IFERROR(__xludf.DUMMYFUNCTION("""COMPUTED_VALUE"""),55.55)</f>
        <v>55.55</v>
      </c>
      <c r="J197" s="14" t="str">
        <f t="shared" si="12"/>
        <v>0.926</v>
      </c>
      <c r="K197" s="14"/>
      <c r="L197" s="14" t="str">
        <f>IFERROR(__xludf.DUMMYFUNCTION("SPLIT($C197,"" "")"),"W044")</f>
        <v>W044</v>
      </c>
      <c r="M197" s="17">
        <f>IFERROR(__xludf.DUMMYFUNCTION("""COMPUTED_VALUE"""),38.0)</f>
        <v>38</v>
      </c>
      <c r="N197" s="16">
        <f>IFERROR(__xludf.DUMMYFUNCTION("""COMPUTED_VALUE"""),41.97)</f>
        <v>41.97</v>
      </c>
      <c r="O197" s="14" t="str">
        <f t="shared" si="4"/>
        <v>0.700</v>
      </c>
      <c r="Q197" s="10">
        <f t="shared" si="5"/>
        <v>-19.21527778</v>
      </c>
      <c r="R197" s="10">
        <f t="shared" si="6"/>
        <v>-44.64472222</v>
      </c>
    </row>
    <row r="198">
      <c r="A198" s="10" t="s">
        <v>649</v>
      </c>
      <c r="B198" s="10" t="s">
        <v>650</v>
      </c>
      <c r="C198" s="10" t="s">
        <v>651</v>
      </c>
      <c r="D198" s="13">
        <v>197.0</v>
      </c>
      <c r="E198" s="14" t="str">
        <f t="shared" si="10"/>
        <v>2020.752S</v>
      </c>
      <c r="F198" s="14" t="str">
        <f t="shared" si="11"/>
        <v>04428.315W</v>
      </c>
      <c r="G198" s="14" t="str">
        <f>IFERROR(__xludf.DUMMYFUNCTION("SPLIT($B198,"" "")"),"S20")</f>
        <v>S20</v>
      </c>
      <c r="H198" s="15">
        <f>IFERROR(__xludf.DUMMYFUNCTION("""COMPUTED_VALUE"""),20.0)</f>
        <v>20</v>
      </c>
      <c r="I198" s="16">
        <f>IFERROR(__xludf.DUMMYFUNCTION("""COMPUTED_VALUE"""),45.09)</f>
        <v>45.09</v>
      </c>
      <c r="J198" s="14" t="str">
        <f t="shared" si="12"/>
        <v>0.752</v>
      </c>
      <c r="K198" s="14"/>
      <c r="L198" s="14" t="str">
        <f>IFERROR(__xludf.DUMMYFUNCTION("SPLIT($C198,"" "")"),"W044")</f>
        <v>W044</v>
      </c>
      <c r="M198" s="17">
        <f>IFERROR(__xludf.DUMMYFUNCTION("""COMPUTED_VALUE"""),28.0)</f>
        <v>28</v>
      </c>
      <c r="N198" s="16">
        <f>IFERROR(__xludf.DUMMYFUNCTION("""COMPUTED_VALUE"""),18.92)</f>
        <v>18.92</v>
      </c>
      <c r="O198" s="14" t="str">
        <f t="shared" si="4"/>
        <v>0.315</v>
      </c>
      <c r="Q198" s="10">
        <f t="shared" si="5"/>
        <v>-20.34583333</v>
      </c>
      <c r="R198" s="10">
        <f t="shared" si="6"/>
        <v>-44.47166667</v>
      </c>
    </row>
    <row r="199">
      <c r="A199" s="10" t="s">
        <v>652</v>
      </c>
      <c r="B199" s="10" t="s">
        <v>653</v>
      </c>
      <c r="C199" s="10" t="s">
        <v>654</v>
      </c>
      <c r="D199" s="13">
        <v>198.0</v>
      </c>
      <c r="E199" s="14" t="str">
        <f t="shared" si="10"/>
        <v>1948.625S</v>
      </c>
      <c r="F199" s="14" t="str">
        <f t="shared" si="11"/>
        <v>04409.872W</v>
      </c>
      <c r="G199" s="14" t="str">
        <f>IFERROR(__xludf.DUMMYFUNCTION("SPLIT($B199,"" "")"),"S19")</f>
        <v>S19</v>
      </c>
      <c r="H199" s="15">
        <f>IFERROR(__xludf.DUMMYFUNCTION("""COMPUTED_VALUE"""),48.0)</f>
        <v>48</v>
      </c>
      <c r="I199" s="16">
        <f>IFERROR(__xludf.DUMMYFUNCTION("""COMPUTED_VALUE"""),37.52)</f>
        <v>37.52</v>
      </c>
      <c r="J199" s="14" t="str">
        <f t="shared" si="12"/>
        <v>0.625</v>
      </c>
      <c r="K199" s="14"/>
      <c r="L199" s="14" t="str">
        <f>IFERROR(__xludf.DUMMYFUNCTION("SPLIT($C199,"" "")"),"W044")</f>
        <v>W044</v>
      </c>
      <c r="M199" s="17">
        <f>IFERROR(__xludf.DUMMYFUNCTION("""COMPUTED_VALUE"""),9.0)</f>
        <v>9</v>
      </c>
      <c r="N199" s="16">
        <f>IFERROR(__xludf.DUMMYFUNCTION("""COMPUTED_VALUE"""),52.29)</f>
        <v>52.29</v>
      </c>
      <c r="O199" s="14" t="str">
        <f t="shared" si="4"/>
        <v>0.872</v>
      </c>
      <c r="Q199" s="10">
        <f t="shared" si="5"/>
        <v>-19.81027778</v>
      </c>
      <c r="R199" s="10">
        <f t="shared" si="6"/>
        <v>-44.16444444</v>
      </c>
    </row>
    <row r="200">
      <c r="A200" s="10" t="s">
        <v>655</v>
      </c>
      <c r="B200" s="10" t="s">
        <v>656</v>
      </c>
      <c r="C200" s="10" t="s">
        <v>657</v>
      </c>
      <c r="D200" s="13">
        <v>199.0</v>
      </c>
      <c r="E200" s="14" t="str">
        <f t="shared" si="10"/>
        <v>1943.636S</v>
      </c>
      <c r="F200" s="14" t="str">
        <f t="shared" si="11"/>
        <v>04355.220W</v>
      </c>
      <c r="G200" s="14" t="str">
        <f>IFERROR(__xludf.DUMMYFUNCTION("SPLIT($B200,"" "")"),"S19")</f>
        <v>S19</v>
      </c>
      <c r="H200" s="15">
        <f>IFERROR(__xludf.DUMMYFUNCTION("""COMPUTED_VALUE"""),43.0)</f>
        <v>43</v>
      </c>
      <c r="I200" s="16">
        <f>IFERROR(__xludf.DUMMYFUNCTION("""COMPUTED_VALUE"""),38.14)</f>
        <v>38.14</v>
      </c>
      <c r="J200" s="14" t="str">
        <f t="shared" si="12"/>
        <v>0.636</v>
      </c>
      <c r="K200" s="14"/>
      <c r="L200" s="14" t="str">
        <f>IFERROR(__xludf.DUMMYFUNCTION("SPLIT($C200,"" "")"),"W043")</f>
        <v>W043</v>
      </c>
      <c r="M200" s="17">
        <f>IFERROR(__xludf.DUMMYFUNCTION("""COMPUTED_VALUE"""),55.0)</f>
        <v>55</v>
      </c>
      <c r="N200" s="16">
        <f>IFERROR(__xludf.DUMMYFUNCTION("""COMPUTED_VALUE"""),13.19)</f>
        <v>13.19</v>
      </c>
      <c r="O200" s="14" t="str">
        <f t="shared" si="4"/>
        <v>0.220</v>
      </c>
      <c r="Q200" s="10">
        <f t="shared" si="5"/>
        <v>-19.72722222</v>
      </c>
      <c r="R200" s="10">
        <f t="shared" si="6"/>
        <v>-43.92027778</v>
      </c>
    </row>
    <row r="201">
      <c r="A201" s="10" t="s">
        <v>658</v>
      </c>
      <c r="B201" s="10" t="s">
        <v>659</v>
      </c>
      <c r="C201" s="10" t="s">
        <v>660</v>
      </c>
      <c r="D201" s="13">
        <v>200.0</v>
      </c>
      <c r="E201" s="14" t="str">
        <f t="shared" si="10"/>
        <v>1932.396S</v>
      </c>
      <c r="F201" s="14" t="str">
        <f t="shared" si="11"/>
        <v>04404.499W</v>
      </c>
      <c r="G201" s="14" t="str">
        <f>IFERROR(__xludf.DUMMYFUNCTION("SPLIT($B201,"" "")"),"S19")</f>
        <v>S19</v>
      </c>
      <c r="H201" s="15">
        <f>IFERROR(__xludf.DUMMYFUNCTION("""COMPUTED_VALUE"""),32.0)</f>
        <v>32</v>
      </c>
      <c r="I201" s="16">
        <f>IFERROR(__xludf.DUMMYFUNCTION("""COMPUTED_VALUE"""),23.78)</f>
        <v>23.78</v>
      </c>
      <c r="J201" s="14" t="str">
        <f t="shared" si="12"/>
        <v>0.396</v>
      </c>
      <c r="K201" s="14"/>
      <c r="L201" s="14" t="str">
        <f>IFERROR(__xludf.DUMMYFUNCTION("SPLIT($C201,"" "")"),"W044")</f>
        <v>W044</v>
      </c>
      <c r="M201" s="17">
        <f>IFERROR(__xludf.DUMMYFUNCTION("""COMPUTED_VALUE"""),4.0)</f>
        <v>4</v>
      </c>
      <c r="N201" s="16">
        <f>IFERROR(__xludf.DUMMYFUNCTION("""COMPUTED_VALUE"""),29.94)</f>
        <v>29.94</v>
      </c>
      <c r="O201" s="14" t="str">
        <f t="shared" si="4"/>
        <v>0.499</v>
      </c>
      <c r="Q201" s="10">
        <f t="shared" si="5"/>
        <v>-19.53972222</v>
      </c>
      <c r="R201" s="10">
        <f t="shared" si="6"/>
        <v>-44.07472222</v>
      </c>
    </row>
    <row r="202">
      <c r="A202" s="10" t="s">
        <v>661</v>
      </c>
      <c r="B202" s="10" t="s">
        <v>662</v>
      </c>
      <c r="C202" s="10" t="s">
        <v>663</v>
      </c>
      <c r="D202" s="13">
        <v>201.0</v>
      </c>
      <c r="E202" s="14" t="str">
        <f t="shared" si="10"/>
        <v>1935.646S</v>
      </c>
      <c r="F202" s="14" t="str">
        <f t="shared" si="11"/>
        <v>04401.821W</v>
      </c>
      <c r="G202" s="14" t="str">
        <f>IFERROR(__xludf.DUMMYFUNCTION("SPLIT($B202,"" "")"),"S19")</f>
        <v>S19</v>
      </c>
      <c r="H202" s="15">
        <f>IFERROR(__xludf.DUMMYFUNCTION("""COMPUTED_VALUE"""),35.0)</f>
        <v>35</v>
      </c>
      <c r="I202" s="16">
        <f>IFERROR(__xludf.DUMMYFUNCTION("""COMPUTED_VALUE"""),38.74)</f>
        <v>38.74</v>
      </c>
      <c r="J202" s="14" t="str">
        <f t="shared" si="12"/>
        <v>0.646</v>
      </c>
      <c r="K202" s="14"/>
      <c r="L202" s="14" t="str">
        <f>IFERROR(__xludf.DUMMYFUNCTION("SPLIT($C202,"" "")"),"W044")</f>
        <v>W044</v>
      </c>
      <c r="M202" s="17">
        <f>IFERROR(__xludf.DUMMYFUNCTION("""COMPUTED_VALUE"""),1.0)</f>
        <v>1</v>
      </c>
      <c r="N202" s="16">
        <f>IFERROR(__xludf.DUMMYFUNCTION("""COMPUTED_VALUE"""),49.24)</f>
        <v>49.24</v>
      </c>
      <c r="O202" s="14" t="str">
        <f t="shared" si="4"/>
        <v>0.821</v>
      </c>
      <c r="Q202" s="10">
        <f t="shared" si="5"/>
        <v>-19.59388889</v>
      </c>
      <c r="R202" s="10">
        <f t="shared" si="6"/>
        <v>-44.03027778</v>
      </c>
    </row>
    <row r="203">
      <c r="A203" s="10" t="s">
        <v>664</v>
      </c>
      <c r="B203" s="10" t="s">
        <v>665</v>
      </c>
      <c r="C203" s="10" t="s">
        <v>666</v>
      </c>
      <c r="D203" s="13">
        <v>202.0</v>
      </c>
      <c r="E203" s="14" t="str">
        <f t="shared" si="10"/>
        <v>1857.737S</v>
      </c>
      <c r="F203" s="14" t="str">
        <f t="shared" si="11"/>
        <v>04332.177W</v>
      </c>
      <c r="G203" s="14" t="str">
        <f>IFERROR(__xludf.DUMMYFUNCTION("SPLIT($B203,"" "")"),"S18")</f>
        <v>S18</v>
      </c>
      <c r="H203" s="15">
        <f>IFERROR(__xludf.DUMMYFUNCTION("""COMPUTED_VALUE"""),57.0)</f>
        <v>57</v>
      </c>
      <c r="I203" s="16">
        <f>IFERROR(__xludf.DUMMYFUNCTION("""COMPUTED_VALUE"""),44.2)</f>
        <v>44.2</v>
      </c>
      <c r="J203" s="14" t="str">
        <f t="shared" si="12"/>
        <v>0.737</v>
      </c>
      <c r="K203" s="14"/>
      <c r="L203" s="14" t="str">
        <f>IFERROR(__xludf.DUMMYFUNCTION("SPLIT($C203,"" "")"),"W043")</f>
        <v>W043</v>
      </c>
      <c r="M203" s="17">
        <f>IFERROR(__xludf.DUMMYFUNCTION("""COMPUTED_VALUE"""),32.0)</f>
        <v>32</v>
      </c>
      <c r="N203" s="16">
        <f>IFERROR(__xludf.DUMMYFUNCTION("""COMPUTED_VALUE"""),10.63)</f>
        <v>10.63</v>
      </c>
      <c r="O203" s="14" t="str">
        <f t="shared" si="4"/>
        <v>0.177</v>
      </c>
      <c r="Q203" s="10">
        <f t="shared" si="5"/>
        <v>-18.96222222</v>
      </c>
      <c r="R203" s="10">
        <f t="shared" si="6"/>
        <v>-43.53611111</v>
      </c>
    </row>
    <row r="204">
      <c r="A204" s="10" t="s">
        <v>667</v>
      </c>
      <c r="B204" s="10" t="s">
        <v>668</v>
      </c>
      <c r="C204" s="10" t="s">
        <v>669</v>
      </c>
      <c r="D204" s="13">
        <v>203.0</v>
      </c>
      <c r="E204" s="14" t="str">
        <f t="shared" si="10"/>
        <v>2000.836S</v>
      </c>
      <c r="F204" s="14" t="str">
        <f t="shared" si="11"/>
        <v>04309.433W</v>
      </c>
      <c r="G204" s="14" t="str">
        <f>IFERROR(__xludf.DUMMYFUNCTION("SPLIT($B204,"" "")"),"S20")</f>
        <v>S20</v>
      </c>
      <c r="H204" s="15">
        <f>IFERROR(__xludf.DUMMYFUNCTION("""COMPUTED_VALUE"""),0.0)</f>
        <v>0</v>
      </c>
      <c r="I204" s="16">
        <f>IFERROR(__xludf.DUMMYFUNCTION("""COMPUTED_VALUE"""),50.17)</f>
        <v>50.17</v>
      </c>
      <c r="J204" s="14" t="str">
        <f t="shared" si="12"/>
        <v>0.836</v>
      </c>
      <c r="K204" s="14"/>
      <c r="L204" s="14" t="str">
        <f>IFERROR(__xludf.DUMMYFUNCTION("SPLIT($C204,"" "")"),"W043")</f>
        <v>W043</v>
      </c>
      <c r="M204" s="17">
        <f>IFERROR(__xludf.DUMMYFUNCTION("""COMPUTED_VALUE"""),9.0)</f>
        <v>9</v>
      </c>
      <c r="N204" s="16">
        <f>IFERROR(__xludf.DUMMYFUNCTION("""COMPUTED_VALUE"""),25.97)</f>
        <v>25.97</v>
      </c>
      <c r="O204" s="14" t="str">
        <f t="shared" si="4"/>
        <v>0.433</v>
      </c>
      <c r="Q204" s="10">
        <f t="shared" si="5"/>
        <v>-20.01388889</v>
      </c>
      <c r="R204" s="10">
        <f t="shared" si="6"/>
        <v>-43.15694444</v>
      </c>
    </row>
    <row r="205">
      <c r="A205" s="10" t="s">
        <v>670</v>
      </c>
      <c r="B205" s="10" t="s">
        <v>671</v>
      </c>
      <c r="C205" s="10" t="s">
        <v>672</v>
      </c>
      <c r="D205" s="13">
        <v>204.0</v>
      </c>
      <c r="E205" s="14" t="str">
        <f t="shared" si="10"/>
        <v>1959.155S</v>
      </c>
      <c r="F205" s="14" t="str">
        <f t="shared" si="11"/>
        <v>04342.337W</v>
      </c>
      <c r="G205" s="14" t="str">
        <f>IFERROR(__xludf.DUMMYFUNCTION("SPLIT($B205,"" "")"),"S19")</f>
        <v>S19</v>
      </c>
      <c r="H205" s="15">
        <f>IFERROR(__xludf.DUMMYFUNCTION("""COMPUTED_VALUE"""),59.0)</f>
        <v>59</v>
      </c>
      <c r="I205" s="16">
        <f>IFERROR(__xludf.DUMMYFUNCTION("""COMPUTED_VALUE"""),9.3)</f>
        <v>9.3</v>
      </c>
      <c r="J205" s="14" t="str">
        <f t="shared" si="12"/>
        <v>0.155</v>
      </c>
      <c r="K205" s="14"/>
      <c r="L205" s="14" t="str">
        <f>IFERROR(__xludf.DUMMYFUNCTION("SPLIT($C205,"" "")"),"W043")</f>
        <v>W043</v>
      </c>
      <c r="M205" s="17">
        <f>IFERROR(__xludf.DUMMYFUNCTION("""COMPUTED_VALUE"""),42.0)</f>
        <v>42</v>
      </c>
      <c r="N205" s="16">
        <f>IFERROR(__xludf.DUMMYFUNCTION("""COMPUTED_VALUE"""),20.23)</f>
        <v>20.23</v>
      </c>
      <c r="O205" s="14" t="str">
        <f t="shared" si="4"/>
        <v>0.337</v>
      </c>
      <c r="Q205" s="10">
        <f t="shared" si="5"/>
        <v>-19.98583333</v>
      </c>
      <c r="R205" s="10">
        <f t="shared" si="6"/>
        <v>-43.70555556</v>
      </c>
    </row>
    <row r="206">
      <c r="A206" s="10" t="s">
        <v>673</v>
      </c>
      <c r="B206" s="10" t="s">
        <v>674</v>
      </c>
      <c r="C206" s="10" t="s">
        <v>675</v>
      </c>
      <c r="D206" s="13">
        <v>205.0</v>
      </c>
      <c r="E206" s="14" t="str">
        <f t="shared" si="10"/>
        <v>1931.823S</v>
      </c>
      <c r="F206" s="14" t="str">
        <f t="shared" si="11"/>
        <v>04350.255W</v>
      </c>
      <c r="G206" s="14" t="str">
        <f>IFERROR(__xludf.DUMMYFUNCTION("SPLIT($B206,"" "")"),"S19")</f>
        <v>S19</v>
      </c>
      <c r="H206" s="15">
        <f>IFERROR(__xludf.DUMMYFUNCTION("""COMPUTED_VALUE"""),31.0)</f>
        <v>31</v>
      </c>
      <c r="I206" s="16">
        <f>IFERROR(__xludf.DUMMYFUNCTION("""COMPUTED_VALUE"""),49.36)</f>
        <v>49.36</v>
      </c>
      <c r="J206" s="14" t="str">
        <f t="shared" si="12"/>
        <v>0.823</v>
      </c>
      <c r="K206" s="14"/>
      <c r="L206" s="14" t="str">
        <f>IFERROR(__xludf.DUMMYFUNCTION("SPLIT($C206,"" "")"),"W043")</f>
        <v>W043</v>
      </c>
      <c r="M206" s="17">
        <f>IFERROR(__xludf.DUMMYFUNCTION("""COMPUTED_VALUE"""),50.0)</f>
        <v>50</v>
      </c>
      <c r="N206" s="16">
        <f>IFERROR(__xludf.DUMMYFUNCTION("""COMPUTED_VALUE"""),15.31)</f>
        <v>15.31</v>
      </c>
      <c r="O206" s="14" t="str">
        <f t="shared" si="4"/>
        <v>0.255</v>
      </c>
      <c r="Q206" s="10">
        <f t="shared" si="5"/>
        <v>-19.53027778</v>
      </c>
      <c r="R206" s="10">
        <f t="shared" si="6"/>
        <v>-43.8375</v>
      </c>
    </row>
    <row r="207">
      <c r="A207" s="10" t="s">
        <v>676</v>
      </c>
      <c r="B207" s="10" t="s">
        <v>677</v>
      </c>
      <c r="C207" s="10" t="s">
        <v>678</v>
      </c>
      <c r="D207" s="13">
        <v>206.0</v>
      </c>
      <c r="E207" s="14" t="str">
        <f t="shared" si="10"/>
        <v>1915.390S</v>
      </c>
      <c r="F207" s="14" t="str">
        <f t="shared" si="11"/>
        <v>04405.084W</v>
      </c>
      <c r="G207" s="14" t="str">
        <f>IFERROR(__xludf.DUMMYFUNCTION("SPLIT($B207,"" "")"),"S19")</f>
        <v>S19</v>
      </c>
      <c r="H207" s="15">
        <f>IFERROR(__xludf.DUMMYFUNCTION("""COMPUTED_VALUE"""),15.0)</f>
        <v>15</v>
      </c>
      <c r="I207" s="16">
        <f>IFERROR(__xludf.DUMMYFUNCTION("""COMPUTED_VALUE"""),23.42)</f>
        <v>23.42</v>
      </c>
      <c r="J207" s="14" t="str">
        <f t="shared" si="12"/>
        <v>0.390</v>
      </c>
      <c r="K207" s="14"/>
      <c r="L207" s="14" t="str">
        <f>IFERROR(__xludf.DUMMYFUNCTION("SPLIT($C207,"" "")"),"W044")</f>
        <v>W044</v>
      </c>
      <c r="M207" s="17">
        <f>IFERROR(__xludf.DUMMYFUNCTION("""COMPUTED_VALUE"""),5.0)</f>
        <v>5</v>
      </c>
      <c r="N207" s="16">
        <f>IFERROR(__xludf.DUMMYFUNCTION("""COMPUTED_VALUE"""),5.02)</f>
        <v>5.02</v>
      </c>
      <c r="O207" s="14" t="str">
        <f t="shared" si="4"/>
        <v>0.084</v>
      </c>
      <c r="Q207" s="10">
        <f t="shared" si="5"/>
        <v>-19.25638889</v>
      </c>
      <c r="R207" s="10">
        <f t="shared" si="6"/>
        <v>-44.08472222</v>
      </c>
    </row>
    <row r="208">
      <c r="A208" s="10" t="s">
        <v>679</v>
      </c>
      <c r="B208" s="10" t="s">
        <v>680</v>
      </c>
      <c r="C208" s="10" t="s">
        <v>681</v>
      </c>
      <c r="D208" s="13">
        <v>207.0</v>
      </c>
      <c r="E208" s="14" t="str">
        <f t="shared" si="10"/>
        <v>1928.056S</v>
      </c>
      <c r="F208" s="14" t="str">
        <f t="shared" si="11"/>
        <v>04420.734W</v>
      </c>
      <c r="G208" s="14" t="str">
        <f>IFERROR(__xludf.DUMMYFUNCTION("SPLIT($B208,"" "")"),"S19")</f>
        <v>S19</v>
      </c>
      <c r="H208" s="15">
        <f>IFERROR(__xludf.DUMMYFUNCTION("""COMPUTED_VALUE"""),28.0)</f>
        <v>28</v>
      </c>
      <c r="I208" s="16">
        <f>IFERROR(__xludf.DUMMYFUNCTION("""COMPUTED_VALUE"""),3.37)</f>
        <v>3.37</v>
      </c>
      <c r="J208" s="14" t="str">
        <f t="shared" si="12"/>
        <v>0.056</v>
      </c>
      <c r="K208" s="14"/>
      <c r="L208" s="14" t="str">
        <f>IFERROR(__xludf.DUMMYFUNCTION("SPLIT($C208,"" "")"),"W044")</f>
        <v>W044</v>
      </c>
      <c r="M208" s="17">
        <f>IFERROR(__xludf.DUMMYFUNCTION("""COMPUTED_VALUE"""),20.0)</f>
        <v>20</v>
      </c>
      <c r="N208" s="16">
        <f>IFERROR(__xludf.DUMMYFUNCTION("""COMPUTED_VALUE"""),44.01)</f>
        <v>44.01</v>
      </c>
      <c r="O208" s="14" t="str">
        <f t="shared" si="4"/>
        <v>0.734</v>
      </c>
      <c r="Q208" s="10">
        <f t="shared" si="5"/>
        <v>-19.4675</v>
      </c>
      <c r="R208" s="10">
        <f t="shared" si="6"/>
        <v>-44.34555556</v>
      </c>
    </row>
    <row r="209">
      <c r="A209" s="10" t="s">
        <v>682</v>
      </c>
      <c r="B209" s="10" t="s">
        <v>683</v>
      </c>
      <c r="C209" s="10" t="s">
        <v>684</v>
      </c>
      <c r="D209" s="13">
        <v>208.0</v>
      </c>
      <c r="E209" s="14" t="str">
        <f t="shared" si="10"/>
        <v>1944.513S</v>
      </c>
      <c r="F209" s="14" t="str">
        <f t="shared" si="11"/>
        <v>04405.902W</v>
      </c>
      <c r="G209" s="14" t="str">
        <f>IFERROR(__xludf.DUMMYFUNCTION("SPLIT($B209,"" "")"),"S19")</f>
        <v>S19</v>
      </c>
      <c r="H209" s="15">
        <f>IFERROR(__xludf.DUMMYFUNCTION("""COMPUTED_VALUE"""),44.0)</f>
        <v>44</v>
      </c>
      <c r="I209" s="16">
        <f>IFERROR(__xludf.DUMMYFUNCTION("""COMPUTED_VALUE"""),30.78)</f>
        <v>30.78</v>
      </c>
      <c r="J209" s="14" t="str">
        <f t="shared" si="12"/>
        <v>0.513</v>
      </c>
      <c r="K209" s="14"/>
      <c r="L209" s="14" t="str">
        <f>IFERROR(__xludf.DUMMYFUNCTION("SPLIT($C209,"" "")"),"W044")</f>
        <v>W044</v>
      </c>
      <c r="M209" s="17">
        <f>IFERROR(__xludf.DUMMYFUNCTION("""COMPUTED_VALUE"""),5.0)</f>
        <v>5</v>
      </c>
      <c r="N209" s="16">
        <f>IFERROR(__xludf.DUMMYFUNCTION("""COMPUTED_VALUE"""),54.1)</f>
        <v>54.1</v>
      </c>
      <c r="O209" s="14" t="str">
        <f t="shared" si="4"/>
        <v>0.902</v>
      </c>
      <c r="Q209" s="10">
        <f t="shared" si="5"/>
        <v>-19.74166667</v>
      </c>
      <c r="R209" s="10">
        <f t="shared" si="6"/>
        <v>-44.09833333</v>
      </c>
    </row>
    <row r="210">
      <c r="A210" s="10" t="s">
        <v>685</v>
      </c>
      <c r="B210" s="10" t="s">
        <v>686</v>
      </c>
      <c r="C210" s="10" t="s">
        <v>687</v>
      </c>
      <c r="D210" s="13">
        <v>209.0</v>
      </c>
      <c r="E210" s="14" t="str">
        <f t="shared" si="10"/>
        <v>1938.657S</v>
      </c>
      <c r="F210" s="14" t="str">
        <f t="shared" si="11"/>
        <v>04344.058W</v>
      </c>
      <c r="G210" s="14" t="str">
        <f>IFERROR(__xludf.DUMMYFUNCTION("SPLIT($B210,"" "")"),"S19")</f>
        <v>S19</v>
      </c>
      <c r="H210" s="15">
        <f>IFERROR(__xludf.DUMMYFUNCTION("""COMPUTED_VALUE"""),38.0)</f>
        <v>38</v>
      </c>
      <c r="I210" s="16">
        <f>IFERROR(__xludf.DUMMYFUNCTION("""COMPUTED_VALUE"""),39.42)</f>
        <v>39.42</v>
      </c>
      <c r="J210" s="14" t="str">
        <f t="shared" si="12"/>
        <v>0.657</v>
      </c>
      <c r="K210" s="14"/>
      <c r="L210" s="14" t="str">
        <f>IFERROR(__xludf.DUMMYFUNCTION("SPLIT($C210,"" "")"),"W043")</f>
        <v>W043</v>
      </c>
      <c r="M210" s="17">
        <f>IFERROR(__xludf.DUMMYFUNCTION("""COMPUTED_VALUE"""),44.0)</f>
        <v>44</v>
      </c>
      <c r="N210" s="16">
        <f>IFERROR(__xludf.DUMMYFUNCTION("""COMPUTED_VALUE"""),3.48)</f>
        <v>3.48</v>
      </c>
      <c r="O210" s="14" t="str">
        <f t="shared" si="4"/>
        <v>0.058</v>
      </c>
      <c r="Q210" s="10">
        <f t="shared" si="5"/>
        <v>-19.64416667</v>
      </c>
      <c r="R210" s="10">
        <f t="shared" si="6"/>
        <v>-43.73416667</v>
      </c>
    </row>
    <row r="211">
      <c r="A211" s="10" t="s">
        <v>688</v>
      </c>
      <c r="B211" s="10" t="s">
        <v>689</v>
      </c>
      <c r="C211" s="10" t="s">
        <v>690</v>
      </c>
      <c r="D211" s="13">
        <v>210.0</v>
      </c>
      <c r="E211" s="14" t="str">
        <f t="shared" si="10"/>
        <v>1942.951S</v>
      </c>
      <c r="F211" s="14" t="str">
        <f t="shared" si="11"/>
        <v>04332.032W</v>
      </c>
      <c r="G211" s="14" t="str">
        <f>IFERROR(__xludf.DUMMYFUNCTION("SPLIT($B211,"" "")"),"S19")</f>
        <v>S19</v>
      </c>
      <c r="H211" s="15">
        <f>IFERROR(__xludf.DUMMYFUNCTION("""COMPUTED_VALUE"""),42.0)</f>
        <v>42</v>
      </c>
      <c r="I211" s="16">
        <f>IFERROR(__xludf.DUMMYFUNCTION("""COMPUTED_VALUE"""),57.04)</f>
        <v>57.04</v>
      </c>
      <c r="J211" s="14" t="str">
        <f t="shared" si="12"/>
        <v>0.951</v>
      </c>
      <c r="K211" s="14"/>
      <c r="L211" s="14" t="str">
        <f>IFERROR(__xludf.DUMMYFUNCTION("SPLIT($C211,"" "")"),"W043")</f>
        <v>W043</v>
      </c>
      <c r="M211" s="17">
        <f>IFERROR(__xludf.DUMMYFUNCTION("""COMPUTED_VALUE"""),32.0)</f>
        <v>32</v>
      </c>
      <c r="N211" s="16">
        <f>IFERROR(__xludf.DUMMYFUNCTION("""COMPUTED_VALUE"""),1.89)</f>
        <v>1.89</v>
      </c>
      <c r="O211" s="14" t="str">
        <f t="shared" si="4"/>
        <v>0.032</v>
      </c>
      <c r="Q211" s="10">
        <f t="shared" si="5"/>
        <v>-19.71583333</v>
      </c>
      <c r="R211" s="10">
        <f t="shared" si="6"/>
        <v>-43.53361111</v>
      </c>
    </row>
    <row r="212">
      <c r="A212" s="10" t="s">
        <v>691</v>
      </c>
      <c r="B212" s="10" t="s">
        <v>692</v>
      </c>
      <c r="C212" s="10" t="s">
        <v>693</v>
      </c>
      <c r="D212" s="13">
        <v>211.0</v>
      </c>
      <c r="E212" s="14" t="str">
        <f t="shared" si="10"/>
        <v>1957.493S</v>
      </c>
      <c r="F212" s="14" t="str">
        <f t="shared" si="11"/>
        <v>04334.834W</v>
      </c>
      <c r="G212" s="14" t="str">
        <f>IFERROR(__xludf.DUMMYFUNCTION("SPLIT($B212,"" "")"),"S19")</f>
        <v>S19</v>
      </c>
      <c r="H212" s="15">
        <f>IFERROR(__xludf.DUMMYFUNCTION("""COMPUTED_VALUE"""),57.0)</f>
        <v>57</v>
      </c>
      <c r="I212" s="16">
        <f>IFERROR(__xludf.DUMMYFUNCTION("""COMPUTED_VALUE"""),29.58)</f>
        <v>29.58</v>
      </c>
      <c r="J212" s="14" t="str">
        <f t="shared" si="12"/>
        <v>0.493</v>
      </c>
      <c r="K212" s="14"/>
      <c r="L212" s="14" t="str">
        <f>IFERROR(__xludf.DUMMYFUNCTION("SPLIT($C212,"" "")"),"W043")</f>
        <v>W043</v>
      </c>
      <c r="M212" s="17">
        <f>IFERROR(__xludf.DUMMYFUNCTION("""COMPUTED_VALUE"""),34.0)</f>
        <v>34</v>
      </c>
      <c r="N212" s="16">
        <f>IFERROR(__xludf.DUMMYFUNCTION("""COMPUTED_VALUE"""),50.06)</f>
        <v>50.06</v>
      </c>
      <c r="O212" s="14" t="str">
        <f t="shared" si="4"/>
        <v>0.834</v>
      </c>
      <c r="Q212" s="10">
        <f t="shared" si="5"/>
        <v>-19.95805556</v>
      </c>
      <c r="R212" s="10">
        <f t="shared" si="6"/>
        <v>-43.58055556</v>
      </c>
    </row>
    <row r="213">
      <c r="A213" s="10" t="s">
        <v>694</v>
      </c>
      <c r="B213" s="10" t="s">
        <v>695</v>
      </c>
      <c r="C213" s="10" t="s">
        <v>696</v>
      </c>
      <c r="D213" s="13">
        <v>212.0</v>
      </c>
      <c r="E213" s="14" t="str">
        <f t="shared" si="10"/>
        <v>1947.289S</v>
      </c>
      <c r="F213" s="14" t="str">
        <f t="shared" si="11"/>
        <v>04403.390W</v>
      </c>
      <c r="G213" s="14" t="str">
        <f>IFERROR(__xludf.DUMMYFUNCTION("SPLIT($B213,"" "")"),"S19")</f>
        <v>S19</v>
      </c>
      <c r="H213" s="15">
        <f>IFERROR(__xludf.DUMMYFUNCTION("""COMPUTED_VALUE"""),47.0)</f>
        <v>47</v>
      </c>
      <c r="I213" s="16">
        <f>IFERROR(__xludf.DUMMYFUNCTION("""COMPUTED_VALUE"""),17.36)</f>
        <v>17.36</v>
      </c>
      <c r="J213" s="14" t="str">
        <f t="shared" si="12"/>
        <v>0.289</v>
      </c>
      <c r="K213" s="14"/>
      <c r="L213" s="14" t="str">
        <f>IFERROR(__xludf.DUMMYFUNCTION("SPLIT($C213,"" "")"),"W044")</f>
        <v>W044</v>
      </c>
      <c r="M213" s="17">
        <f>IFERROR(__xludf.DUMMYFUNCTION("""COMPUTED_VALUE"""),3.0)</f>
        <v>3</v>
      </c>
      <c r="N213" s="16">
        <f>IFERROR(__xludf.DUMMYFUNCTION("""COMPUTED_VALUE"""),23.37)</f>
        <v>23.37</v>
      </c>
      <c r="O213" s="14" t="str">
        <f t="shared" si="4"/>
        <v>0.390</v>
      </c>
      <c r="Q213" s="10">
        <f t="shared" si="5"/>
        <v>-19.78805556</v>
      </c>
      <c r="R213" s="10">
        <f t="shared" si="6"/>
        <v>-44.05638889</v>
      </c>
    </row>
    <row r="214">
      <c r="A214" s="10" t="s">
        <v>697</v>
      </c>
      <c r="B214" s="10" t="s">
        <v>698</v>
      </c>
      <c r="C214" s="10" t="s">
        <v>699</v>
      </c>
      <c r="D214" s="13">
        <v>213.0</v>
      </c>
      <c r="E214" s="14" t="str">
        <f t="shared" si="10"/>
        <v>1949.804S</v>
      </c>
      <c r="F214" s="14" t="str">
        <f t="shared" si="11"/>
        <v>04356.386W</v>
      </c>
      <c r="G214" s="14" t="str">
        <f>IFERROR(__xludf.DUMMYFUNCTION("SPLIT($B214,"" "")"),"S19")</f>
        <v>S19</v>
      </c>
      <c r="H214" s="15">
        <f>IFERROR(__xludf.DUMMYFUNCTION("""COMPUTED_VALUE"""),49.0)</f>
        <v>49</v>
      </c>
      <c r="I214" s="16">
        <f>IFERROR(__xludf.DUMMYFUNCTION("""COMPUTED_VALUE"""),48.22)</f>
        <v>48.22</v>
      </c>
      <c r="J214" s="14" t="str">
        <f t="shared" si="12"/>
        <v>0.804</v>
      </c>
      <c r="K214" s="14"/>
      <c r="L214" s="14" t="str">
        <f>IFERROR(__xludf.DUMMYFUNCTION("SPLIT($C214,"" "")"),"W043")</f>
        <v>W043</v>
      </c>
      <c r="M214" s="17">
        <f>IFERROR(__xludf.DUMMYFUNCTION("""COMPUTED_VALUE"""),56.0)</f>
        <v>56</v>
      </c>
      <c r="N214" s="16">
        <f>IFERROR(__xludf.DUMMYFUNCTION("""COMPUTED_VALUE"""),23.13)</f>
        <v>23.13</v>
      </c>
      <c r="O214" s="14" t="str">
        <f t="shared" si="4"/>
        <v>0.386</v>
      </c>
      <c r="Q214" s="10">
        <f t="shared" si="5"/>
        <v>-19.83</v>
      </c>
      <c r="R214" s="10">
        <f t="shared" si="6"/>
        <v>-43.93972222</v>
      </c>
    </row>
    <row r="215">
      <c r="A215" s="10" t="s">
        <v>700</v>
      </c>
      <c r="B215" s="10" t="s">
        <v>701</v>
      </c>
      <c r="C215" s="10" t="s">
        <v>702</v>
      </c>
      <c r="D215" s="13">
        <v>214.0</v>
      </c>
      <c r="E215" s="14" t="str">
        <f t="shared" si="10"/>
        <v>2002.328S</v>
      </c>
      <c r="F215" s="14" t="str">
        <f t="shared" si="11"/>
        <v>04401.369W</v>
      </c>
      <c r="G215" s="14" t="str">
        <f>IFERROR(__xludf.DUMMYFUNCTION("SPLIT($B215,"" "")"),"S20")</f>
        <v>S20</v>
      </c>
      <c r="H215" s="15">
        <f>IFERROR(__xludf.DUMMYFUNCTION("""COMPUTED_VALUE"""),2.0)</f>
        <v>2</v>
      </c>
      <c r="I215" s="16">
        <f>IFERROR(__xludf.DUMMYFUNCTION("""COMPUTED_VALUE"""),19.67)</f>
        <v>19.67</v>
      </c>
      <c r="J215" s="14" t="str">
        <f t="shared" si="12"/>
        <v>0.328</v>
      </c>
      <c r="K215" s="14"/>
      <c r="L215" s="14" t="str">
        <f>IFERROR(__xludf.DUMMYFUNCTION("SPLIT($C215,"" "")"),"W044")</f>
        <v>W044</v>
      </c>
      <c r="M215" s="17">
        <f>IFERROR(__xludf.DUMMYFUNCTION("""COMPUTED_VALUE"""),1.0)</f>
        <v>1</v>
      </c>
      <c r="N215" s="16">
        <f>IFERROR(__xludf.DUMMYFUNCTION("""COMPUTED_VALUE"""),22.15)</f>
        <v>22.15</v>
      </c>
      <c r="O215" s="14" t="str">
        <f t="shared" si="4"/>
        <v>0.369</v>
      </c>
      <c r="Q215" s="10">
        <f t="shared" si="5"/>
        <v>-20.03861111</v>
      </c>
      <c r="R215" s="10">
        <f t="shared" si="6"/>
        <v>-44.02277778</v>
      </c>
    </row>
    <row r="216">
      <c r="A216" s="10" t="s">
        <v>703</v>
      </c>
      <c r="B216" s="10" t="s">
        <v>704</v>
      </c>
      <c r="C216" s="10" t="s">
        <v>705</v>
      </c>
      <c r="D216" s="13">
        <v>215.0</v>
      </c>
      <c r="E216" s="14" t="str">
        <f t="shared" si="10"/>
        <v>2001.115S</v>
      </c>
      <c r="F216" s="14" t="str">
        <f t="shared" si="11"/>
        <v>04404.756W</v>
      </c>
      <c r="G216" s="14" t="str">
        <f>IFERROR(__xludf.DUMMYFUNCTION("SPLIT($B216,"" "")"),"S20")</f>
        <v>S20</v>
      </c>
      <c r="H216" s="15">
        <f>IFERROR(__xludf.DUMMYFUNCTION("""COMPUTED_VALUE"""),1.0)</f>
        <v>1</v>
      </c>
      <c r="I216" s="16">
        <f>IFERROR(__xludf.DUMMYFUNCTION("""COMPUTED_VALUE"""),6.87)</f>
        <v>6.87</v>
      </c>
      <c r="J216" s="14" t="str">
        <f t="shared" si="12"/>
        <v>0.115</v>
      </c>
      <c r="K216" s="14"/>
      <c r="L216" s="14" t="str">
        <f>IFERROR(__xludf.DUMMYFUNCTION("SPLIT($C216,"" "")"),"W044")</f>
        <v>W044</v>
      </c>
      <c r="M216" s="17">
        <f>IFERROR(__xludf.DUMMYFUNCTION("""COMPUTED_VALUE"""),4.0)</f>
        <v>4</v>
      </c>
      <c r="N216" s="16">
        <f>IFERROR(__xludf.DUMMYFUNCTION("""COMPUTED_VALUE"""),45.38)</f>
        <v>45.38</v>
      </c>
      <c r="O216" s="14" t="str">
        <f t="shared" si="4"/>
        <v>0.756</v>
      </c>
      <c r="Q216" s="10">
        <f t="shared" si="5"/>
        <v>-20.01833333</v>
      </c>
      <c r="R216" s="10">
        <f t="shared" si="6"/>
        <v>-44.07916667</v>
      </c>
    </row>
    <row r="217">
      <c r="A217" s="10" t="s">
        <v>706</v>
      </c>
      <c r="B217" s="10" t="s">
        <v>707</v>
      </c>
      <c r="C217" s="10" t="s">
        <v>708</v>
      </c>
      <c r="D217" s="13">
        <v>216.0</v>
      </c>
      <c r="E217" s="14" t="str">
        <f t="shared" si="10"/>
        <v>2001.881S</v>
      </c>
      <c r="F217" s="14" t="str">
        <f t="shared" si="11"/>
        <v>04417.442W</v>
      </c>
      <c r="G217" s="14" t="str">
        <f>IFERROR(__xludf.DUMMYFUNCTION("SPLIT($B217,"" "")"),"S20")</f>
        <v>S20</v>
      </c>
      <c r="H217" s="15">
        <f>IFERROR(__xludf.DUMMYFUNCTION("""COMPUTED_VALUE"""),1.0)</f>
        <v>1</v>
      </c>
      <c r="I217" s="16">
        <f>IFERROR(__xludf.DUMMYFUNCTION("""COMPUTED_VALUE"""),52.85)</f>
        <v>52.85</v>
      </c>
      <c r="J217" s="14" t="str">
        <f t="shared" si="12"/>
        <v>0.881</v>
      </c>
      <c r="K217" s="14"/>
      <c r="L217" s="14" t="str">
        <f>IFERROR(__xludf.DUMMYFUNCTION("SPLIT($C217,"" "")"),"W044")</f>
        <v>W044</v>
      </c>
      <c r="M217" s="17">
        <f>IFERROR(__xludf.DUMMYFUNCTION("""COMPUTED_VALUE"""),17.0)</f>
        <v>17</v>
      </c>
      <c r="N217" s="16">
        <f>IFERROR(__xludf.DUMMYFUNCTION("""COMPUTED_VALUE"""),26.49)</f>
        <v>26.49</v>
      </c>
      <c r="O217" s="14" t="str">
        <f t="shared" si="4"/>
        <v>0.442</v>
      </c>
      <c r="Q217" s="10">
        <f t="shared" si="5"/>
        <v>-20.03111111</v>
      </c>
      <c r="R217" s="10">
        <f t="shared" si="6"/>
        <v>-44.29055556</v>
      </c>
    </row>
    <row r="218">
      <c r="A218" s="10" t="s">
        <v>709</v>
      </c>
      <c r="B218" s="10" t="s">
        <v>710</v>
      </c>
      <c r="C218" s="10" t="s">
        <v>711</v>
      </c>
      <c r="D218" s="13">
        <v>217.0</v>
      </c>
      <c r="E218" s="14" t="str">
        <f t="shared" si="10"/>
        <v>1947.235S</v>
      </c>
      <c r="F218" s="14" t="str">
        <f t="shared" si="11"/>
        <v>04422.896W</v>
      </c>
      <c r="G218" s="14" t="str">
        <f>IFERROR(__xludf.DUMMYFUNCTION("SPLIT($B218,"" "")"),"S19")</f>
        <v>S19</v>
      </c>
      <c r="H218" s="15">
        <f>IFERROR(__xludf.DUMMYFUNCTION("""COMPUTED_VALUE"""),47.0)</f>
        <v>47</v>
      </c>
      <c r="I218" s="16">
        <f>IFERROR(__xludf.DUMMYFUNCTION("""COMPUTED_VALUE"""),14.07)</f>
        <v>14.07</v>
      </c>
      <c r="J218" s="14" t="str">
        <f t="shared" si="12"/>
        <v>0.235</v>
      </c>
      <c r="K218" s="14"/>
      <c r="L218" s="14" t="str">
        <f>IFERROR(__xludf.DUMMYFUNCTION("SPLIT($C218,"" "")"),"W044")</f>
        <v>W044</v>
      </c>
      <c r="M218" s="17">
        <f>IFERROR(__xludf.DUMMYFUNCTION("""COMPUTED_VALUE"""),22.0)</f>
        <v>22</v>
      </c>
      <c r="N218" s="16">
        <f>IFERROR(__xludf.DUMMYFUNCTION("""COMPUTED_VALUE"""),53.73)</f>
        <v>53.73</v>
      </c>
      <c r="O218" s="14" t="str">
        <f t="shared" si="4"/>
        <v>0.896</v>
      </c>
      <c r="Q218" s="10">
        <f t="shared" si="5"/>
        <v>-19.78722222</v>
      </c>
      <c r="R218" s="10">
        <f t="shared" si="6"/>
        <v>-44.38138889</v>
      </c>
    </row>
    <row r="219">
      <c r="A219" s="10" t="s">
        <v>712</v>
      </c>
      <c r="B219" s="10" t="s">
        <v>713</v>
      </c>
      <c r="C219" s="10" t="s">
        <v>714</v>
      </c>
      <c r="D219" s="13">
        <v>218.0</v>
      </c>
      <c r="E219" s="14" t="str">
        <f t="shared" si="10"/>
        <v>1946.214S</v>
      </c>
      <c r="F219" s="14" t="str">
        <f t="shared" si="11"/>
        <v>04404.363W</v>
      </c>
      <c r="G219" s="14" t="str">
        <f>IFERROR(__xludf.DUMMYFUNCTION("SPLIT($B219,"" "")"),"S19")</f>
        <v>S19</v>
      </c>
      <c r="H219" s="15">
        <f>IFERROR(__xludf.DUMMYFUNCTION("""COMPUTED_VALUE"""),46.0)</f>
        <v>46</v>
      </c>
      <c r="I219" s="16">
        <f>IFERROR(__xludf.DUMMYFUNCTION("""COMPUTED_VALUE"""),12.85)</f>
        <v>12.85</v>
      </c>
      <c r="J219" s="14" t="str">
        <f t="shared" si="12"/>
        <v>0.214</v>
      </c>
      <c r="K219" s="14"/>
      <c r="L219" s="14" t="str">
        <f>IFERROR(__xludf.DUMMYFUNCTION("SPLIT($C219,"" "")"),"W044")</f>
        <v>W044</v>
      </c>
      <c r="M219" s="17">
        <f>IFERROR(__xludf.DUMMYFUNCTION("""COMPUTED_VALUE"""),4.0)</f>
        <v>4</v>
      </c>
      <c r="N219" s="16">
        <f>IFERROR(__xludf.DUMMYFUNCTION("""COMPUTED_VALUE"""),21.76)</f>
        <v>21.76</v>
      </c>
      <c r="O219" s="14" t="str">
        <f t="shared" si="4"/>
        <v>0.363</v>
      </c>
      <c r="Q219" s="10">
        <f t="shared" si="5"/>
        <v>-19.77</v>
      </c>
      <c r="R219" s="10">
        <f t="shared" si="6"/>
        <v>-44.0725</v>
      </c>
    </row>
    <row r="220">
      <c r="A220" s="10" t="s">
        <v>715</v>
      </c>
      <c r="B220" s="10" t="s">
        <v>716</v>
      </c>
      <c r="C220" s="10" t="s">
        <v>717</v>
      </c>
      <c r="D220" s="13">
        <v>219.0</v>
      </c>
      <c r="E220" s="14" t="str">
        <f t="shared" si="10"/>
        <v>2010.861S</v>
      </c>
      <c r="F220" s="14" t="str">
        <f t="shared" si="11"/>
        <v>04337.408W</v>
      </c>
      <c r="G220" s="14" t="str">
        <f>IFERROR(__xludf.DUMMYFUNCTION("SPLIT($B220,"" "")"),"S20")</f>
        <v>S20</v>
      </c>
      <c r="H220" s="15">
        <f>IFERROR(__xludf.DUMMYFUNCTION("""COMPUTED_VALUE"""),10.0)</f>
        <v>10</v>
      </c>
      <c r="I220" s="16">
        <f>IFERROR(__xludf.DUMMYFUNCTION("""COMPUTED_VALUE"""),51.64)</f>
        <v>51.64</v>
      </c>
      <c r="J220" s="14" t="str">
        <f t="shared" si="12"/>
        <v>0.861</v>
      </c>
      <c r="K220" s="14"/>
      <c r="L220" s="14" t="str">
        <f>IFERROR(__xludf.DUMMYFUNCTION("SPLIT($C220,"" "")"),"W043")</f>
        <v>W043</v>
      </c>
      <c r="M220" s="17">
        <f>IFERROR(__xludf.DUMMYFUNCTION("""COMPUTED_VALUE"""),37.0)</f>
        <v>37</v>
      </c>
      <c r="N220" s="16">
        <f>IFERROR(__xludf.DUMMYFUNCTION("""COMPUTED_VALUE"""),24.47)</f>
        <v>24.47</v>
      </c>
      <c r="O220" s="14" t="str">
        <f t="shared" si="4"/>
        <v>0.408</v>
      </c>
      <c r="Q220" s="10">
        <f t="shared" si="5"/>
        <v>-20.18083333</v>
      </c>
      <c r="R220" s="10">
        <f t="shared" si="6"/>
        <v>-43.62333333</v>
      </c>
    </row>
    <row r="221">
      <c r="A221" s="1" t="s">
        <v>718</v>
      </c>
      <c r="B221" s="10" t="s">
        <v>644</v>
      </c>
      <c r="C221" s="10" t="s">
        <v>645</v>
      </c>
      <c r="D221" s="13">
        <v>220.0</v>
      </c>
      <c r="E221" s="14" t="str">
        <f t="shared" si="10"/>
        <v>1951.277S</v>
      </c>
      <c r="F221" s="14" t="str">
        <f t="shared" si="11"/>
        <v>04356.364W</v>
      </c>
      <c r="G221" s="14" t="str">
        <f>IFERROR(__xludf.DUMMYFUNCTION("SPLIT($B221,"" "")"),"S19")</f>
        <v>S19</v>
      </c>
      <c r="H221" s="15">
        <f>IFERROR(__xludf.DUMMYFUNCTION("""COMPUTED_VALUE"""),51.0)</f>
        <v>51</v>
      </c>
      <c r="I221" s="16">
        <f>IFERROR(__xludf.DUMMYFUNCTION("""COMPUTED_VALUE"""),16.62)</f>
        <v>16.62</v>
      </c>
      <c r="J221" s="14" t="str">
        <f t="shared" si="12"/>
        <v>0.277</v>
      </c>
      <c r="K221" s="14"/>
      <c r="L221" s="14" t="str">
        <f>IFERROR(__xludf.DUMMYFUNCTION("SPLIT($C221,"" "")"),"W043")</f>
        <v>W043</v>
      </c>
      <c r="M221" s="17">
        <f>IFERROR(__xludf.DUMMYFUNCTION("""COMPUTED_VALUE"""),56.0)</f>
        <v>56</v>
      </c>
      <c r="N221" s="16">
        <f>IFERROR(__xludf.DUMMYFUNCTION("""COMPUTED_VALUE"""),21.84)</f>
        <v>21.84</v>
      </c>
      <c r="O221" s="14" t="str">
        <f t="shared" si="4"/>
        <v>0.364</v>
      </c>
      <c r="Q221" s="10">
        <f t="shared" si="5"/>
        <v>-19.85444444</v>
      </c>
      <c r="R221" s="10">
        <f t="shared" si="6"/>
        <v>-43.93916667</v>
      </c>
    </row>
    <row r="222">
      <c r="A222" s="10" t="s">
        <v>719</v>
      </c>
      <c r="B222" s="10" t="s">
        <v>641</v>
      </c>
      <c r="C222" s="10" t="s">
        <v>642</v>
      </c>
      <c r="D222" s="13">
        <v>221.0</v>
      </c>
      <c r="E222" s="14" t="str">
        <f t="shared" si="10"/>
        <v>1950.824S</v>
      </c>
      <c r="F222" s="14" t="str">
        <f t="shared" si="11"/>
        <v>04357.629W</v>
      </c>
      <c r="G222" s="14" t="str">
        <f>IFERROR(__xludf.DUMMYFUNCTION("SPLIT($B222,"" "")"),"S19")</f>
        <v>S19</v>
      </c>
      <c r="H222" s="15">
        <f>IFERROR(__xludf.DUMMYFUNCTION("""COMPUTED_VALUE"""),50.0)</f>
        <v>50</v>
      </c>
      <c r="I222" s="16">
        <f>IFERROR(__xludf.DUMMYFUNCTION("""COMPUTED_VALUE"""),49.43)</f>
        <v>49.43</v>
      </c>
      <c r="J222" s="14" t="str">
        <f t="shared" si="12"/>
        <v>0.824</v>
      </c>
      <c r="K222" s="14"/>
      <c r="L222" s="14" t="str">
        <f>IFERROR(__xludf.DUMMYFUNCTION("SPLIT($C222,"" "")"),"W043")</f>
        <v>W043</v>
      </c>
      <c r="M222" s="17">
        <f>IFERROR(__xludf.DUMMYFUNCTION("""COMPUTED_VALUE"""),57.0)</f>
        <v>57</v>
      </c>
      <c r="N222" s="16">
        <f>IFERROR(__xludf.DUMMYFUNCTION("""COMPUTED_VALUE"""),37.72)</f>
        <v>37.72</v>
      </c>
      <c r="O222" s="14" t="str">
        <f t="shared" si="4"/>
        <v>0.629</v>
      </c>
      <c r="Q222" s="10">
        <f t="shared" si="5"/>
        <v>-19.84694444</v>
      </c>
      <c r="R222" s="10">
        <f t="shared" si="6"/>
        <v>-43.96027778</v>
      </c>
    </row>
    <row r="223">
      <c r="A223" s="10" t="s">
        <v>72</v>
      </c>
      <c r="B223" s="10" t="s">
        <v>638</v>
      </c>
      <c r="C223" s="10" t="s">
        <v>639</v>
      </c>
      <c r="D223" s="13">
        <v>222.0</v>
      </c>
      <c r="E223" s="14" t="str">
        <f t="shared" si="10"/>
        <v>1937.411S</v>
      </c>
      <c r="F223" s="14" t="str">
        <f t="shared" si="11"/>
        <v>04358.691W</v>
      </c>
      <c r="G223" s="14" t="str">
        <f>IFERROR(__xludf.DUMMYFUNCTION("SPLIT($B223,"" "")"),"S19")</f>
        <v>S19</v>
      </c>
      <c r="H223" s="15">
        <f>IFERROR(__xludf.DUMMYFUNCTION("""COMPUTED_VALUE"""),37.0)</f>
        <v>37</v>
      </c>
      <c r="I223" s="16">
        <f>IFERROR(__xludf.DUMMYFUNCTION("""COMPUTED_VALUE"""),24.68)</f>
        <v>24.68</v>
      </c>
      <c r="J223" s="14" t="str">
        <f t="shared" si="12"/>
        <v>0.411</v>
      </c>
      <c r="K223" s="14"/>
      <c r="L223" s="14" t="str">
        <f>IFERROR(__xludf.DUMMYFUNCTION("SPLIT($C223,"" "")"),"W043")</f>
        <v>W043</v>
      </c>
      <c r="M223" s="17">
        <f>IFERROR(__xludf.DUMMYFUNCTION("""COMPUTED_VALUE"""),58.0)</f>
        <v>58</v>
      </c>
      <c r="N223" s="16">
        <f>IFERROR(__xludf.DUMMYFUNCTION("""COMPUTED_VALUE"""),41.44)</f>
        <v>41.44</v>
      </c>
      <c r="O223" s="14" t="str">
        <f t="shared" si="4"/>
        <v>0.691</v>
      </c>
      <c r="Q223" s="10">
        <f t="shared" si="5"/>
        <v>-19.62333333</v>
      </c>
      <c r="R223" s="10">
        <f t="shared" si="6"/>
        <v>-43.97805556</v>
      </c>
    </row>
    <row r="224">
      <c r="A224" s="10" t="s">
        <v>720</v>
      </c>
      <c r="B224" s="10" t="s">
        <v>721</v>
      </c>
      <c r="C224" s="10" t="s">
        <v>722</v>
      </c>
      <c r="D224" s="13">
        <v>223.0</v>
      </c>
      <c r="E224" s="14" t="str">
        <f t="shared" si="10"/>
        <v>1938.879S</v>
      </c>
      <c r="F224" s="14" t="str">
        <f t="shared" si="11"/>
        <v>04357.334W</v>
      </c>
      <c r="G224" s="14" t="str">
        <f>IFERROR(__xludf.DUMMYFUNCTION("SPLIT($B224,"" "")"),"S19")</f>
        <v>S19</v>
      </c>
      <c r="H224" s="15">
        <f>IFERROR(__xludf.DUMMYFUNCTION("""COMPUTED_VALUE"""),38.0)</f>
        <v>38</v>
      </c>
      <c r="I224" s="16">
        <f>IFERROR(__xludf.DUMMYFUNCTION("""COMPUTED_VALUE"""),52.72)</f>
        <v>52.72</v>
      </c>
      <c r="J224" s="14" t="str">
        <f t="shared" si="12"/>
        <v>0.879</v>
      </c>
      <c r="K224" s="14"/>
      <c r="L224" s="14" t="str">
        <f>IFERROR(__xludf.DUMMYFUNCTION("SPLIT($C224,"" "")"),"W043")</f>
        <v>W043</v>
      </c>
      <c r="M224" s="17">
        <f>IFERROR(__xludf.DUMMYFUNCTION("""COMPUTED_VALUE"""),57.0)</f>
        <v>57</v>
      </c>
      <c r="N224" s="16">
        <f>IFERROR(__xludf.DUMMYFUNCTION("""COMPUTED_VALUE"""),20.06)</f>
        <v>20.06</v>
      </c>
      <c r="O224" s="14" t="str">
        <f t="shared" si="4"/>
        <v>0.334</v>
      </c>
      <c r="Q224" s="10">
        <f t="shared" si="5"/>
        <v>-19.64777778</v>
      </c>
      <c r="R224" s="10">
        <f t="shared" si="6"/>
        <v>-43.95555556</v>
      </c>
    </row>
    <row r="225">
      <c r="A225" s="10" t="s">
        <v>723</v>
      </c>
      <c r="B225" s="10" t="s">
        <v>178</v>
      </c>
      <c r="C225" s="10" t="s">
        <v>179</v>
      </c>
      <c r="D225" s="13">
        <v>224.0</v>
      </c>
      <c r="E225" s="14" t="str">
        <f t="shared" si="10"/>
        <v>1926.131S</v>
      </c>
      <c r="F225" s="14" t="str">
        <f t="shared" si="11"/>
        <v>04443.680W</v>
      </c>
      <c r="G225" s="14" t="str">
        <f>IFERROR(__xludf.DUMMYFUNCTION("SPLIT($B225,"" "")"),"S19")</f>
        <v>S19</v>
      </c>
      <c r="H225" s="15">
        <f>IFERROR(__xludf.DUMMYFUNCTION("""COMPUTED_VALUE"""),26.0)</f>
        <v>26</v>
      </c>
      <c r="I225" s="16">
        <f>IFERROR(__xludf.DUMMYFUNCTION("""COMPUTED_VALUE"""),7.83)</f>
        <v>7.83</v>
      </c>
      <c r="J225" s="14" t="str">
        <f t="shared" si="12"/>
        <v>0.131</v>
      </c>
      <c r="K225" s="14"/>
      <c r="L225" s="14" t="str">
        <f>IFERROR(__xludf.DUMMYFUNCTION("SPLIT($C225,"" "")"),"W044")</f>
        <v>W044</v>
      </c>
      <c r="M225" s="17">
        <f>IFERROR(__xludf.DUMMYFUNCTION("""COMPUTED_VALUE"""),43.0)</f>
        <v>43</v>
      </c>
      <c r="N225" s="16">
        <f>IFERROR(__xludf.DUMMYFUNCTION("""COMPUTED_VALUE"""),40.77)</f>
        <v>40.77</v>
      </c>
      <c r="O225" s="14" t="str">
        <f t="shared" si="4"/>
        <v>0.680</v>
      </c>
      <c r="Q225" s="10">
        <f t="shared" si="5"/>
        <v>-19.43527778</v>
      </c>
      <c r="R225" s="10">
        <f t="shared" si="6"/>
        <v>-44.72777778</v>
      </c>
    </row>
    <row r="226">
      <c r="A226" s="10" t="s">
        <v>724</v>
      </c>
      <c r="B226" s="10" t="s">
        <v>98</v>
      </c>
      <c r="C226" s="10" t="s">
        <v>99</v>
      </c>
      <c r="D226" s="13">
        <v>225.0</v>
      </c>
      <c r="E226" s="14" t="str">
        <f t="shared" si="10"/>
        <v>1958.459S</v>
      </c>
      <c r="F226" s="14" t="str">
        <f t="shared" si="11"/>
        <v>04308.121W</v>
      </c>
      <c r="G226" s="14" t="str">
        <f>IFERROR(__xludf.DUMMYFUNCTION("SPLIT($B226,"" "")"),"S19")</f>
        <v>S19</v>
      </c>
      <c r="H226" s="15">
        <f>IFERROR(__xludf.DUMMYFUNCTION("""COMPUTED_VALUE"""),58.0)</f>
        <v>58</v>
      </c>
      <c r="I226" s="16">
        <f>IFERROR(__xludf.DUMMYFUNCTION("""COMPUTED_VALUE"""),27.56)</f>
        <v>27.56</v>
      </c>
      <c r="J226" s="14" t="str">
        <f t="shared" si="12"/>
        <v>0.459</v>
      </c>
      <c r="K226" s="14"/>
      <c r="L226" s="14" t="str">
        <f>IFERROR(__xludf.DUMMYFUNCTION("SPLIT($C226,"" "")"),"W043")</f>
        <v>W043</v>
      </c>
      <c r="M226" s="17">
        <f>IFERROR(__xludf.DUMMYFUNCTION("""COMPUTED_VALUE"""),8.0)</f>
        <v>8</v>
      </c>
      <c r="N226" s="16">
        <f>IFERROR(__xludf.DUMMYFUNCTION("""COMPUTED_VALUE"""),7.27)</f>
        <v>7.27</v>
      </c>
      <c r="O226" s="14" t="str">
        <f t="shared" si="4"/>
        <v>0.121</v>
      </c>
      <c r="Q226" s="10">
        <f t="shared" si="5"/>
        <v>-19.97416667</v>
      </c>
      <c r="R226" s="10">
        <f t="shared" si="6"/>
        <v>-43.13527778</v>
      </c>
    </row>
    <row r="227">
      <c r="A227" s="10" t="s">
        <v>725</v>
      </c>
      <c r="B227" s="10" t="s">
        <v>726</v>
      </c>
      <c r="C227" s="10" t="s">
        <v>727</v>
      </c>
      <c r="D227" s="13">
        <v>226.0</v>
      </c>
      <c r="E227" s="14" t="str">
        <f t="shared" si="10"/>
        <v>2010.261S</v>
      </c>
      <c r="F227" s="14" t="str">
        <f t="shared" si="11"/>
        <v>04314.632W</v>
      </c>
      <c r="G227" s="14" t="str">
        <f>IFERROR(__xludf.DUMMYFUNCTION("SPLIT($B227,"" "")"),"S20")</f>
        <v>S20</v>
      </c>
      <c r="H227" s="15">
        <f>IFERROR(__xludf.DUMMYFUNCTION("""COMPUTED_VALUE"""),10.0)</f>
        <v>10</v>
      </c>
      <c r="I227" s="16">
        <f>IFERROR(__xludf.DUMMYFUNCTION("""COMPUTED_VALUE"""),15.64)</f>
        <v>15.64</v>
      </c>
      <c r="J227" s="14" t="str">
        <f t="shared" si="12"/>
        <v>0.261</v>
      </c>
      <c r="K227" s="14"/>
      <c r="L227" s="14" t="str">
        <f>IFERROR(__xludf.DUMMYFUNCTION("SPLIT($C227,"" "")"),"W043")</f>
        <v>W043</v>
      </c>
      <c r="M227" s="17">
        <f>IFERROR(__xludf.DUMMYFUNCTION("""COMPUTED_VALUE"""),14.0)</f>
        <v>14</v>
      </c>
      <c r="N227" s="16">
        <f>IFERROR(__xludf.DUMMYFUNCTION("""COMPUTED_VALUE"""),37.92)</f>
        <v>37.92</v>
      </c>
      <c r="O227" s="14" t="str">
        <f t="shared" si="4"/>
        <v>0.632</v>
      </c>
      <c r="Q227" s="10">
        <f t="shared" si="5"/>
        <v>-20.17083333</v>
      </c>
      <c r="R227" s="10">
        <f t="shared" si="6"/>
        <v>-43.24361111</v>
      </c>
    </row>
    <row r="228">
      <c r="A228" s="10" t="s">
        <v>728</v>
      </c>
      <c r="B228" s="10" t="s">
        <v>729</v>
      </c>
      <c r="C228" s="10" t="s">
        <v>730</v>
      </c>
      <c r="D228" s="13">
        <v>227.0</v>
      </c>
      <c r="E228" s="14" t="str">
        <f t="shared" si="10"/>
        <v>2029.798S</v>
      </c>
      <c r="F228" s="14" t="str">
        <f t="shared" si="11"/>
        <v>04327.455W</v>
      </c>
      <c r="G228" s="14" t="str">
        <f>IFERROR(__xludf.DUMMYFUNCTION("SPLIT($B228,"" "")"),"S20")</f>
        <v>S20</v>
      </c>
      <c r="H228" s="15">
        <f>IFERROR(__xludf.DUMMYFUNCTION("""COMPUTED_VALUE"""),29.0)</f>
        <v>29</v>
      </c>
      <c r="I228" s="16">
        <f>IFERROR(__xludf.DUMMYFUNCTION("""COMPUTED_VALUE"""),47.87)</f>
        <v>47.87</v>
      </c>
      <c r="J228" s="14" t="str">
        <f t="shared" si="12"/>
        <v>0.798</v>
      </c>
      <c r="K228" s="14"/>
      <c r="L228" s="14" t="str">
        <f>IFERROR(__xludf.DUMMYFUNCTION("SPLIT($C228,"" "")"),"W043")</f>
        <v>W043</v>
      </c>
      <c r="M228" s="17">
        <f>IFERROR(__xludf.DUMMYFUNCTION("""COMPUTED_VALUE"""),27.0)</f>
        <v>27</v>
      </c>
      <c r="N228" s="16">
        <f>IFERROR(__xludf.DUMMYFUNCTION("""COMPUTED_VALUE"""),27.27)</f>
        <v>27.27</v>
      </c>
      <c r="O228" s="14" t="str">
        <f t="shared" si="4"/>
        <v>0.455</v>
      </c>
      <c r="Q228" s="10">
        <f t="shared" si="5"/>
        <v>-20.49638889</v>
      </c>
      <c r="R228" s="10">
        <f t="shared" si="6"/>
        <v>-43.4575</v>
      </c>
    </row>
    <row r="229">
      <c r="A229" s="10" t="s">
        <v>731</v>
      </c>
      <c r="B229" s="10" t="s">
        <v>580</v>
      </c>
      <c r="C229" s="10" t="s">
        <v>581</v>
      </c>
      <c r="D229" s="13">
        <v>228.0</v>
      </c>
      <c r="E229" s="14" t="str">
        <f t="shared" si="10"/>
        <v>2033.571S</v>
      </c>
      <c r="F229" s="14" t="str">
        <f t="shared" si="11"/>
        <v>04351.987W</v>
      </c>
      <c r="G229" s="14" t="str">
        <f>IFERROR(__xludf.DUMMYFUNCTION("SPLIT($B229,"" "")"),"S20")</f>
        <v>S20</v>
      </c>
      <c r="H229" s="15">
        <f>IFERROR(__xludf.DUMMYFUNCTION("""COMPUTED_VALUE"""),33.0)</f>
        <v>33</v>
      </c>
      <c r="I229" s="16">
        <f>IFERROR(__xludf.DUMMYFUNCTION("""COMPUTED_VALUE"""),34.25)</f>
        <v>34.25</v>
      </c>
      <c r="J229" s="14" t="str">
        <f t="shared" si="12"/>
        <v>0.571</v>
      </c>
      <c r="K229" s="14"/>
      <c r="L229" s="14" t="str">
        <f>IFERROR(__xludf.DUMMYFUNCTION("SPLIT($C229,"" "")"),"W043")</f>
        <v>W043</v>
      </c>
      <c r="M229" s="17">
        <f>IFERROR(__xludf.DUMMYFUNCTION("""COMPUTED_VALUE"""),51.0)</f>
        <v>51</v>
      </c>
      <c r="N229" s="16">
        <f>IFERROR(__xludf.DUMMYFUNCTION("""COMPUTED_VALUE"""),59.2)</f>
        <v>59.2</v>
      </c>
      <c r="O229" s="14" t="str">
        <f t="shared" si="4"/>
        <v>0.987</v>
      </c>
      <c r="Q229" s="10">
        <f t="shared" si="5"/>
        <v>-20.55944444</v>
      </c>
      <c r="R229" s="10">
        <f t="shared" si="6"/>
        <v>-43.86638889</v>
      </c>
    </row>
    <row r="230">
      <c r="A230" s="10" t="s">
        <v>732</v>
      </c>
      <c r="B230" s="10" t="s">
        <v>124</v>
      </c>
      <c r="C230" s="10" t="s">
        <v>125</v>
      </c>
      <c r="D230" s="13">
        <v>229.0</v>
      </c>
      <c r="E230" s="14" t="str">
        <f t="shared" si="10"/>
        <v>2029.181S</v>
      </c>
      <c r="F230" s="14" t="str">
        <f t="shared" si="11"/>
        <v>04420.118W</v>
      </c>
      <c r="G230" s="14" t="str">
        <f>IFERROR(__xludf.DUMMYFUNCTION("SPLIT($B230,"" "")"),"S20")</f>
        <v>S20</v>
      </c>
      <c r="H230" s="15">
        <f>IFERROR(__xludf.DUMMYFUNCTION("""COMPUTED_VALUE"""),29.0)</f>
        <v>29</v>
      </c>
      <c r="I230" s="16">
        <f>IFERROR(__xludf.DUMMYFUNCTION("""COMPUTED_VALUE"""),10.83)</f>
        <v>10.83</v>
      </c>
      <c r="J230" s="14" t="str">
        <f t="shared" si="12"/>
        <v>0.181</v>
      </c>
      <c r="K230" s="14"/>
      <c r="L230" s="14" t="str">
        <f>IFERROR(__xludf.DUMMYFUNCTION("SPLIT($C230,"" "")"),"W044")</f>
        <v>W044</v>
      </c>
      <c r="M230" s="17">
        <f>IFERROR(__xludf.DUMMYFUNCTION("""COMPUTED_VALUE"""),20.0)</f>
        <v>20</v>
      </c>
      <c r="N230" s="16">
        <f>IFERROR(__xludf.DUMMYFUNCTION("""COMPUTED_VALUE"""),7.08)</f>
        <v>7.08</v>
      </c>
      <c r="O230" s="14" t="str">
        <f t="shared" si="4"/>
        <v>0.118</v>
      </c>
      <c r="Q230" s="10">
        <f t="shared" si="5"/>
        <v>-20.48611111</v>
      </c>
      <c r="R230" s="10">
        <f t="shared" si="6"/>
        <v>-44.33527778</v>
      </c>
    </row>
    <row r="231">
      <c r="A231" s="10" t="s">
        <v>733</v>
      </c>
      <c r="B231" s="10" t="s">
        <v>136</v>
      </c>
      <c r="C231" s="10" t="s">
        <v>137</v>
      </c>
      <c r="D231" s="13">
        <v>230.0</v>
      </c>
      <c r="E231" s="14" t="str">
        <f t="shared" si="10"/>
        <v>2024.773S</v>
      </c>
      <c r="F231" s="14" t="str">
        <f t="shared" si="11"/>
        <v>04426.130W</v>
      </c>
      <c r="G231" s="14" t="str">
        <f>IFERROR(__xludf.DUMMYFUNCTION("SPLIT($B231,"" "")"),"S20")</f>
        <v>S20</v>
      </c>
      <c r="H231" s="15">
        <f>IFERROR(__xludf.DUMMYFUNCTION("""COMPUTED_VALUE"""),24.0)</f>
        <v>24</v>
      </c>
      <c r="I231" s="16">
        <f>IFERROR(__xludf.DUMMYFUNCTION("""COMPUTED_VALUE"""),46.36)</f>
        <v>46.36</v>
      </c>
      <c r="J231" s="14" t="str">
        <f t="shared" si="12"/>
        <v>0.773</v>
      </c>
      <c r="K231" s="14"/>
      <c r="L231" s="14" t="str">
        <f>IFERROR(__xludf.DUMMYFUNCTION("SPLIT($C231,"" "")"),"W044")</f>
        <v>W044</v>
      </c>
      <c r="M231" s="17">
        <f>IFERROR(__xludf.DUMMYFUNCTION("""COMPUTED_VALUE"""),26.0)</f>
        <v>26</v>
      </c>
      <c r="N231" s="16">
        <f>IFERROR(__xludf.DUMMYFUNCTION("""COMPUTED_VALUE"""),7.78)</f>
        <v>7.78</v>
      </c>
      <c r="O231" s="14" t="str">
        <f t="shared" si="4"/>
        <v>0.130</v>
      </c>
      <c r="Q231" s="10">
        <f t="shared" si="5"/>
        <v>-20.41277778</v>
      </c>
      <c r="R231" s="10">
        <f t="shared" si="6"/>
        <v>-44.43527778</v>
      </c>
    </row>
    <row r="232">
      <c r="A232" s="10" t="s">
        <v>734</v>
      </c>
      <c r="B232" s="10" t="s">
        <v>193</v>
      </c>
      <c r="C232" s="10" t="s">
        <v>194</v>
      </c>
      <c r="D232" s="13">
        <v>231.0</v>
      </c>
      <c r="E232" s="14" t="str">
        <f t="shared" si="10"/>
        <v>2011.508S</v>
      </c>
      <c r="F232" s="14" t="str">
        <f t="shared" si="11"/>
        <v>04433.327W</v>
      </c>
      <c r="G232" s="14" t="str">
        <f>IFERROR(__xludf.DUMMYFUNCTION("SPLIT($B232,"" "")"),"S20")</f>
        <v>S20</v>
      </c>
      <c r="H232" s="15">
        <f>IFERROR(__xludf.DUMMYFUNCTION("""COMPUTED_VALUE"""),11.0)</f>
        <v>11</v>
      </c>
      <c r="I232" s="16">
        <f>IFERROR(__xludf.DUMMYFUNCTION("""COMPUTED_VALUE"""),30.5)</f>
        <v>30.5</v>
      </c>
      <c r="J232" s="14" t="str">
        <f t="shared" si="12"/>
        <v>0.508</v>
      </c>
      <c r="K232" s="14"/>
      <c r="L232" s="14" t="str">
        <f>IFERROR(__xludf.DUMMYFUNCTION("SPLIT($C232,"" "")"),"W044")</f>
        <v>W044</v>
      </c>
      <c r="M232" s="17">
        <f>IFERROR(__xludf.DUMMYFUNCTION("""COMPUTED_VALUE"""),33.0)</f>
        <v>33</v>
      </c>
      <c r="N232" s="16">
        <f>IFERROR(__xludf.DUMMYFUNCTION("""COMPUTED_VALUE"""),19.61)</f>
        <v>19.61</v>
      </c>
      <c r="O232" s="14" t="str">
        <f t="shared" si="4"/>
        <v>0.327</v>
      </c>
      <c r="Q232" s="10">
        <f t="shared" si="5"/>
        <v>-20.19166667</v>
      </c>
      <c r="R232" s="10">
        <f t="shared" si="6"/>
        <v>-44.55527778</v>
      </c>
    </row>
    <row r="233">
      <c r="A233" s="10" t="s">
        <v>735</v>
      </c>
      <c r="B233" s="10" t="s">
        <v>399</v>
      </c>
      <c r="C233" s="10" t="s">
        <v>400</v>
      </c>
      <c r="D233" s="13">
        <v>232.0</v>
      </c>
      <c r="E233" s="14" t="str">
        <f t="shared" si="10"/>
        <v>1935.255S</v>
      </c>
      <c r="F233" s="14" t="str">
        <f t="shared" si="11"/>
        <v>04446.243W</v>
      </c>
      <c r="G233" s="14" t="str">
        <f>IFERROR(__xludf.DUMMYFUNCTION("SPLIT($B233,"" "")"),"S19")</f>
        <v>S19</v>
      </c>
      <c r="H233" s="15">
        <f>IFERROR(__xludf.DUMMYFUNCTION("""COMPUTED_VALUE"""),35.0)</f>
        <v>35</v>
      </c>
      <c r="I233" s="16">
        <f>IFERROR(__xludf.DUMMYFUNCTION("""COMPUTED_VALUE"""),15.29)</f>
        <v>15.29</v>
      </c>
      <c r="J233" s="14" t="str">
        <f t="shared" si="12"/>
        <v>0.255</v>
      </c>
      <c r="K233" s="14"/>
      <c r="L233" s="14" t="str">
        <f>IFERROR(__xludf.DUMMYFUNCTION("SPLIT($C233,"" "")"),"W044")</f>
        <v>W044</v>
      </c>
      <c r="M233" s="17">
        <f>IFERROR(__xludf.DUMMYFUNCTION("""COMPUTED_VALUE"""),46.0)</f>
        <v>46</v>
      </c>
      <c r="N233" s="16">
        <f>IFERROR(__xludf.DUMMYFUNCTION("""COMPUTED_VALUE"""),14.58)</f>
        <v>14.58</v>
      </c>
      <c r="O233" s="14" t="str">
        <f t="shared" si="4"/>
        <v>0.243</v>
      </c>
      <c r="Q233" s="10">
        <f t="shared" si="5"/>
        <v>-19.5875</v>
      </c>
      <c r="R233" s="10">
        <f t="shared" si="6"/>
        <v>-44.77055556</v>
      </c>
    </row>
    <row r="234">
      <c r="A234" s="10" t="s">
        <v>736</v>
      </c>
      <c r="B234" s="10" t="s">
        <v>737</v>
      </c>
      <c r="C234" s="10" t="s">
        <v>738</v>
      </c>
      <c r="D234" s="13">
        <v>233.0</v>
      </c>
      <c r="E234" s="14" t="str">
        <f t="shared" si="10"/>
        <v>1907.562S</v>
      </c>
      <c r="F234" s="14" t="str">
        <f t="shared" si="11"/>
        <v>04436.678W</v>
      </c>
      <c r="G234" s="14" t="str">
        <f>IFERROR(__xludf.DUMMYFUNCTION("SPLIT($B234,"" "")"),"S19")</f>
        <v>S19</v>
      </c>
      <c r="H234" s="15">
        <f>IFERROR(__xludf.DUMMYFUNCTION("""COMPUTED_VALUE"""),7.0)</f>
        <v>7</v>
      </c>
      <c r="I234" s="16">
        <f>IFERROR(__xludf.DUMMYFUNCTION("""COMPUTED_VALUE"""),33.71)</f>
        <v>33.71</v>
      </c>
      <c r="J234" s="14" t="str">
        <f t="shared" si="12"/>
        <v>0.562</v>
      </c>
      <c r="K234" s="14"/>
      <c r="L234" s="14" t="str">
        <f>IFERROR(__xludf.DUMMYFUNCTION("SPLIT($C234,"" "")"),"W044")</f>
        <v>W044</v>
      </c>
      <c r="M234" s="17">
        <f>IFERROR(__xludf.DUMMYFUNCTION("""COMPUTED_VALUE"""),36.0)</f>
        <v>36</v>
      </c>
      <c r="N234" s="16">
        <f>IFERROR(__xludf.DUMMYFUNCTION("""COMPUTED_VALUE"""),40.65)</f>
        <v>40.65</v>
      </c>
      <c r="O234" s="14" t="str">
        <f t="shared" si="4"/>
        <v>0.678</v>
      </c>
      <c r="Q234" s="10">
        <f t="shared" si="5"/>
        <v>-19.12583333</v>
      </c>
      <c r="R234" s="10">
        <f t="shared" si="6"/>
        <v>-44.61111111</v>
      </c>
    </row>
    <row r="235">
      <c r="A235" s="10" t="s">
        <v>739</v>
      </c>
      <c r="B235" s="10" t="s">
        <v>740</v>
      </c>
      <c r="C235" s="10" t="s">
        <v>741</v>
      </c>
      <c r="D235" s="13">
        <v>234.0</v>
      </c>
      <c r="E235" s="14" t="str">
        <f t="shared" si="10"/>
        <v>1958.632S</v>
      </c>
      <c r="F235" s="14" t="str">
        <f t="shared" si="11"/>
        <v>04418.229W</v>
      </c>
      <c r="G235" s="14" t="str">
        <f>IFERROR(__xludf.DUMMYFUNCTION("SPLIT($B235,"" "")"),"S19")</f>
        <v>S19</v>
      </c>
      <c r="H235" s="15">
        <f>IFERROR(__xludf.DUMMYFUNCTION("""COMPUTED_VALUE"""),58.0)</f>
        <v>58</v>
      </c>
      <c r="I235" s="16">
        <f>IFERROR(__xludf.DUMMYFUNCTION("""COMPUTED_VALUE"""),37.89)</f>
        <v>37.89</v>
      </c>
      <c r="J235" s="14" t="str">
        <f t="shared" si="12"/>
        <v>0.632</v>
      </c>
      <c r="K235" s="14"/>
      <c r="L235" s="14" t="str">
        <f>IFERROR(__xludf.DUMMYFUNCTION("SPLIT($C235,"" "")"),"W044")</f>
        <v>W044</v>
      </c>
      <c r="M235" s="17">
        <f>IFERROR(__xludf.DUMMYFUNCTION("""COMPUTED_VALUE"""),18.0)</f>
        <v>18</v>
      </c>
      <c r="N235" s="16">
        <f>IFERROR(__xludf.DUMMYFUNCTION("""COMPUTED_VALUE"""),13.72)</f>
        <v>13.72</v>
      </c>
      <c r="O235" s="14" t="str">
        <f t="shared" si="4"/>
        <v>0.229</v>
      </c>
      <c r="Q235" s="10">
        <f t="shared" si="5"/>
        <v>-19.97694444</v>
      </c>
      <c r="R235" s="10">
        <f t="shared" si="6"/>
        <v>-44.30361111</v>
      </c>
    </row>
    <row r="236">
      <c r="A236" s="10" t="s">
        <v>742</v>
      </c>
      <c r="B236" s="10" t="s">
        <v>743</v>
      </c>
      <c r="C236" s="10" t="s">
        <v>744</v>
      </c>
      <c r="D236" s="13">
        <v>235.0</v>
      </c>
      <c r="E236" s="14" t="str">
        <f t="shared" si="10"/>
        <v>1955.758S</v>
      </c>
      <c r="F236" s="14" t="str">
        <f t="shared" si="11"/>
        <v>04358.837W</v>
      </c>
      <c r="G236" s="14" t="str">
        <f>IFERROR(__xludf.DUMMYFUNCTION("SPLIT($B236,"" "")"),"S19")</f>
        <v>S19</v>
      </c>
      <c r="H236" s="15">
        <f>IFERROR(__xludf.DUMMYFUNCTION("""COMPUTED_VALUE"""),55.0)</f>
        <v>55</v>
      </c>
      <c r="I236" s="16">
        <f>IFERROR(__xludf.DUMMYFUNCTION("""COMPUTED_VALUE"""),45.47)</f>
        <v>45.47</v>
      </c>
      <c r="J236" s="14" t="str">
        <f t="shared" si="12"/>
        <v>0.758</v>
      </c>
      <c r="K236" s="14"/>
      <c r="L236" s="14" t="str">
        <f>IFERROR(__xludf.DUMMYFUNCTION("SPLIT($C236,"" "")"),"W043")</f>
        <v>W043</v>
      </c>
      <c r="M236" s="17">
        <f>IFERROR(__xludf.DUMMYFUNCTION("""COMPUTED_VALUE"""),58.0)</f>
        <v>58</v>
      </c>
      <c r="N236" s="16">
        <f>IFERROR(__xludf.DUMMYFUNCTION("""COMPUTED_VALUE"""),50.24)</f>
        <v>50.24</v>
      </c>
      <c r="O236" s="14" t="str">
        <f t="shared" si="4"/>
        <v>0.837</v>
      </c>
      <c r="Q236" s="10">
        <f t="shared" si="5"/>
        <v>-19.92916667</v>
      </c>
      <c r="R236" s="10">
        <f t="shared" si="6"/>
        <v>-43.98055556</v>
      </c>
    </row>
    <row r="237">
      <c r="A237" s="10" t="s">
        <v>745</v>
      </c>
      <c r="B237" s="10" t="s">
        <v>746</v>
      </c>
      <c r="C237" s="10" t="s">
        <v>747</v>
      </c>
      <c r="D237" s="13">
        <v>236.0</v>
      </c>
      <c r="E237" s="14" t="str">
        <f t="shared" si="10"/>
        <v>2002.930S</v>
      </c>
      <c r="F237" s="14" t="str">
        <f t="shared" si="11"/>
        <v>04356.800W</v>
      </c>
      <c r="G237" s="14" t="str">
        <f>IFERROR(__xludf.DUMMYFUNCTION("SPLIT($B237,"" "")"),"S20")</f>
        <v>S20</v>
      </c>
      <c r="H237" s="15">
        <f>IFERROR(__xludf.DUMMYFUNCTION("""COMPUTED_VALUE"""),2.0)</f>
        <v>2</v>
      </c>
      <c r="I237" s="16">
        <f>IFERROR(__xludf.DUMMYFUNCTION("""COMPUTED_VALUE"""),55.78)</f>
        <v>55.78</v>
      </c>
      <c r="J237" s="14" t="str">
        <f t="shared" si="12"/>
        <v>0.930</v>
      </c>
      <c r="K237" s="14"/>
      <c r="L237" s="14" t="str">
        <f>IFERROR(__xludf.DUMMYFUNCTION("SPLIT($C237,"" "")"),"W043")</f>
        <v>W043</v>
      </c>
      <c r="M237" s="17">
        <f>IFERROR(__xludf.DUMMYFUNCTION("""COMPUTED_VALUE"""),56.0)</f>
        <v>56</v>
      </c>
      <c r="N237" s="16">
        <f>IFERROR(__xludf.DUMMYFUNCTION("""COMPUTED_VALUE"""),47.98)</f>
        <v>47.98</v>
      </c>
      <c r="O237" s="14" t="str">
        <f t="shared" si="4"/>
        <v>0.800</v>
      </c>
      <c r="Q237" s="10">
        <f t="shared" si="5"/>
        <v>-20.04861111</v>
      </c>
      <c r="R237" s="10">
        <f t="shared" si="6"/>
        <v>-43.94638889</v>
      </c>
    </row>
    <row r="238">
      <c r="A238" s="10" t="s">
        <v>748</v>
      </c>
      <c r="B238" s="10" t="s">
        <v>749</v>
      </c>
      <c r="C238" s="10" t="s">
        <v>750</v>
      </c>
      <c r="D238" s="13">
        <v>237.0</v>
      </c>
      <c r="E238" s="14" t="str">
        <f t="shared" si="10"/>
        <v>2006.214S</v>
      </c>
      <c r="F238" s="14" t="str">
        <f t="shared" si="11"/>
        <v>04347.616W</v>
      </c>
      <c r="G238" s="14" t="str">
        <f>IFERROR(__xludf.DUMMYFUNCTION("SPLIT($B238,"" "")"),"S20")</f>
        <v>S20</v>
      </c>
      <c r="H238" s="15">
        <f>IFERROR(__xludf.DUMMYFUNCTION("""COMPUTED_VALUE"""),6.0)</f>
        <v>6</v>
      </c>
      <c r="I238" s="16">
        <f>IFERROR(__xludf.DUMMYFUNCTION("""COMPUTED_VALUE"""),12.82)</f>
        <v>12.82</v>
      </c>
      <c r="J238" s="14" t="str">
        <f t="shared" si="12"/>
        <v>0.214</v>
      </c>
      <c r="K238" s="14"/>
      <c r="L238" s="14" t="str">
        <f>IFERROR(__xludf.DUMMYFUNCTION("SPLIT($C238,"" "")"),"W043")</f>
        <v>W043</v>
      </c>
      <c r="M238" s="17">
        <f>IFERROR(__xludf.DUMMYFUNCTION("""COMPUTED_VALUE"""),47.0)</f>
        <v>47</v>
      </c>
      <c r="N238" s="16">
        <f>IFERROR(__xludf.DUMMYFUNCTION("""COMPUTED_VALUE"""),36.94)</f>
        <v>36.94</v>
      </c>
      <c r="O238" s="14" t="str">
        <f t="shared" si="4"/>
        <v>0.616</v>
      </c>
      <c r="Q238" s="10">
        <f t="shared" si="5"/>
        <v>-20.10333333</v>
      </c>
      <c r="R238" s="10">
        <f t="shared" si="6"/>
        <v>-43.79333333</v>
      </c>
    </row>
    <row r="239">
      <c r="A239" s="10" t="s">
        <v>751</v>
      </c>
      <c r="B239" s="10" t="s">
        <v>752</v>
      </c>
      <c r="C239" s="10" t="s">
        <v>753</v>
      </c>
      <c r="D239" s="13">
        <v>238.0</v>
      </c>
      <c r="E239" s="14" t="str">
        <f t="shared" si="10"/>
        <v>1954.129S</v>
      </c>
      <c r="F239" s="14" t="str">
        <f t="shared" si="11"/>
        <v>04331.371W</v>
      </c>
      <c r="G239" s="14" t="str">
        <f>IFERROR(__xludf.DUMMYFUNCTION("SPLIT($B239,"" "")"),"S19")</f>
        <v>S19</v>
      </c>
      <c r="H239" s="15">
        <f>IFERROR(__xludf.DUMMYFUNCTION("""COMPUTED_VALUE"""),54.0)</f>
        <v>54</v>
      </c>
      <c r="I239" s="16">
        <f>IFERROR(__xludf.DUMMYFUNCTION("""COMPUTED_VALUE"""),7.72)</f>
        <v>7.72</v>
      </c>
      <c r="J239" s="14" t="str">
        <f t="shared" si="12"/>
        <v>0.129</v>
      </c>
      <c r="K239" s="14"/>
      <c r="L239" s="14" t="str">
        <f>IFERROR(__xludf.DUMMYFUNCTION("SPLIT($C239,"" "")"),"W043")</f>
        <v>W043</v>
      </c>
      <c r="M239" s="17">
        <f>IFERROR(__xludf.DUMMYFUNCTION("""COMPUTED_VALUE"""),31.0)</f>
        <v>31</v>
      </c>
      <c r="N239" s="16">
        <f>IFERROR(__xludf.DUMMYFUNCTION("""COMPUTED_VALUE"""),22.28)</f>
        <v>22.28</v>
      </c>
      <c r="O239" s="14" t="str">
        <f t="shared" si="4"/>
        <v>0.371</v>
      </c>
      <c r="Q239" s="10">
        <f t="shared" si="5"/>
        <v>-19.90194444</v>
      </c>
      <c r="R239" s="10">
        <f t="shared" si="6"/>
        <v>-43.52277778</v>
      </c>
    </row>
    <row r="240">
      <c r="A240" s="10" t="s">
        <v>754</v>
      </c>
      <c r="B240" s="10" t="s">
        <v>755</v>
      </c>
      <c r="C240" s="10" t="s">
        <v>756</v>
      </c>
      <c r="D240" s="13">
        <v>239.0</v>
      </c>
      <c r="E240" s="14" t="str">
        <f t="shared" si="10"/>
        <v>1930.109S</v>
      </c>
      <c r="F240" s="14" t="str">
        <f t="shared" si="11"/>
        <v>04329.206W</v>
      </c>
      <c r="G240" s="14" t="str">
        <f>IFERROR(__xludf.DUMMYFUNCTION("SPLIT($B240,"" "")"),"S19")</f>
        <v>S19</v>
      </c>
      <c r="H240" s="15">
        <f>IFERROR(__xludf.DUMMYFUNCTION("""COMPUTED_VALUE"""),30.0)</f>
        <v>30</v>
      </c>
      <c r="I240" s="16">
        <f>IFERROR(__xludf.DUMMYFUNCTION("""COMPUTED_VALUE"""),6.51)</f>
        <v>6.51</v>
      </c>
      <c r="J240" s="14" t="str">
        <f t="shared" si="12"/>
        <v>0.109</v>
      </c>
      <c r="K240" s="14"/>
      <c r="L240" s="14" t="str">
        <f>IFERROR(__xludf.DUMMYFUNCTION("SPLIT($C240,"" "")"),"W043")</f>
        <v>W043</v>
      </c>
      <c r="M240" s="17">
        <f>IFERROR(__xludf.DUMMYFUNCTION("""COMPUTED_VALUE"""),29.0)</f>
        <v>29</v>
      </c>
      <c r="N240" s="16">
        <f>IFERROR(__xludf.DUMMYFUNCTION("""COMPUTED_VALUE"""),12.37)</f>
        <v>12.37</v>
      </c>
      <c r="O240" s="14" t="str">
        <f t="shared" si="4"/>
        <v>0.206</v>
      </c>
      <c r="Q240" s="10">
        <f t="shared" si="5"/>
        <v>-19.50166667</v>
      </c>
      <c r="R240" s="10">
        <f t="shared" si="6"/>
        <v>-43.48666667</v>
      </c>
    </row>
    <row r="241">
      <c r="A241" s="10" t="s">
        <v>757</v>
      </c>
      <c r="B241" s="10" t="s">
        <v>758</v>
      </c>
      <c r="C241" s="10" t="s">
        <v>759</v>
      </c>
      <c r="D241" s="13">
        <v>240.0</v>
      </c>
      <c r="E241" s="14" t="str">
        <f t="shared" si="10"/>
        <v>1909.960S</v>
      </c>
      <c r="F241" s="14" t="str">
        <f t="shared" si="11"/>
        <v>04356.590W</v>
      </c>
      <c r="G241" s="14" t="str">
        <f>IFERROR(__xludf.DUMMYFUNCTION("SPLIT($B241,"" "")"),"S19")</f>
        <v>S19</v>
      </c>
      <c r="H241" s="15">
        <f>IFERROR(__xludf.DUMMYFUNCTION("""COMPUTED_VALUE"""),9.0)</f>
        <v>9</v>
      </c>
      <c r="I241" s="16">
        <f>IFERROR(__xludf.DUMMYFUNCTION("""COMPUTED_VALUE"""),57.62)</f>
        <v>57.62</v>
      </c>
      <c r="J241" s="14" t="str">
        <f t="shared" si="12"/>
        <v>0.960</v>
      </c>
      <c r="K241" s="14"/>
      <c r="L241" s="14" t="str">
        <f>IFERROR(__xludf.DUMMYFUNCTION("SPLIT($C241,"" "")"),"W043")</f>
        <v>W043</v>
      </c>
      <c r="M241" s="17">
        <f>IFERROR(__xludf.DUMMYFUNCTION("""COMPUTED_VALUE"""),56.0)</f>
        <v>56</v>
      </c>
      <c r="N241" s="16">
        <f>IFERROR(__xludf.DUMMYFUNCTION("""COMPUTED_VALUE"""),35.38)</f>
        <v>35.38</v>
      </c>
      <c r="O241" s="14" t="str">
        <f t="shared" si="4"/>
        <v>0.590</v>
      </c>
      <c r="Q241" s="10">
        <f t="shared" si="5"/>
        <v>-19.16583333</v>
      </c>
      <c r="R241" s="10">
        <f t="shared" si="6"/>
        <v>-43.94305556</v>
      </c>
    </row>
    <row r="242">
      <c r="A242" s="10" t="s">
        <v>760</v>
      </c>
      <c r="B242" s="10" t="s">
        <v>761</v>
      </c>
      <c r="C242" s="10" t="s">
        <v>762</v>
      </c>
      <c r="D242" s="13">
        <v>241.0</v>
      </c>
      <c r="E242" s="14" t="str">
        <f t="shared" si="10"/>
        <v>1913.497S</v>
      </c>
      <c r="F242" s="14" t="str">
        <f t="shared" si="11"/>
        <v>04414.375W</v>
      </c>
      <c r="G242" s="14" t="str">
        <f>IFERROR(__xludf.DUMMYFUNCTION("SPLIT($B242,"" "")"),"S19")</f>
        <v>S19</v>
      </c>
      <c r="H242" s="15">
        <f>IFERROR(__xludf.DUMMYFUNCTION("""COMPUTED_VALUE"""),13.0)</f>
        <v>13</v>
      </c>
      <c r="I242" s="16">
        <f>IFERROR(__xludf.DUMMYFUNCTION("""COMPUTED_VALUE"""),29.84)</f>
        <v>29.84</v>
      </c>
      <c r="J242" s="14" t="str">
        <f t="shared" si="12"/>
        <v>0.497</v>
      </c>
      <c r="K242" s="14"/>
      <c r="L242" s="14" t="str">
        <f>IFERROR(__xludf.DUMMYFUNCTION("SPLIT($C242,"" "")"),"W044")</f>
        <v>W044</v>
      </c>
      <c r="M242" s="17">
        <f>IFERROR(__xludf.DUMMYFUNCTION("""COMPUTED_VALUE"""),14.0)</f>
        <v>14</v>
      </c>
      <c r="N242" s="16">
        <f>IFERROR(__xludf.DUMMYFUNCTION("""COMPUTED_VALUE"""),22.47)</f>
        <v>22.47</v>
      </c>
      <c r="O242" s="14" t="str">
        <f t="shared" si="4"/>
        <v>0.375</v>
      </c>
      <c r="Q242" s="10">
        <f t="shared" si="5"/>
        <v>-19.22472222</v>
      </c>
      <c r="R242" s="10">
        <f t="shared" si="6"/>
        <v>-44.23944444</v>
      </c>
    </row>
    <row r="243">
      <c r="A243" s="10" t="s">
        <v>763</v>
      </c>
      <c r="B243" s="10" t="s">
        <v>764</v>
      </c>
      <c r="C243" s="10" t="s">
        <v>765</v>
      </c>
      <c r="D243" s="13">
        <v>242.0</v>
      </c>
      <c r="E243" s="14" t="str">
        <f t="shared" si="10"/>
        <v>1917.668S</v>
      </c>
      <c r="F243" s="14" t="str">
        <f t="shared" si="11"/>
        <v>04422.760W</v>
      </c>
      <c r="G243" s="14" t="str">
        <f>IFERROR(__xludf.DUMMYFUNCTION("SPLIT($B243,"" "")"),"S19")</f>
        <v>S19</v>
      </c>
      <c r="H243" s="15">
        <f>IFERROR(__xludf.DUMMYFUNCTION("""COMPUTED_VALUE"""),17.0)</f>
        <v>17</v>
      </c>
      <c r="I243" s="16">
        <f>IFERROR(__xludf.DUMMYFUNCTION("""COMPUTED_VALUE"""),40.07)</f>
        <v>40.07</v>
      </c>
      <c r="J243" s="14" t="str">
        <f t="shared" si="12"/>
        <v>0.668</v>
      </c>
      <c r="K243" s="14"/>
      <c r="L243" s="14" t="str">
        <f>IFERROR(__xludf.DUMMYFUNCTION("SPLIT($C243,"" "")"),"W044")</f>
        <v>W044</v>
      </c>
      <c r="M243" s="17">
        <f>IFERROR(__xludf.DUMMYFUNCTION("""COMPUTED_VALUE"""),22.0)</f>
        <v>22</v>
      </c>
      <c r="N243" s="16">
        <f>IFERROR(__xludf.DUMMYFUNCTION("""COMPUTED_VALUE"""),45.59)</f>
        <v>45.59</v>
      </c>
      <c r="O243" s="14" t="str">
        <f t="shared" si="4"/>
        <v>0.760</v>
      </c>
      <c r="Q243" s="10">
        <f t="shared" si="5"/>
        <v>-19.29444444</v>
      </c>
      <c r="R243" s="10">
        <f t="shared" si="6"/>
        <v>-44.37916667</v>
      </c>
    </row>
    <row r="244">
      <c r="A244" s="10" t="s">
        <v>766</v>
      </c>
      <c r="B244" s="10" t="s">
        <v>767</v>
      </c>
      <c r="C244" s="10" t="s">
        <v>768</v>
      </c>
      <c r="D244" s="13">
        <v>243.0</v>
      </c>
      <c r="E244" s="14" t="str">
        <f t="shared" si="10"/>
        <v>1931.417S</v>
      </c>
      <c r="F244" s="14" t="str">
        <f t="shared" si="11"/>
        <v>04425.656W</v>
      </c>
      <c r="G244" s="14" t="str">
        <f>IFERROR(__xludf.DUMMYFUNCTION("SPLIT($B244,"" "")"),"S19")</f>
        <v>S19</v>
      </c>
      <c r="H244" s="15">
        <f>IFERROR(__xludf.DUMMYFUNCTION("""COMPUTED_VALUE"""),31.0)</f>
        <v>31</v>
      </c>
      <c r="I244" s="16">
        <f>IFERROR(__xludf.DUMMYFUNCTION("""COMPUTED_VALUE"""),25.02)</f>
        <v>25.02</v>
      </c>
      <c r="J244" s="14" t="str">
        <f t="shared" si="12"/>
        <v>0.417</v>
      </c>
      <c r="K244" s="14"/>
      <c r="L244" s="14" t="str">
        <f>IFERROR(__xludf.DUMMYFUNCTION("SPLIT($C244,"" "")"),"W044")</f>
        <v>W044</v>
      </c>
      <c r="M244" s="17">
        <f>IFERROR(__xludf.DUMMYFUNCTION("""COMPUTED_VALUE"""),25.0)</f>
        <v>25</v>
      </c>
      <c r="N244" s="16">
        <f>IFERROR(__xludf.DUMMYFUNCTION("""COMPUTED_VALUE"""),39.37)</f>
        <v>39.37</v>
      </c>
      <c r="O244" s="14" t="str">
        <f t="shared" si="4"/>
        <v>0.656</v>
      </c>
      <c r="Q244" s="10">
        <f t="shared" si="5"/>
        <v>-19.52361111</v>
      </c>
      <c r="R244" s="10">
        <f t="shared" si="6"/>
        <v>-44.4275</v>
      </c>
    </row>
    <row r="245">
      <c r="A245" s="10" t="s">
        <v>769</v>
      </c>
      <c r="B245" s="10" t="s">
        <v>770</v>
      </c>
      <c r="C245" s="10" t="s">
        <v>771</v>
      </c>
      <c r="D245" s="13">
        <v>244.0</v>
      </c>
      <c r="E245" s="14" t="str">
        <f t="shared" si="10"/>
        <v>1859.909S</v>
      </c>
      <c r="F245" s="14" t="str">
        <f t="shared" si="11"/>
        <v>04425.554W</v>
      </c>
      <c r="G245" s="14" t="str">
        <f>IFERROR(__xludf.DUMMYFUNCTION("SPLIT($B245,"" "")"),"S18")</f>
        <v>S18</v>
      </c>
      <c r="H245" s="15">
        <f>IFERROR(__xludf.DUMMYFUNCTION("""COMPUTED_VALUE"""),59.0)</f>
        <v>59</v>
      </c>
      <c r="I245" s="16">
        <f>IFERROR(__xludf.DUMMYFUNCTION("""COMPUTED_VALUE"""),54.56)</f>
        <v>54.56</v>
      </c>
      <c r="J245" s="14" t="str">
        <f t="shared" si="12"/>
        <v>0.909</v>
      </c>
      <c r="K245" s="14"/>
      <c r="L245" s="14" t="str">
        <f>IFERROR(__xludf.DUMMYFUNCTION("SPLIT($C245,"" "")"),"W044")</f>
        <v>W044</v>
      </c>
      <c r="M245" s="17">
        <f>IFERROR(__xludf.DUMMYFUNCTION("""COMPUTED_VALUE"""),25.0)</f>
        <v>25</v>
      </c>
      <c r="N245" s="16">
        <f>IFERROR(__xludf.DUMMYFUNCTION("""COMPUTED_VALUE"""),33.26)</f>
        <v>33.26</v>
      </c>
      <c r="O245" s="14" t="str">
        <f t="shared" si="4"/>
        <v>0.554</v>
      </c>
      <c r="Q245" s="10">
        <f t="shared" si="5"/>
        <v>-18.99833333</v>
      </c>
      <c r="R245" s="10">
        <f t="shared" si="6"/>
        <v>-44.42583333</v>
      </c>
    </row>
    <row r="246">
      <c r="A246" s="10" t="s">
        <v>772</v>
      </c>
      <c r="B246" s="10" t="s">
        <v>262</v>
      </c>
      <c r="C246" s="10" t="s">
        <v>263</v>
      </c>
      <c r="D246" s="13">
        <v>245.0</v>
      </c>
      <c r="E246" s="14" t="str">
        <f t="shared" si="10"/>
        <v>1852.276S</v>
      </c>
      <c r="F246" s="14" t="str">
        <f t="shared" si="11"/>
        <v>04407.303W</v>
      </c>
      <c r="G246" s="14" t="str">
        <f>IFERROR(__xludf.DUMMYFUNCTION("SPLIT($B246,"" "")"),"S18")</f>
        <v>S18</v>
      </c>
      <c r="H246" s="15">
        <f>IFERROR(__xludf.DUMMYFUNCTION("""COMPUTED_VALUE"""),52.0)</f>
        <v>52</v>
      </c>
      <c r="I246" s="16">
        <f>IFERROR(__xludf.DUMMYFUNCTION("""COMPUTED_VALUE"""),16.55)</f>
        <v>16.55</v>
      </c>
      <c r="J246" s="14" t="str">
        <f t="shared" si="12"/>
        <v>0.276</v>
      </c>
      <c r="K246" s="14"/>
      <c r="L246" s="14" t="str">
        <f>IFERROR(__xludf.DUMMYFUNCTION("SPLIT($C246,"" "")"),"W044")</f>
        <v>W044</v>
      </c>
      <c r="M246" s="17">
        <f>IFERROR(__xludf.DUMMYFUNCTION("""COMPUTED_VALUE"""),7.0)</f>
        <v>7</v>
      </c>
      <c r="N246" s="16">
        <f>IFERROR(__xludf.DUMMYFUNCTION("""COMPUTED_VALUE"""),18.18)</f>
        <v>18.18</v>
      </c>
      <c r="O246" s="14" t="str">
        <f t="shared" si="4"/>
        <v>0.303</v>
      </c>
      <c r="Q246" s="10">
        <f t="shared" si="5"/>
        <v>-18.87111111</v>
      </c>
      <c r="R246" s="10">
        <f t="shared" si="6"/>
        <v>-44.12166667</v>
      </c>
    </row>
    <row r="247">
      <c r="A247" s="10" t="s">
        <v>773</v>
      </c>
      <c r="B247" s="10" t="s">
        <v>104</v>
      </c>
      <c r="C247" s="10" t="s">
        <v>105</v>
      </c>
      <c r="D247" s="13">
        <v>246.0</v>
      </c>
      <c r="E247" s="14" t="str">
        <f t="shared" si="10"/>
        <v>1852.481S</v>
      </c>
      <c r="F247" s="14" t="str">
        <f t="shared" si="11"/>
        <v>04358.475W</v>
      </c>
      <c r="G247" s="14" t="str">
        <f>IFERROR(__xludf.DUMMYFUNCTION("SPLIT($B247,"" "")"),"S18")</f>
        <v>S18</v>
      </c>
      <c r="H247" s="15">
        <f>IFERROR(__xludf.DUMMYFUNCTION("""COMPUTED_VALUE"""),52.0)</f>
        <v>52</v>
      </c>
      <c r="I247" s="16">
        <f>IFERROR(__xludf.DUMMYFUNCTION("""COMPUTED_VALUE"""),28.86)</f>
        <v>28.86</v>
      </c>
      <c r="J247" s="14" t="str">
        <f t="shared" si="12"/>
        <v>0.481</v>
      </c>
      <c r="K247" s="14"/>
      <c r="L247" s="14" t="str">
        <f>IFERROR(__xludf.DUMMYFUNCTION("SPLIT($C247,"" "")"),"W043")</f>
        <v>W043</v>
      </c>
      <c r="M247" s="17">
        <f>IFERROR(__xludf.DUMMYFUNCTION("""COMPUTED_VALUE"""),58.0)</f>
        <v>58</v>
      </c>
      <c r="N247" s="16">
        <f>IFERROR(__xludf.DUMMYFUNCTION("""COMPUTED_VALUE"""),28.48)</f>
        <v>28.48</v>
      </c>
      <c r="O247" s="14" t="str">
        <f t="shared" si="4"/>
        <v>0.475</v>
      </c>
      <c r="Q247" s="10">
        <f t="shared" si="5"/>
        <v>-18.87444444</v>
      </c>
      <c r="R247" s="10">
        <f t="shared" si="6"/>
        <v>-43.97444444</v>
      </c>
    </row>
    <row r="248">
      <c r="A248" s="10" t="s">
        <v>774</v>
      </c>
      <c r="B248" s="10" t="s">
        <v>184</v>
      </c>
      <c r="C248" s="10" t="s">
        <v>185</v>
      </c>
      <c r="D248" s="13">
        <v>247.0</v>
      </c>
      <c r="E248" s="14" t="str">
        <f t="shared" si="10"/>
        <v>1855.370S</v>
      </c>
      <c r="F248" s="14" t="str">
        <f t="shared" si="11"/>
        <v>04334.999W</v>
      </c>
      <c r="G248" s="14" t="str">
        <f>IFERROR(__xludf.DUMMYFUNCTION("SPLIT($B248,"" "")"),"S18")</f>
        <v>S18</v>
      </c>
      <c r="H248" s="15">
        <f>IFERROR(__xludf.DUMMYFUNCTION("""COMPUTED_VALUE"""),55.0)</f>
        <v>55</v>
      </c>
      <c r="I248" s="16">
        <f>IFERROR(__xludf.DUMMYFUNCTION("""COMPUTED_VALUE"""),22.21)</f>
        <v>22.21</v>
      </c>
      <c r="J248" s="14" t="str">
        <f t="shared" si="12"/>
        <v>0.370</v>
      </c>
      <c r="K248" s="14"/>
      <c r="L248" s="14" t="str">
        <f>IFERROR(__xludf.DUMMYFUNCTION("SPLIT($C248,"" "")"),"W043")</f>
        <v>W043</v>
      </c>
      <c r="M248" s="17">
        <f>IFERROR(__xludf.DUMMYFUNCTION("""COMPUTED_VALUE"""),34.0)</f>
        <v>34</v>
      </c>
      <c r="N248" s="16">
        <f>IFERROR(__xludf.DUMMYFUNCTION("""COMPUTED_VALUE"""),59.91)</f>
        <v>59.91</v>
      </c>
      <c r="O248" s="14" t="str">
        <f t="shared" si="4"/>
        <v>0.999</v>
      </c>
      <c r="Q248" s="10">
        <f t="shared" si="5"/>
        <v>-18.92277778</v>
      </c>
      <c r="R248" s="10">
        <f t="shared" si="6"/>
        <v>-43.58305556</v>
      </c>
    </row>
    <row r="249">
      <c r="A249" s="10" t="s">
        <v>775</v>
      </c>
      <c r="B249" s="10" t="s">
        <v>544</v>
      </c>
      <c r="C249" s="10" t="s">
        <v>545</v>
      </c>
      <c r="D249" s="13">
        <v>248.0</v>
      </c>
      <c r="E249" s="14" t="str">
        <f t="shared" si="10"/>
        <v>1900.102S</v>
      </c>
      <c r="F249" s="14" t="str">
        <f t="shared" si="11"/>
        <v>04329.354W</v>
      </c>
      <c r="G249" s="14" t="str">
        <f>IFERROR(__xludf.DUMMYFUNCTION("SPLIT($B249,"" "")"),"S19")</f>
        <v>S19</v>
      </c>
      <c r="H249" s="15">
        <f>IFERROR(__xludf.DUMMYFUNCTION("""COMPUTED_VALUE"""),0.0)</f>
        <v>0</v>
      </c>
      <c r="I249" s="16">
        <f>IFERROR(__xludf.DUMMYFUNCTION("""COMPUTED_VALUE"""),6.12)</f>
        <v>6.12</v>
      </c>
      <c r="J249" s="14" t="str">
        <f t="shared" si="12"/>
        <v>0.102</v>
      </c>
      <c r="K249" s="14"/>
      <c r="L249" s="14" t="str">
        <f>IFERROR(__xludf.DUMMYFUNCTION("SPLIT($C249,"" "")"),"W043")</f>
        <v>W043</v>
      </c>
      <c r="M249" s="17">
        <f>IFERROR(__xludf.DUMMYFUNCTION("""COMPUTED_VALUE"""),29.0)</f>
        <v>29</v>
      </c>
      <c r="N249" s="16">
        <f>IFERROR(__xludf.DUMMYFUNCTION("""COMPUTED_VALUE"""),21.26)</f>
        <v>21.26</v>
      </c>
      <c r="O249" s="14" t="str">
        <f t="shared" si="4"/>
        <v>0.354</v>
      </c>
      <c r="Q249" s="10">
        <f t="shared" si="5"/>
        <v>-19.00166667</v>
      </c>
      <c r="R249" s="10">
        <f t="shared" si="6"/>
        <v>-43.48916667</v>
      </c>
    </row>
    <row r="250">
      <c r="A250" s="10" t="s">
        <v>776</v>
      </c>
      <c r="B250" s="10" t="s">
        <v>208</v>
      </c>
      <c r="C250" s="10" t="s">
        <v>209</v>
      </c>
      <c r="D250" s="13">
        <v>249.0</v>
      </c>
      <c r="E250" s="14" t="str">
        <f t="shared" si="10"/>
        <v>1916.784S</v>
      </c>
      <c r="F250" s="14" t="str">
        <f t="shared" si="11"/>
        <v>04315.162W</v>
      </c>
      <c r="G250" s="14" t="str">
        <f>IFERROR(__xludf.DUMMYFUNCTION("SPLIT($B250,"" "")"),"S19")</f>
        <v>S19</v>
      </c>
      <c r="H250" s="15">
        <f>IFERROR(__xludf.DUMMYFUNCTION("""COMPUTED_VALUE"""),16.0)</f>
        <v>16</v>
      </c>
      <c r="I250" s="16">
        <f>IFERROR(__xludf.DUMMYFUNCTION("""COMPUTED_VALUE"""),47.02)</f>
        <v>47.02</v>
      </c>
      <c r="J250" s="14" t="str">
        <f t="shared" si="12"/>
        <v>0.784</v>
      </c>
      <c r="K250" s="14"/>
      <c r="L250" s="14" t="str">
        <f>IFERROR(__xludf.DUMMYFUNCTION("SPLIT($C250,"" "")"),"W043")</f>
        <v>W043</v>
      </c>
      <c r="M250" s="17">
        <f>IFERROR(__xludf.DUMMYFUNCTION("""COMPUTED_VALUE"""),15.0)</f>
        <v>15</v>
      </c>
      <c r="N250" s="16">
        <f>IFERROR(__xludf.DUMMYFUNCTION("""COMPUTED_VALUE"""),9.72)</f>
        <v>9.72</v>
      </c>
      <c r="O250" s="14" t="str">
        <f t="shared" si="4"/>
        <v>0.162</v>
      </c>
      <c r="Q250" s="10">
        <f t="shared" si="5"/>
        <v>-19.27972222</v>
      </c>
      <c r="R250" s="10">
        <f t="shared" si="6"/>
        <v>-43.2525</v>
      </c>
    </row>
    <row r="251">
      <c r="A251" s="10" t="s">
        <v>777</v>
      </c>
      <c r="B251" s="10" t="s">
        <v>608</v>
      </c>
      <c r="C251" s="10" t="s">
        <v>609</v>
      </c>
      <c r="D251" s="13">
        <v>250.0</v>
      </c>
      <c r="E251" s="14" t="str">
        <f t="shared" si="10"/>
        <v>1939.380S</v>
      </c>
      <c r="F251" s="14" t="str">
        <f t="shared" si="11"/>
        <v>04307.020W</v>
      </c>
      <c r="G251" s="14" t="str">
        <f>IFERROR(__xludf.DUMMYFUNCTION("SPLIT($B251,"" "")"),"S19")</f>
        <v>S19</v>
      </c>
      <c r="H251" s="15">
        <f>IFERROR(__xludf.DUMMYFUNCTION("""COMPUTED_VALUE"""),39.0)</f>
        <v>39</v>
      </c>
      <c r="I251" s="16">
        <f>IFERROR(__xludf.DUMMYFUNCTION("""COMPUTED_VALUE"""),22.8)</f>
        <v>22.8</v>
      </c>
      <c r="J251" s="14" t="str">
        <f t="shared" si="12"/>
        <v>0.380</v>
      </c>
      <c r="K251" s="14"/>
      <c r="L251" s="14" t="str">
        <f>IFERROR(__xludf.DUMMYFUNCTION("SPLIT($C251,"" "")"),"W043")</f>
        <v>W043</v>
      </c>
      <c r="M251" s="17">
        <f>IFERROR(__xludf.DUMMYFUNCTION("""COMPUTED_VALUE"""),7.0)</f>
        <v>7</v>
      </c>
      <c r="N251" s="16">
        <f>IFERROR(__xludf.DUMMYFUNCTION("""COMPUTED_VALUE"""),1.2)</f>
        <v>1.2</v>
      </c>
      <c r="O251" s="14" t="str">
        <f t="shared" si="4"/>
        <v>0.020</v>
      </c>
      <c r="Q251" s="10">
        <f t="shared" si="5"/>
        <v>-19.65611111</v>
      </c>
      <c r="R251" s="10">
        <f t="shared" si="6"/>
        <v>-43.11694444</v>
      </c>
    </row>
    <row r="252">
      <c r="A252" s="10" t="s">
        <v>778</v>
      </c>
      <c r="B252" s="10" t="s">
        <v>779</v>
      </c>
      <c r="C252" s="10" t="s">
        <v>780</v>
      </c>
      <c r="D252" s="13">
        <v>251.0</v>
      </c>
      <c r="E252" s="14" t="str">
        <f t="shared" si="10"/>
        <v>2048.599S</v>
      </c>
      <c r="F252" s="14" t="str">
        <f t="shared" si="11"/>
        <v>04310.213W</v>
      </c>
      <c r="G252" s="14" t="str">
        <f>IFERROR(__xludf.DUMMYFUNCTION("SPLIT($B252,"" "")"),"S20")</f>
        <v>S20</v>
      </c>
      <c r="H252" s="15">
        <f>IFERROR(__xludf.DUMMYFUNCTION("""COMPUTED_VALUE"""),48.0)</f>
        <v>48</v>
      </c>
      <c r="I252" s="16">
        <f>IFERROR(__xludf.DUMMYFUNCTION("""COMPUTED_VALUE"""),35.91)</f>
        <v>35.91</v>
      </c>
      <c r="J252" s="14" t="str">
        <f t="shared" si="12"/>
        <v>0.599</v>
      </c>
      <c r="K252" s="14"/>
      <c r="L252" s="14" t="str">
        <f>IFERROR(__xludf.DUMMYFUNCTION("SPLIT($C252,"" "")"),"W043")</f>
        <v>W043</v>
      </c>
      <c r="M252" s="17">
        <f>IFERROR(__xludf.DUMMYFUNCTION("""COMPUTED_VALUE"""),10.0)</f>
        <v>10</v>
      </c>
      <c r="N252" s="16">
        <f>IFERROR(__xludf.DUMMYFUNCTION("""COMPUTED_VALUE"""),12.78)</f>
        <v>12.78</v>
      </c>
      <c r="O252" s="14" t="str">
        <f t="shared" si="4"/>
        <v>0.213</v>
      </c>
      <c r="Q252" s="10">
        <f t="shared" si="5"/>
        <v>-20.80972222</v>
      </c>
      <c r="R252" s="10">
        <f t="shared" si="6"/>
        <v>-43.17</v>
      </c>
    </row>
    <row r="253">
      <c r="A253" s="10" t="s">
        <v>781</v>
      </c>
      <c r="B253" s="10" t="s">
        <v>782</v>
      </c>
      <c r="C253" s="10" t="s">
        <v>783</v>
      </c>
      <c r="D253" s="13">
        <v>252.0</v>
      </c>
      <c r="E253" s="14" t="str">
        <f t="shared" si="10"/>
        <v>2000.200S</v>
      </c>
      <c r="F253" s="14" t="str">
        <f t="shared" si="11"/>
        <v>04231.617W</v>
      </c>
      <c r="G253" s="14" t="str">
        <f>IFERROR(__xludf.DUMMYFUNCTION("SPLIT($B253,"" "")"),"S20")</f>
        <v>S20</v>
      </c>
      <c r="H253" s="15">
        <f>IFERROR(__xludf.DUMMYFUNCTION("""COMPUTED_VALUE"""),0.0)</f>
        <v>0</v>
      </c>
      <c r="I253" s="16">
        <f>IFERROR(__xludf.DUMMYFUNCTION("""COMPUTED_VALUE"""),12.0)</f>
        <v>12</v>
      </c>
      <c r="J253" s="14" t="str">
        <f t="shared" si="12"/>
        <v>0.200</v>
      </c>
      <c r="K253" s="14"/>
      <c r="L253" s="14" t="str">
        <f>IFERROR(__xludf.DUMMYFUNCTION("SPLIT($C253,"" "")"),"W042")</f>
        <v>W042</v>
      </c>
      <c r="M253" s="17">
        <f>IFERROR(__xludf.DUMMYFUNCTION("""COMPUTED_VALUE"""),31.0)</f>
        <v>31</v>
      </c>
      <c r="N253" s="16">
        <f>IFERROR(__xludf.DUMMYFUNCTION("""COMPUTED_VALUE"""),37.0)</f>
        <v>37</v>
      </c>
      <c r="O253" s="14" t="str">
        <f t="shared" si="4"/>
        <v>0.617</v>
      </c>
      <c r="Q253" s="10">
        <f t="shared" si="5"/>
        <v>-20.00333333</v>
      </c>
      <c r="R253" s="10">
        <f t="shared" si="6"/>
        <v>-42.52694444</v>
      </c>
    </row>
    <row r="254">
      <c r="A254" s="10" t="s">
        <v>784</v>
      </c>
      <c r="B254" s="10" t="s">
        <v>785</v>
      </c>
      <c r="C254" s="10" t="s">
        <v>786</v>
      </c>
      <c r="D254" s="13">
        <v>253.0</v>
      </c>
      <c r="E254" s="14" t="str">
        <f t="shared" si="10"/>
        <v>1732.619S</v>
      </c>
      <c r="F254" s="14" t="str">
        <f t="shared" si="11"/>
        <v>04311.965W</v>
      </c>
      <c r="G254" s="14" t="str">
        <f>IFERROR(__xludf.DUMMYFUNCTION("SPLIT($B254,"" "")"),"S17")</f>
        <v>S17</v>
      </c>
      <c r="H254" s="15">
        <f>IFERROR(__xludf.DUMMYFUNCTION("""COMPUTED_VALUE"""),32.0)</f>
        <v>32</v>
      </c>
      <c r="I254" s="16">
        <f>IFERROR(__xludf.DUMMYFUNCTION("""COMPUTED_VALUE"""),37.13)</f>
        <v>37.13</v>
      </c>
      <c r="J254" s="14" t="str">
        <f t="shared" si="12"/>
        <v>0.619</v>
      </c>
      <c r="K254" s="14"/>
      <c r="L254" s="14" t="str">
        <f>IFERROR(__xludf.DUMMYFUNCTION("SPLIT($C254,"" "")"),"W043")</f>
        <v>W043</v>
      </c>
      <c r="M254" s="17">
        <f>IFERROR(__xludf.DUMMYFUNCTION("""COMPUTED_VALUE"""),11.0)</f>
        <v>11</v>
      </c>
      <c r="N254" s="16">
        <f>IFERROR(__xludf.DUMMYFUNCTION("""COMPUTED_VALUE"""),57.87)</f>
        <v>57.87</v>
      </c>
      <c r="O254" s="14" t="str">
        <f t="shared" si="4"/>
        <v>0.965</v>
      </c>
      <c r="Q254" s="10">
        <f t="shared" si="5"/>
        <v>-17.54361111</v>
      </c>
      <c r="R254" s="10">
        <f t="shared" si="6"/>
        <v>-43.19916667</v>
      </c>
    </row>
    <row r="255">
      <c r="A255" s="10" t="s">
        <v>787</v>
      </c>
      <c r="B255" s="10" t="s">
        <v>788</v>
      </c>
      <c r="C255" s="10" t="s">
        <v>789</v>
      </c>
      <c r="D255" s="13">
        <v>254.0</v>
      </c>
      <c r="E255" s="14" t="str">
        <f t="shared" si="10"/>
        <v>1949.025S</v>
      </c>
      <c r="F255" s="14" t="str">
        <f t="shared" si="11"/>
        <v>04402.635W</v>
      </c>
      <c r="G255" s="14" t="str">
        <f>IFERROR(__xludf.DUMMYFUNCTION("SPLIT($B255,"" "")"),"S19")</f>
        <v>S19</v>
      </c>
      <c r="H255" s="15">
        <f>IFERROR(__xludf.DUMMYFUNCTION("""COMPUTED_VALUE"""),49.0)</f>
        <v>49</v>
      </c>
      <c r="I255" s="16">
        <f>IFERROR(__xludf.DUMMYFUNCTION("""COMPUTED_VALUE"""),1.5)</f>
        <v>1.5</v>
      </c>
      <c r="J255" s="14" t="str">
        <f t="shared" si="12"/>
        <v>0.025</v>
      </c>
      <c r="K255" s="14"/>
      <c r="L255" s="14" t="str">
        <f>IFERROR(__xludf.DUMMYFUNCTION("SPLIT($C255,"" "")"),"W044")</f>
        <v>W044</v>
      </c>
      <c r="M255" s="17">
        <f>IFERROR(__xludf.DUMMYFUNCTION("""COMPUTED_VALUE"""),2.0)</f>
        <v>2</v>
      </c>
      <c r="N255" s="16">
        <f>IFERROR(__xludf.DUMMYFUNCTION("""COMPUTED_VALUE"""),38.09)</f>
        <v>38.09</v>
      </c>
      <c r="O255" s="14" t="str">
        <f t="shared" si="4"/>
        <v>0.635</v>
      </c>
      <c r="Q255" s="10">
        <f t="shared" si="5"/>
        <v>-19.81694444</v>
      </c>
      <c r="R255" s="10">
        <f t="shared" si="6"/>
        <v>-44.04388889</v>
      </c>
    </row>
    <row r="256">
      <c r="A256" s="10" t="s">
        <v>790</v>
      </c>
      <c r="B256" s="10" t="s">
        <v>791</v>
      </c>
      <c r="C256" s="10" t="s">
        <v>792</v>
      </c>
      <c r="D256" s="13">
        <v>255.0</v>
      </c>
      <c r="E256" s="14" t="str">
        <f t="shared" si="10"/>
        <v>1948.440S</v>
      </c>
      <c r="F256" s="14" t="str">
        <f t="shared" si="11"/>
        <v>04348.480W</v>
      </c>
      <c r="G256" s="14" t="str">
        <f>IFERROR(__xludf.DUMMYFUNCTION("SPLIT($B256,"" "")"),"S19")</f>
        <v>S19</v>
      </c>
      <c r="H256" s="15">
        <f>IFERROR(__xludf.DUMMYFUNCTION("""COMPUTED_VALUE"""),48.0)</f>
        <v>48</v>
      </c>
      <c r="I256" s="16">
        <f>IFERROR(__xludf.DUMMYFUNCTION("""COMPUTED_VALUE"""),26.4)</f>
        <v>26.4</v>
      </c>
      <c r="J256" s="14" t="str">
        <f t="shared" si="12"/>
        <v>0.440</v>
      </c>
      <c r="K256" s="14"/>
      <c r="L256" s="14" t="str">
        <f>IFERROR(__xludf.DUMMYFUNCTION("SPLIT($C256,"" "")"),"W043")</f>
        <v>W043</v>
      </c>
      <c r="M256" s="17">
        <f>IFERROR(__xludf.DUMMYFUNCTION("""COMPUTED_VALUE"""),48.0)</f>
        <v>48</v>
      </c>
      <c r="N256" s="16">
        <f>IFERROR(__xludf.DUMMYFUNCTION("""COMPUTED_VALUE"""),28.8)</f>
        <v>28.8</v>
      </c>
      <c r="O256" s="14" t="str">
        <f t="shared" si="4"/>
        <v>0.480</v>
      </c>
      <c r="Q256" s="10">
        <f t="shared" si="5"/>
        <v>-19.80722222</v>
      </c>
      <c r="R256" s="10">
        <f t="shared" si="6"/>
        <v>-43.80777778</v>
      </c>
    </row>
    <row r="257">
      <c r="A257" s="10" t="s">
        <v>793</v>
      </c>
      <c r="B257" s="10" t="s">
        <v>794</v>
      </c>
      <c r="C257" s="10" t="s">
        <v>795</v>
      </c>
      <c r="D257" s="13">
        <v>256.0</v>
      </c>
      <c r="E257" s="14" t="str">
        <f t="shared" si="10"/>
        <v>1909.722S</v>
      </c>
      <c r="F257" s="14" t="str">
        <f t="shared" si="11"/>
        <v>04558.889W</v>
      </c>
      <c r="G257" s="14" t="str">
        <f>IFERROR(__xludf.DUMMYFUNCTION("SPLIT($B257,"" "")"),"S19")</f>
        <v>S19</v>
      </c>
      <c r="H257" s="15">
        <f>IFERROR(__xludf.DUMMYFUNCTION("""COMPUTED_VALUE"""),9.0)</f>
        <v>9</v>
      </c>
      <c r="I257" s="16">
        <f>IFERROR(__xludf.DUMMYFUNCTION("""COMPUTED_VALUE"""),43.29)</f>
        <v>43.29</v>
      </c>
      <c r="J257" s="14" t="str">
        <f t="shared" si="12"/>
        <v>0.722</v>
      </c>
      <c r="K257" s="14"/>
      <c r="L257" s="14" t="str">
        <f>IFERROR(__xludf.DUMMYFUNCTION("SPLIT($C257,"" "")"),"W045")</f>
        <v>W045</v>
      </c>
      <c r="M257" s="17">
        <f>IFERROR(__xludf.DUMMYFUNCTION("""COMPUTED_VALUE"""),58.0)</f>
        <v>58</v>
      </c>
      <c r="N257" s="16">
        <f>IFERROR(__xludf.DUMMYFUNCTION("""COMPUTED_VALUE"""),53.33)</f>
        <v>53.33</v>
      </c>
      <c r="O257" s="14" t="str">
        <f t="shared" si="4"/>
        <v>0.889</v>
      </c>
      <c r="Q257" s="10">
        <f t="shared" si="5"/>
        <v>-19.16194444</v>
      </c>
      <c r="R257" s="10">
        <f t="shared" si="6"/>
        <v>-45.98138889</v>
      </c>
    </row>
    <row r="258">
      <c r="H258" s="11"/>
      <c r="M258" s="12"/>
    </row>
    <row r="259">
      <c r="H259" s="11"/>
      <c r="M259" s="12"/>
    </row>
    <row r="260">
      <c r="H260" s="11"/>
      <c r="M260" s="12"/>
    </row>
    <row r="261">
      <c r="H261" s="11"/>
      <c r="M261" s="12"/>
    </row>
    <row r="262">
      <c r="H262" s="11"/>
      <c r="M262" s="12"/>
    </row>
    <row r="263">
      <c r="H263" s="11"/>
      <c r="M263" s="12"/>
    </row>
    <row r="264">
      <c r="H264" s="11"/>
      <c r="M264" s="12"/>
    </row>
    <row r="265">
      <c r="H265" s="11"/>
      <c r="M265" s="12"/>
    </row>
    <row r="266">
      <c r="H266" s="11"/>
      <c r="M266" s="12"/>
    </row>
    <row r="267">
      <c r="H267" s="11"/>
      <c r="M267" s="12"/>
    </row>
    <row r="268">
      <c r="H268" s="11"/>
      <c r="M268" s="12"/>
    </row>
    <row r="269">
      <c r="H269" s="11"/>
      <c r="M269" s="12"/>
    </row>
    <row r="270">
      <c r="H270" s="11"/>
      <c r="M270" s="12"/>
    </row>
    <row r="271">
      <c r="H271" s="11"/>
      <c r="M271" s="12"/>
    </row>
    <row r="272">
      <c r="H272" s="11"/>
      <c r="M272" s="12"/>
    </row>
    <row r="273">
      <c r="H273" s="11"/>
      <c r="M273" s="12"/>
    </row>
    <row r="274">
      <c r="H274" s="11"/>
      <c r="M274" s="12"/>
    </row>
    <row r="275">
      <c r="H275" s="11"/>
      <c r="M275" s="12"/>
    </row>
    <row r="276">
      <c r="H276" s="11"/>
      <c r="M276" s="12"/>
    </row>
    <row r="277">
      <c r="H277" s="11"/>
      <c r="M277" s="12"/>
    </row>
    <row r="278">
      <c r="H278" s="11"/>
      <c r="M278" s="12"/>
    </row>
    <row r="279">
      <c r="H279" s="11"/>
      <c r="M279" s="12"/>
    </row>
    <row r="280">
      <c r="H280" s="11"/>
      <c r="M280" s="12"/>
    </row>
    <row r="281">
      <c r="H281" s="11"/>
      <c r="M281" s="12"/>
    </row>
    <row r="282">
      <c r="H282" s="11"/>
      <c r="M282" s="12"/>
    </row>
    <row r="283">
      <c r="H283" s="11"/>
      <c r="M283" s="12"/>
    </row>
    <row r="284">
      <c r="H284" s="11"/>
      <c r="M284" s="12"/>
    </row>
    <row r="285">
      <c r="H285" s="11"/>
      <c r="M285" s="12"/>
    </row>
    <row r="286">
      <c r="H286" s="11"/>
      <c r="M286" s="12"/>
    </row>
    <row r="287">
      <c r="H287" s="11"/>
      <c r="M287" s="12"/>
    </row>
    <row r="288">
      <c r="H288" s="11"/>
      <c r="M288" s="12"/>
    </row>
    <row r="289">
      <c r="H289" s="11"/>
      <c r="M289" s="12"/>
    </row>
    <row r="290">
      <c r="H290" s="11"/>
      <c r="M290" s="12"/>
    </row>
    <row r="291">
      <c r="H291" s="11"/>
      <c r="M291" s="12"/>
    </row>
    <row r="292">
      <c r="H292" s="11"/>
      <c r="M292" s="12"/>
    </row>
    <row r="293">
      <c r="H293" s="11"/>
      <c r="M293" s="12"/>
    </row>
    <row r="294">
      <c r="H294" s="11"/>
      <c r="M294" s="12"/>
    </row>
    <row r="295">
      <c r="H295" s="11"/>
      <c r="M295" s="12"/>
    </row>
    <row r="296">
      <c r="H296" s="11"/>
      <c r="M296" s="12"/>
    </row>
    <row r="297">
      <c r="H297" s="11"/>
      <c r="M297" s="12"/>
    </row>
    <row r="298">
      <c r="H298" s="11"/>
      <c r="M298" s="12"/>
    </row>
    <row r="299">
      <c r="H299" s="11"/>
      <c r="M299" s="12"/>
    </row>
    <row r="300">
      <c r="H300" s="11"/>
      <c r="M300" s="12"/>
    </row>
    <row r="301">
      <c r="H301" s="11"/>
      <c r="M301" s="12"/>
    </row>
    <row r="302">
      <c r="H302" s="11"/>
      <c r="M302" s="12"/>
    </row>
    <row r="303">
      <c r="H303" s="11"/>
      <c r="M303" s="12"/>
    </row>
    <row r="304">
      <c r="H304" s="11"/>
      <c r="M304" s="12"/>
    </row>
    <row r="305">
      <c r="H305" s="11"/>
      <c r="M305" s="12"/>
    </row>
    <row r="306">
      <c r="H306" s="11"/>
      <c r="M306" s="12"/>
    </row>
    <row r="307">
      <c r="H307" s="11"/>
      <c r="M307" s="12"/>
    </row>
    <row r="308">
      <c r="H308" s="11"/>
      <c r="M308" s="12"/>
    </row>
    <row r="309">
      <c r="H309" s="11"/>
      <c r="M309" s="12"/>
    </row>
    <row r="310">
      <c r="H310" s="11"/>
      <c r="M310" s="12"/>
    </row>
    <row r="311">
      <c r="H311" s="11"/>
      <c r="M311" s="12"/>
    </row>
    <row r="312">
      <c r="H312" s="11"/>
      <c r="M312" s="12"/>
    </row>
    <row r="313">
      <c r="H313" s="11"/>
      <c r="M313" s="12"/>
    </row>
    <row r="314">
      <c r="H314" s="11"/>
      <c r="M314" s="12"/>
    </row>
    <row r="315">
      <c r="H315" s="11"/>
      <c r="M315" s="12"/>
    </row>
    <row r="316">
      <c r="H316" s="11"/>
      <c r="M316" s="12"/>
    </row>
    <row r="317">
      <c r="H317" s="11"/>
      <c r="M317" s="12"/>
    </row>
    <row r="318">
      <c r="H318" s="11"/>
      <c r="M318" s="12"/>
    </row>
    <row r="319">
      <c r="H319" s="11"/>
      <c r="M319" s="12"/>
    </row>
    <row r="320">
      <c r="H320" s="11"/>
      <c r="M320" s="12"/>
    </row>
    <row r="321">
      <c r="H321" s="11"/>
      <c r="M321" s="12"/>
    </row>
    <row r="322">
      <c r="H322" s="11"/>
      <c r="M322" s="12"/>
    </row>
    <row r="323">
      <c r="H323" s="11"/>
      <c r="M323" s="12"/>
    </row>
    <row r="324">
      <c r="H324" s="11"/>
      <c r="M324" s="12"/>
    </row>
    <row r="325">
      <c r="H325" s="11"/>
      <c r="M325" s="12"/>
    </row>
    <row r="326">
      <c r="H326" s="11"/>
      <c r="M326" s="12"/>
    </row>
    <row r="327">
      <c r="H327" s="11"/>
      <c r="M327" s="12"/>
    </row>
    <row r="328">
      <c r="H328" s="11"/>
      <c r="M328" s="12"/>
    </row>
    <row r="329">
      <c r="H329" s="11"/>
      <c r="M329" s="12"/>
    </row>
    <row r="330">
      <c r="H330" s="11"/>
      <c r="M330" s="12"/>
    </row>
    <row r="331">
      <c r="H331" s="11"/>
      <c r="M331" s="12"/>
    </row>
    <row r="332">
      <c r="H332" s="11"/>
      <c r="M332" s="12"/>
    </row>
    <row r="333">
      <c r="H333" s="11"/>
      <c r="M333" s="12"/>
    </row>
    <row r="334">
      <c r="H334" s="11"/>
      <c r="M334" s="12"/>
    </row>
    <row r="335">
      <c r="H335" s="11"/>
      <c r="M335" s="12"/>
    </row>
    <row r="336">
      <c r="H336" s="11"/>
      <c r="M336" s="12"/>
    </row>
    <row r="337">
      <c r="H337" s="11"/>
      <c r="M337" s="12"/>
    </row>
    <row r="338">
      <c r="H338" s="11"/>
      <c r="M338" s="12"/>
    </row>
    <row r="339">
      <c r="H339" s="11"/>
      <c r="M339" s="12"/>
    </row>
    <row r="340">
      <c r="H340" s="11"/>
      <c r="M340" s="12"/>
    </row>
    <row r="341">
      <c r="H341" s="11"/>
      <c r="M341" s="12"/>
    </row>
    <row r="342">
      <c r="H342" s="11"/>
      <c r="M342" s="12"/>
    </row>
    <row r="343">
      <c r="H343" s="11"/>
      <c r="M343" s="12"/>
    </row>
    <row r="344">
      <c r="H344" s="11"/>
      <c r="M344" s="12"/>
    </row>
    <row r="345">
      <c r="H345" s="11"/>
      <c r="M345" s="12"/>
    </row>
    <row r="346">
      <c r="H346" s="11"/>
      <c r="M346" s="12"/>
    </row>
    <row r="347">
      <c r="H347" s="11"/>
      <c r="M347" s="12"/>
    </row>
    <row r="348">
      <c r="H348" s="11"/>
      <c r="M348" s="12"/>
    </row>
    <row r="349">
      <c r="H349" s="11"/>
      <c r="M349" s="12"/>
    </row>
    <row r="350">
      <c r="H350" s="11"/>
      <c r="M350" s="12"/>
    </row>
    <row r="351">
      <c r="H351" s="11"/>
      <c r="M351" s="12"/>
    </row>
    <row r="352">
      <c r="H352" s="11"/>
      <c r="M352" s="12"/>
    </row>
    <row r="353">
      <c r="H353" s="11"/>
      <c r="M353" s="12"/>
    </row>
    <row r="354">
      <c r="H354" s="11"/>
      <c r="M354" s="12"/>
    </row>
    <row r="355">
      <c r="H355" s="11"/>
      <c r="M355" s="12"/>
    </row>
    <row r="356">
      <c r="H356" s="11"/>
      <c r="M356" s="12"/>
    </row>
    <row r="357">
      <c r="H357" s="11"/>
      <c r="M357" s="12"/>
    </row>
    <row r="358">
      <c r="H358" s="11"/>
      <c r="M358" s="12"/>
    </row>
    <row r="359">
      <c r="H359" s="11"/>
      <c r="M359" s="12"/>
    </row>
    <row r="360">
      <c r="H360" s="11"/>
      <c r="M360" s="12"/>
    </row>
    <row r="361">
      <c r="H361" s="11"/>
      <c r="M361" s="12"/>
    </row>
    <row r="362">
      <c r="H362" s="11"/>
      <c r="M362" s="12"/>
    </row>
    <row r="363">
      <c r="H363" s="11"/>
      <c r="M363" s="12"/>
    </row>
    <row r="364">
      <c r="H364" s="11"/>
      <c r="M364" s="12"/>
    </row>
    <row r="365">
      <c r="H365" s="11"/>
      <c r="M365" s="12"/>
    </row>
    <row r="366">
      <c r="H366" s="11"/>
      <c r="M366" s="12"/>
    </row>
    <row r="367">
      <c r="H367" s="11"/>
      <c r="M367" s="12"/>
    </row>
    <row r="368">
      <c r="H368" s="11"/>
      <c r="M368" s="12"/>
    </row>
    <row r="369">
      <c r="H369" s="11"/>
      <c r="M369" s="12"/>
    </row>
    <row r="370">
      <c r="H370" s="11"/>
      <c r="M370" s="12"/>
    </row>
    <row r="371">
      <c r="H371" s="11"/>
      <c r="M371" s="12"/>
    </row>
    <row r="372">
      <c r="H372" s="11"/>
      <c r="M372" s="12"/>
    </row>
    <row r="373">
      <c r="H373" s="11"/>
      <c r="M373" s="12"/>
    </row>
    <row r="374">
      <c r="H374" s="11"/>
      <c r="M374" s="12"/>
    </row>
    <row r="375">
      <c r="H375" s="11"/>
      <c r="M375" s="12"/>
    </row>
    <row r="376">
      <c r="H376" s="11"/>
      <c r="M376" s="12"/>
    </row>
    <row r="377">
      <c r="H377" s="11"/>
      <c r="M377" s="12"/>
    </row>
    <row r="378">
      <c r="H378" s="11"/>
      <c r="M378" s="12"/>
    </row>
    <row r="379">
      <c r="H379" s="11"/>
      <c r="M379" s="12"/>
    </row>
    <row r="380">
      <c r="H380" s="11"/>
      <c r="M380" s="12"/>
    </row>
    <row r="381">
      <c r="H381" s="11"/>
      <c r="M381" s="12"/>
    </row>
    <row r="382">
      <c r="H382" s="11"/>
      <c r="M382" s="12"/>
    </row>
    <row r="383">
      <c r="H383" s="11"/>
      <c r="M383" s="12"/>
    </row>
    <row r="384">
      <c r="H384" s="11"/>
      <c r="M384" s="12"/>
    </row>
    <row r="385">
      <c r="H385" s="11"/>
      <c r="M385" s="12"/>
    </row>
    <row r="386">
      <c r="H386" s="11"/>
      <c r="M386" s="12"/>
    </row>
    <row r="387">
      <c r="H387" s="11"/>
      <c r="M387" s="12"/>
    </row>
    <row r="388">
      <c r="H388" s="11"/>
      <c r="M388" s="12"/>
    </row>
    <row r="389">
      <c r="H389" s="11"/>
      <c r="M389" s="12"/>
    </row>
    <row r="390">
      <c r="H390" s="11"/>
      <c r="M390" s="12"/>
    </row>
    <row r="391">
      <c r="H391" s="11"/>
      <c r="M391" s="12"/>
    </row>
    <row r="392">
      <c r="H392" s="11"/>
      <c r="M392" s="12"/>
    </row>
    <row r="393">
      <c r="H393" s="11"/>
      <c r="M393" s="12"/>
    </row>
    <row r="394">
      <c r="H394" s="11"/>
      <c r="M394" s="12"/>
    </row>
    <row r="395">
      <c r="H395" s="11"/>
      <c r="M395" s="12"/>
    </row>
    <row r="396">
      <c r="H396" s="11"/>
      <c r="M396" s="12"/>
    </row>
    <row r="397">
      <c r="H397" s="11"/>
      <c r="M397" s="12"/>
    </row>
    <row r="398">
      <c r="H398" s="11"/>
      <c r="M398" s="12"/>
    </row>
    <row r="399">
      <c r="H399" s="11"/>
      <c r="M399" s="12"/>
    </row>
    <row r="400">
      <c r="H400" s="11"/>
      <c r="M400" s="12"/>
    </row>
    <row r="401">
      <c r="H401" s="11"/>
      <c r="M401" s="12"/>
    </row>
    <row r="402">
      <c r="H402" s="11"/>
      <c r="M402" s="12"/>
    </row>
    <row r="403">
      <c r="H403" s="11"/>
      <c r="M403" s="12"/>
    </row>
    <row r="404">
      <c r="H404" s="11"/>
      <c r="M404" s="12"/>
    </row>
    <row r="405">
      <c r="H405" s="11"/>
      <c r="M405" s="12"/>
    </row>
    <row r="406">
      <c r="H406" s="11"/>
      <c r="M406" s="12"/>
    </row>
    <row r="407">
      <c r="H407" s="11"/>
      <c r="M407" s="12"/>
    </row>
    <row r="408">
      <c r="H408" s="11"/>
      <c r="M408" s="12"/>
    </row>
    <row r="409">
      <c r="H409" s="11"/>
      <c r="M409" s="12"/>
    </row>
    <row r="410">
      <c r="H410" s="11"/>
      <c r="M410" s="12"/>
    </row>
    <row r="411">
      <c r="H411" s="11"/>
      <c r="M411" s="12"/>
    </row>
    <row r="412">
      <c r="H412" s="11"/>
      <c r="M412" s="12"/>
    </row>
    <row r="413">
      <c r="H413" s="11"/>
      <c r="M413" s="12"/>
    </row>
    <row r="414">
      <c r="H414" s="11"/>
      <c r="M414" s="12"/>
    </row>
    <row r="415">
      <c r="H415" s="11"/>
      <c r="M415" s="12"/>
    </row>
    <row r="416">
      <c r="H416" s="11"/>
      <c r="M416" s="12"/>
    </row>
    <row r="417">
      <c r="H417" s="11"/>
      <c r="M417" s="12"/>
    </row>
    <row r="418">
      <c r="H418" s="11"/>
      <c r="M418" s="12"/>
    </row>
    <row r="419">
      <c r="H419" s="11"/>
      <c r="M419" s="12"/>
    </row>
    <row r="420">
      <c r="H420" s="11"/>
      <c r="M420" s="12"/>
    </row>
    <row r="421">
      <c r="H421" s="11"/>
      <c r="M421" s="12"/>
    </row>
    <row r="422">
      <c r="H422" s="11"/>
      <c r="M422" s="12"/>
    </row>
    <row r="423">
      <c r="H423" s="11"/>
      <c r="M423" s="12"/>
    </row>
    <row r="424">
      <c r="H424" s="11"/>
      <c r="M424" s="12"/>
    </row>
    <row r="425">
      <c r="H425" s="11"/>
      <c r="M425" s="12"/>
    </row>
    <row r="426">
      <c r="H426" s="11"/>
      <c r="M426" s="12"/>
    </row>
    <row r="427">
      <c r="H427" s="11"/>
      <c r="M427" s="12"/>
    </row>
    <row r="428">
      <c r="H428" s="11"/>
      <c r="M428" s="12"/>
    </row>
    <row r="429">
      <c r="H429" s="11"/>
      <c r="M429" s="12"/>
    </row>
    <row r="430">
      <c r="H430" s="11"/>
      <c r="M430" s="12"/>
    </row>
    <row r="431">
      <c r="H431" s="11"/>
      <c r="M431" s="12"/>
    </row>
    <row r="432">
      <c r="H432" s="11"/>
      <c r="M432" s="12"/>
    </row>
    <row r="433">
      <c r="H433" s="11"/>
      <c r="M433" s="12"/>
    </row>
    <row r="434">
      <c r="H434" s="11"/>
      <c r="M434" s="12"/>
    </row>
    <row r="435">
      <c r="H435" s="11"/>
      <c r="M435" s="12"/>
    </row>
    <row r="436">
      <c r="H436" s="11"/>
      <c r="M436" s="12"/>
    </row>
    <row r="437">
      <c r="H437" s="11"/>
      <c r="M437" s="12"/>
    </row>
    <row r="438">
      <c r="H438" s="11"/>
      <c r="M438" s="12"/>
    </row>
    <row r="439">
      <c r="H439" s="11"/>
      <c r="M439" s="12"/>
    </row>
    <row r="440">
      <c r="H440" s="11"/>
      <c r="M440" s="12"/>
    </row>
    <row r="441">
      <c r="H441" s="11"/>
      <c r="M441" s="12"/>
    </row>
    <row r="442">
      <c r="H442" s="11"/>
      <c r="M442" s="12"/>
    </row>
    <row r="443">
      <c r="H443" s="11"/>
      <c r="M443" s="12"/>
    </row>
    <row r="444">
      <c r="H444" s="11"/>
      <c r="M444" s="12"/>
    </row>
    <row r="445">
      <c r="H445" s="11"/>
      <c r="M445" s="12"/>
    </row>
    <row r="446">
      <c r="H446" s="11"/>
      <c r="M446" s="12"/>
    </row>
    <row r="447">
      <c r="H447" s="11"/>
      <c r="M447" s="12"/>
    </row>
    <row r="448">
      <c r="H448" s="11"/>
      <c r="M448" s="12"/>
    </row>
    <row r="449">
      <c r="H449" s="11"/>
      <c r="M449" s="12"/>
    </row>
    <row r="450">
      <c r="H450" s="11"/>
      <c r="M450" s="12"/>
    </row>
    <row r="451">
      <c r="H451" s="11"/>
      <c r="M451" s="12"/>
    </row>
    <row r="452">
      <c r="H452" s="11"/>
      <c r="M452" s="12"/>
    </row>
    <row r="453">
      <c r="H453" s="11"/>
      <c r="M453" s="12"/>
    </row>
    <row r="454">
      <c r="H454" s="11"/>
      <c r="M454" s="12"/>
    </row>
    <row r="455">
      <c r="H455" s="11"/>
      <c r="M455" s="12"/>
    </row>
    <row r="456">
      <c r="H456" s="11"/>
      <c r="M456" s="12"/>
    </row>
    <row r="457">
      <c r="H457" s="11"/>
      <c r="M457" s="12"/>
    </row>
    <row r="458">
      <c r="H458" s="11"/>
      <c r="M458" s="12"/>
    </row>
    <row r="459">
      <c r="H459" s="11"/>
      <c r="M459" s="12"/>
    </row>
    <row r="460">
      <c r="H460" s="11"/>
      <c r="M460" s="12"/>
    </row>
    <row r="461">
      <c r="H461" s="11"/>
      <c r="M461" s="12"/>
    </row>
    <row r="462">
      <c r="H462" s="11"/>
      <c r="M462" s="12"/>
    </row>
    <row r="463">
      <c r="H463" s="11"/>
      <c r="M463" s="12"/>
    </row>
    <row r="464">
      <c r="H464" s="11"/>
      <c r="M464" s="12"/>
    </row>
    <row r="465">
      <c r="H465" s="11"/>
      <c r="M465" s="12"/>
    </row>
    <row r="466">
      <c r="H466" s="11"/>
      <c r="M466" s="12"/>
    </row>
    <row r="467">
      <c r="H467" s="11"/>
      <c r="M467" s="12"/>
    </row>
    <row r="468">
      <c r="H468" s="11"/>
      <c r="M468" s="12"/>
    </row>
    <row r="469">
      <c r="H469" s="11"/>
      <c r="M469" s="12"/>
    </row>
    <row r="470">
      <c r="H470" s="11"/>
      <c r="M470" s="12"/>
    </row>
    <row r="471">
      <c r="H471" s="11"/>
      <c r="M471" s="12"/>
    </row>
    <row r="472">
      <c r="H472" s="11"/>
      <c r="M472" s="12"/>
    </row>
    <row r="473">
      <c r="H473" s="11"/>
      <c r="M473" s="12"/>
    </row>
    <row r="474">
      <c r="H474" s="11"/>
      <c r="M474" s="12"/>
    </row>
    <row r="475">
      <c r="H475" s="11"/>
      <c r="M475" s="12"/>
    </row>
    <row r="476">
      <c r="H476" s="11"/>
      <c r="M476" s="12"/>
    </row>
    <row r="477">
      <c r="H477" s="11"/>
      <c r="M477" s="12"/>
    </row>
    <row r="478">
      <c r="H478" s="11"/>
      <c r="M478" s="12"/>
    </row>
    <row r="479">
      <c r="H479" s="11"/>
      <c r="M479" s="12"/>
    </row>
    <row r="480">
      <c r="H480" s="11"/>
      <c r="M480" s="12"/>
    </row>
    <row r="481">
      <c r="H481" s="11"/>
      <c r="M481" s="12"/>
    </row>
    <row r="482">
      <c r="H482" s="11"/>
      <c r="M482" s="12"/>
    </row>
    <row r="483">
      <c r="H483" s="11"/>
      <c r="M483" s="12"/>
    </row>
    <row r="484">
      <c r="H484" s="11"/>
      <c r="M484" s="12"/>
    </row>
    <row r="485">
      <c r="H485" s="11"/>
      <c r="M485" s="12"/>
    </row>
    <row r="486">
      <c r="H486" s="11"/>
      <c r="M486" s="12"/>
    </row>
    <row r="487">
      <c r="H487" s="11"/>
      <c r="M487" s="12"/>
    </row>
    <row r="488">
      <c r="H488" s="11"/>
      <c r="M488" s="12"/>
    </row>
    <row r="489">
      <c r="H489" s="11"/>
      <c r="M489" s="12"/>
    </row>
    <row r="490">
      <c r="H490" s="11"/>
      <c r="M490" s="12"/>
    </row>
    <row r="491">
      <c r="H491" s="11"/>
      <c r="M491" s="12"/>
    </row>
    <row r="492">
      <c r="H492" s="11"/>
      <c r="M492" s="12"/>
    </row>
    <row r="493">
      <c r="H493" s="11"/>
      <c r="M493" s="12"/>
    </row>
    <row r="494">
      <c r="H494" s="11"/>
      <c r="M494" s="12"/>
    </row>
    <row r="495">
      <c r="H495" s="11"/>
      <c r="M495" s="12"/>
    </row>
    <row r="496">
      <c r="H496" s="11"/>
      <c r="M496" s="12"/>
    </row>
    <row r="497">
      <c r="H497" s="11"/>
      <c r="M497" s="12"/>
    </row>
    <row r="498">
      <c r="H498" s="11"/>
      <c r="M498" s="12"/>
    </row>
    <row r="499">
      <c r="H499" s="11"/>
      <c r="M499" s="12"/>
    </row>
    <row r="500">
      <c r="H500" s="11"/>
      <c r="M500" s="12"/>
    </row>
    <row r="501">
      <c r="H501" s="11"/>
      <c r="M501" s="12"/>
    </row>
    <row r="502">
      <c r="H502" s="11"/>
      <c r="M502" s="12"/>
    </row>
    <row r="503">
      <c r="H503" s="11"/>
      <c r="M503" s="12"/>
    </row>
    <row r="504">
      <c r="H504" s="11"/>
      <c r="M504" s="12"/>
    </row>
    <row r="505">
      <c r="H505" s="11"/>
      <c r="M505" s="12"/>
    </row>
    <row r="506">
      <c r="H506" s="11"/>
      <c r="M506" s="12"/>
    </row>
    <row r="507">
      <c r="H507" s="11"/>
      <c r="M507" s="12"/>
    </row>
    <row r="508">
      <c r="H508" s="11"/>
      <c r="M508" s="12"/>
    </row>
    <row r="509">
      <c r="H509" s="11"/>
      <c r="M509" s="12"/>
    </row>
    <row r="510">
      <c r="H510" s="11"/>
      <c r="M510" s="12"/>
    </row>
    <row r="511">
      <c r="H511" s="11"/>
      <c r="M511" s="12"/>
    </row>
    <row r="512">
      <c r="H512" s="11"/>
      <c r="M512" s="12"/>
    </row>
    <row r="513">
      <c r="H513" s="11"/>
      <c r="M513" s="12"/>
    </row>
    <row r="514">
      <c r="H514" s="11"/>
      <c r="M514" s="12"/>
    </row>
    <row r="515">
      <c r="H515" s="11"/>
      <c r="M515" s="12"/>
    </row>
    <row r="516">
      <c r="H516" s="11"/>
      <c r="M516" s="12"/>
    </row>
    <row r="517">
      <c r="H517" s="11"/>
      <c r="M517" s="12"/>
    </row>
    <row r="518">
      <c r="H518" s="11"/>
      <c r="M518" s="12"/>
    </row>
    <row r="519">
      <c r="H519" s="11"/>
      <c r="M519" s="12"/>
    </row>
    <row r="520">
      <c r="H520" s="11"/>
      <c r="M520" s="12"/>
    </row>
    <row r="521">
      <c r="H521" s="11"/>
      <c r="M521" s="12"/>
    </row>
    <row r="522">
      <c r="H522" s="11"/>
      <c r="M522" s="12"/>
    </row>
    <row r="523">
      <c r="H523" s="11"/>
      <c r="M523" s="12"/>
    </row>
    <row r="524">
      <c r="H524" s="11"/>
      <c r="M524" s="12"/>
    </row>
    <row r="525">
      <c r="H525" s="11"/>
      <c r="M525" s="12"/>
    </row>
    <row r="526">
      <c r="H526" s="11"/>
      <c r="M526" s="12"/>
    </row>
    <row r="527">
      <c r="H527" s="11"/>
      <c r="M527" s="12"/>
    </row>
    <row r="528">
      <c r="H528" s="11"/>
      <c r="M528" s="12"/>
    </row>
    <row r="529">
      <c r="H529" s="11"/>
      <c r="M529" s="12"/>
    </row>
    <row r="530">
      <c r="H530" s="11"/>
      <c r="M530" s="12"/>
    </row>
    <row r="531">
      <c r="H531" s="11"/>
      <c r="M531" s="12"/>
    </row>
    <row r="532">
      <c r="H532" s="11"/>
      <c r="M532" s="12"/>
    </row>
    <row r="533">
      <c r="H533" s="11"/>
      <c r="M533" s="12"/>
    </row>
    <row r="534">
      <c r="H534" s="11"/>
      <c r="M534" s="12"/>
    </row>
    <row r="535">
      <c r="H535" s="11"/>
      <c r="M535" s="12"/>
    </row>
    <row r="536">
      <c r="H536" s="11"/>
      <c r="M536" s="12"/>
    </row>
    <row r="537">
      <c r="H537" s="11"/>
      <c r="M537" s="12"/>
    </row>
    <row r="538">
      <c r="H538" s="11"/>
      <c r="M538" s="12"/>
    </row>
    <row r="539">
      <c r="H539" s="11"/>
      <c r="M539" s="12"/>
    </row>
    <row r="540">
      <c r="H540" s="11"/>
      <c r="M540" s="12"/>
    </row>
    <row r="541">
      <c r="H541" s="11"/>
      <c r="M541" s="12"/>
    </row>
    <row r="542">
      <c r="H542" s="11"/>
      <c r="M542" s="12"/>
    </row>
    <row r="543">
      <c r="H543" s="11"/>
      <c r="M543" s="12"/>
    </row>
    <row r="544">
      <c r="H544" s="11"/>
      <c r="M544" s="12"/>
    </row>
    <row r="545">
      <c r="H545" s="11"/>
      <c r="M545" s="12"/>
    </row>
    <row r="546">
      <c r="H546" s="11"/>
      <c r="M546" s="12"/>
    </row>
    <row r="547">
      <c r="H547" s="11"/>
      <c r="M547" s="12"/>
    </row>
    <row r="548">
      <c r="H548" s="11"/>
      <c r="M548" s="12"/>
    </row>
    <row r="549">
      <c r="H549" s="11"/>
      <c r="M549" s="12"/>
    </row>
    <row r="550">
      <c r="H550" s="11"/>
      <c r="M550" s="12"/>
    </row>
    <row r="551">
      <c r="H551" s="11"/>
      <c r="M551" s="12"/>
    </row>
    <row r="552">
      <c r="H552" s="11"/>
      <c r="M552" s="12"/>
    </row>
    <row r="553">
      <c r="H553" s="11"/>
      <c r="M553" s="12"/>
    </row>
    <row r="554">
      <c r="H554" s="11"/>
      <c r="M554" s="12"/>
    </row>
    <row r="555">
      <c r="H555" s="11"/>
      <c r="M555" s="12"/>
    </row>
    <row r="556">
      <c r="H556" s="11"/>
      <c r="M556" s="12"/>
    </row>
    <row r="557">
      <c r="H557" s="11"/>
      <c r="M557" s="12"/>
    </row>
    <row r="558">
      <c r="H558" s="11"/>
      <c r="M558" s="12"/>
    </row>
    <row r="559">
      <c r="H559" s="11"/>
      <c r="M559" s="12"/>
    </row>
    <row r="560">
      <c r="H560" s="11"/>
      <c r="M560" s="12"/>
    </row>
    <row r="561">
      <c r="H561" s="11"/>
      <c r="M561" s="12"/>
    </row>
    <row r="562">
      <c r="H562" s="11"/>
      <c r="M562" s="12"/>
    </row>
    <row r="563">
      <c r="H563" s="11"/>
      <c r="M563" s="12"/>
    </row>
    <row r="564">
      <c r="H564" s="11"/>
      <c r="M564" s="12"/>
    </row>
    <row r="565">
      <c r="H565" s="11"/>
      <c r="M565" s="12"/>
    </row>
    <row r="566">
      <c r="H566" s="11"/>
      <c r="M566" s="12"/>
    </row>
    <row r="567">
      <c r="H567" s="11"/>
      <c r="M567" s="12"/>
    </row>
    <row r="568">
      <c r="H568" s="11"/>
      <c r="M568" s="12"/>
    </row>
    <row r="569">
      <c r="H569" s="11"/>
      <c r="M569" s="12"/>
    </row>
    <row r="570">
      <c r="H570" s="11"/>
      <c r="M570" s="12"/>
    </row>
    <row r="571">
      <c r="H571" s="11"/>
      <c r="M571" s="12"/>
    </row>
    <row r="572">
      <c r="H572" s="11"/>
      <c r="M572" s="12"/>
    </row>
    <row r="573">
      <c r="H573" s="11"/>
      <c r="M573" s="12"/>
    </row>
    <row r="574">
      <c r="H574" s="11"/>
      <c r="M574" s="12"/>
    </row>
    <row r="575">
      <c r="H575" s="11"/>
      <c r="M575" s="12"/>
    </row>
    <row r="576">
      <c r="H576" s="11"/>
      <c r="M576" s="12"/>
    </row>
    <row r="577">
      <c r="H577" s="11"/>
      <c r="M577" s="12"/>
    </row>
    <row r="578">
      <c r="H578" s="11"/>
      <c r="M578" s="12"/>
    </row>
    <row r="579">
      <c r="H579" s="11"/>
      <c r="M579" s="12"/>
    </row>
    <row r="580">
      <c r="H580" s="11"/>
      <c r="M580" s="12"/>
    </row>
    <row r="581">
      <c r="H581" s="11"/>
      <c r="M581" s="12"/>
    </row>
    <row r="582">
      <c r="H582" s="11"/>
      <c r="M582" s="12"/>
    </row>
    <row r="583">
      <c r="H583" s="11"/>
      <c r="M583" s="12"/>
    </row>
    <row r="584">
      <c r="H584" s="11"/>
      <c r="M584" s="12"/>
    </row>
    <row r="585">
      <c r="H585" s="11"/>
      <c r="M585" s="12"/>
    </row>
    <row r="586">
      <c r="H586" s="11"/>
      <c r="M586" s="12"/>
    </row>
    <row r="587">
      <c r="H587" s="11"/>
      <c r="M587" s="12"/>
    </row>
    <row r="588">
      <c r="H588" s="11"/>
      <c r="M588" s="12"/>
    </row>
    <row r="589">
      <c r="H589" s="11"/>
      <c r="M589" s="12"/>
    </row>
    <row r="590">
      <c r="H590" s="11"/>
      <c r="M590" s="12"/>
    </row>
    <row r="591">
      <c r="H591" s="11"/>
      <c r="M591" s="12"/>
    </row>
    <row r="592">
      <c r="H592" s="11"/>
      <c r="M592" s="12"/>
    </row>
    <row r="593">
      <c r="H593" s="11"/>
      <c r="M593" s="12"/>
    </row>
    <row r="594">
      <c r="H594" s="11"/>
      <c r="M594" s="12"/>
    </row>
    <row r="595">
      <c r="H595" s="11"/>
      <c r="M595" s="12"/>
    </row>
    <row r="596">
      <c r="H596" s="11"/>
      <c r="M596" s="12"/>
    </row>
    <row r="597">
      <c r="H597" s="11"/>
      <c r="M597" s="12"/>
    </row>
    <row r="598">
      <c r="H598" s="11"/>
      <c r="M598" s="12"/>
    </row>
    <row r="599">
      <c r="H599" s="11"/>
      <c r="M599" s="12"/>
    </row>
    <row r="600">
      <c r="H600" s="11"/>
      <c r="M600" s="12"/>
    </row>
    <row r="601">
      <c r="H601" s="11"/>
      <c r="M601" s="12"/>
    </row>
    <row r="602">
      <c r="H602" s="11"/>
      <c r="M602" s="12"/>
    </row>
    <row r="603">
      <c r="H603" s="11"/>
      <c r="M603" s="12"/>
    </row>
    <row r="604">
      <c r="H604" s="11"/>
      <c r="M604" s="12"/>
    </row>
    <row r="605">
      <c r="H605" s="11"/>
      <c r="M605" s="12"/>
    </row>
    <row r="606">
      <c r="H606" s="11"/>
      <c r="M606" s="12"/>
    </row>
    <row r="607">
      <c r="H607" s="11"/>
      <c r="M607" s="12"/>
    </row>
    <row r="608">
      <c r="H608" s="11"/>
      <c r="M608" s="12"/>
    </row>
    <row r="609">
      <c r="H609" s="11"/>
      <c r="M609" s="12"/>
    </row>
    <row r="610">
      <c r="H610" s="11"/>
      <c r="M610" s="12"/>
    </row>
    <row r="611">
      <c r="H611" s="11"/>
      <c r="M611" s="12"/>
    </row>
    <row r="612">
      <c r="H612" s="11"/>
      <c r="M612" s="12"/>
    </row>
    <row r="613">
      <c r="H613" s="11"/>
      <c r="M613" s="12"/>
    </row>
    <row r="614">
      <c r="H614" s="11"/>
      <c r="M614" s="12"/>
    </row>
    <row r="615">
      <c r="H615" s="11"/>
      <c r="M615" s="12"/>
    </row>
    <row r="616">
      <c r="H616" s="11"/>
      <c r="M616" s="12"/>
    </row>
    <row r="617">
      <c r="H617" s="11"/>
      <c r="M617" s="12"/>
    </row>
    <row r="618">
      <c r="H618" s="11"/>
      <c r="M618" s="12"/>
    </row>
    <row r="619">
      <c r="H619" s="11"/>
      <c r="M619" s="12"/>
    </row>
    <row r="620">
      <c r="H620" s="11"/>
      <c r="M620" s="12"/>
    </row>
    <row r="621">
      <c r="H621" s="11"/>
      <c r="M621" s="12"/>
    </row>
    <row r="622">
      <c r="H622" s="11"/>
      <c r="M622" s="12"/>
    </row>
    <row r="623">
      <c r="H623" s="11"/>
      <c r="M623" s="12"/>
    </row>
    <row r="624">
      <c r="H624" s="11"/>
      <c r="M624" s="12"/>
    </row>
    <row r="625">
      <c r="H625" s="11"/>
      <c r="M625" s="12"/>
    </row>
    <row r="626">
      <c r="H626" s="11"/>
      <c r="M626" s="12"/>
    </row>
    <row r="627">
      <c r="H627" s="11"/>
      <c r="M627" s="12"/>
    </row>
    <row r="628">
      <c r="H628" s="11"/>
      <c r="M628" s="12"/>
    </row>
    <row r="629">
      <c r="H629" s="11"/>
      <c r="M629" s="12"/>
    </row>
    <row r="630">
      <c r="H630" s="11"/>
      <c r="M630" s="12"/>
    </row>
    <row r="631">
      <c r="H631" s="11"/>
      <c r="M631" s="12"/>
    </row>
    <row r="632">
      <c r="H632" s="11"/>
      <c r="M632" s="12"/>
    </row>
    <row r="633">
      <c r="H633" s="11"/>
      <c r="M633" s="12"/>
    </row>
    <row r="634">
      <c r="H634" s="11"/>
      <c r="M634" s="12"/>
    </row>
    <row r="635">
      <c r="H635" s="11"/>
      <c r="M635" s="12"/>
    </row>
    <row r="636">
      <c r="H636" s="11"/>
      <c r="M636" s="12"/>
    </row>
    <row r="637">
      <c r="H637" s="11"/>
      <c r="M637" s="12"/>
    </row>
    <row r="638">
      <c r="H638" s="11"/>
      <c r="M638" s="12"/>
    </row>
    <row r="639">
      <c r="H639" s="11"/>
      <c r="M639" s="12"/>
    </row>
    <row r="640">
      <c r="H640" s="11"/>
      <c r="M640" s="12"/>
    </row>
    <row r="641">
      <c r="H641" s="11"/>
      <c r="M641" s="12"/>
    </row>
    <row r="642">
      <c r="H642" s="11"/>
      <c r="M642" s="12"/>
    </row>
    <row r="643">
      <c r="H643" s="11"/>
      <c r="M643" s="12"/>
    </row>
    <row r="644">
      <c r="H644" s="11"/>
      <c r="M644" s="12"/>
    </row>
    <row r="645">
      <c r="H645" s="11"/>
      <c r="M645" s="12"/>
    </row>
    <row r="646">
      <c r="H646" s="11"/>
      <c r="M646" s="12"/>
    </row>
    <row r="647">
      <c r="H647" s="11"/>
      <c r="M647" s="12"/>
    </row>
    <row r="648">
      <c r="H648" s="11"/>
      <c r="M648" s="12"/>
    </row>
    <row r="649">
      <c r="H649" s="11"/>
      <c r="M649" s="12"/>
    </row>
    <row r="650">
      <c r="H650" s="11"/>
      <c r="M650" s="12"/>
    </row>
    <row r="651">
      <c r="H651" s="11"/>
      <c r="M651" s="12"/>
    </row>
    <row r="652">
      <c r="H652" s="11"/>
      <c r="M652" s="12"/>
    </row>
    <row r="653">
      <c r="H653" s="11"/>
      <c r="M653" s="12"/>
    </row>
    <row r="654">
      <c r="H654" s="11"/>
      <c r="M654" s="12"/>
    </row>
    <row r="655">
      <c r="H655" s="11"/>
      <c r="M655" s="12"/>
    </row>
    <row r="656">
      <c r="H656" s="11"/>
      <c r="M656" s="12"/>
    </row>
    <row r="657">
      <c r="H657" s="11"/>
      <c r="M657" s="12"/>
    </row>
    <row r="658">
      <c r="H658" s="11"/>
      <c r="M658" s="12"/>
    </row>
    <row r="659">
      <c r="H659" s="11"/>
      <c r="M659" s="12"/>
    </row>
    <row r="660">
      <c r="H660" s="11"/>
      <c r="M660" s="12"/>
    </row>
    <row r="661">
      <c r="H661" s="11"/>
      <c r="M661" s="12"/>
    </row>
    <row r="662">
      <c r="H662" s="11"/>
      <c r="M662" s="12"/>
    </row>
    <row r="663">
      <c r="H663" s="11"/>
      <c r="M663" s="12"/>
    </row>
    <row r="664">
      <c r="H664" s="11"/>
      <c r="M664" s="12"/>
    </row>
    <row r="665">
      <c r="H665" s="11"/>
      <c r="M665" s="12"/>
    </row>
    <row r="666">
      <c r="H666" s="11"/>
      <c r="M666" s="12"/>
    </row>
    <row r="667">
      <c r="H667" s="11"/>
      <c r="M667" s="12"/>
    </row>
    <row r="668">
      <c r="H668" s="11"/>
      <c r="M668" s="12"/>
    </row>
    <row r="669">
      <c r="H669" s="11"/>
      <c r="M669" s="12"/>
    </row>
    <row r="670">
      <c r="H670" s="11"/>
      <c r="M670" s="12"/>
    </row>
    <row r="671">
      <c r="H671" s="11"/>
      <c r="M671" s="12"/>
    </row>
    <row r="672">
      <c r="H672" s="11"/>
      <c r="M672" s="12"/>
    </row>
    <row r="673">
      <c r="H673" s="11"/>
      <c r="M673" s="12"/>
    </row>
    <row r="674">
      <c r="H674" s="11"/>
      <c r="M674" s="12"/>
    </row>
    <row r="675">
      <c r="H675" s="11"/>
      <c r="M675" s="12"/>
    </row>
    <row r="676">
      <c r="H676" s="11"/>
      <c r="M676" s="12"/>
    </row>
    <row r="677">
      <c r="H677" s="11"/>
      <c r="M677" s="12"/>
    </row>
    <row r="678">
      <c r="H678" s="11"/>
      <c r="M678" s="12"/>
    </row>
    <row r="679">
      <c r="H679" s="11"/>
      <c r="M679" s="12"/>
    </row>
    <row r="680">
      <c r="H680" s="11"/>
      <c r="M680" s="12"/>
    </row>
    <row r="681">
      <c r="H681" s="11"/>
      <c r="M681" s="12"/>
    </row>
    <row r="682">
      <c r="H682" s="11"/>
      <c r="M682" s="12"/>
    </row>
    <row r="683">
      <c r="H683" s="11"/>
      <c r="M683" s="12"/>
    </row>
    <row r="684">
      <c r="H684" s="11"/>
      <c r="M684" s="12"/>
    </row>
    <row r="685">
      <c r="H685" s="11"/>
      <c r="M685" s="12"/>
    </row>
    <row r="686">
      <c r="H686" s="11"/>
      <c r="M686" s="12"/>
    </row>
    <row r="687">
      <c r="H687" s="11"/>
      <c r="M687" s="12"/>
    </row>
    <row r="688">
      <c r="H688" s="11"/>
      <c r="M688" s="12"/>
    </row>
    <row r="689">
      <c r="H689" s="11"/>
      <c r="M689" s="12"/>
    </row>
    <row r="690">
      <c r="H690" s="11"/>
      <c r="M690" s="12"/>
    </row>
    <row r="691">
      <c r="H691" s="11"/>
      <c r="M691" s="12"/>
    </row>
    <row r="692">
      <c r="H692" s="11"/>
      <c r="M692" s="12"/>
    </row>
    <row r="693">
      <c r="H693" s="11"/>
      <c r="M693" s="12"/>
    </row>
    <row r="694">
      <c r="H694" s="11"/>
      <c r="M694" s="12"/>
    </row>
    <row r="695">
      <c r="H695" s="11"/>
      <c r="M695" s="12"/>
    </row>
    <row r="696">
      <c r="H696" s="11"/>
      <c r="M696" s="12"/>
    </row>
    <row r="697">
      <c r="H697" s="11"/>
      <c r="M697" s="12"/>
    </row>
    <row r="698">
      <c r="H698" s="11"/>
      <c r="M698" s="12"/>
    </row>
    <row r="699">
      <c r="H699" s="11"/>
      <c r="M699" s="12"/>
    </row>
    <row r="700">
      <c r="H700" s="11"/>
      <c r="M700" s="12"/>
    </row>
    <row r="701">
      <c r="H701" s="11"/>
      <c r="M701" s="12"/>
    </row>
    <row r="702">
      <c r="H702" s="11"/>
      <c r="M702" s="12"/>
    </row>
    <row r="703">
      <c r="H703" s="11"/>
      <c r="M703" s="12"/>
    </row>
    <row r="704">
      <c r="H704" s="11"/>
      <c r="M704" s="12"/>
    </row>
    <row r="705">
      <c r="H705" s="11"/>
      <c r="M705" s="12"/>
    </row>
    <row r="706">
      <c r="H706" s="11"/>
      <c r="M706" s="12"/>
    </row>
    <row r="707">
      <c r="H707" s="11"/>
      <c r="M707" s="12"/>
    </row>
    <row r="708">
      <c r="H708" s="11"/>
      <c r="M708" s="12"/>
    </row>
    <row r="709">
      <c r="H709" s="11"/>
      <c r="M709" s="12"/>
    </row>
    <row r="710">
      <c r="H710" s="11"/>
      <c r="M710" s="12"/>
    </row>
    <row r="711">
      <c r="H711" s="11"/>
      <c r="M711" s="12"/>
    </row>
    <row r="712">
      <c r="H712" s="11"/>
      <c r="M712" s="12"/>
    </row>
    <row r="713">
      <c r="H713" s="11"/>
      <c r="M713" s="12"/>
    </row>
    <row r="714">
      <c r="H714" s="11"/>
      <c r="M714" s="12"/>
    </row>
    <row r="715">
      <c r="H715" s="11"/>
      <c r="M715" s="12"/>
    </row>
    <row r="716">
      <c r="H716" s="11"/>
      <c r="M716" s="12"/>
    </row>
    <row r="717">
      <c r="H717" s="11"/>
      <c r="M717" s="12"/>
    </row>
    <row r="718">
      <c r="H718" s="11"/>
      <c r="M718" s="12"/>
    </row>
    <row r="719">
      <c r="H719" s="11"/>
      <c r="M719" s="12"/>
    </row>
    <row r="720">
      <c r="H720" s="11"/>
      <c r="M720" s="12"/>
    </row>
    <row r="721">
      <c r="H721" s="11"/>
      <c r="M721" s="12"/>
    </row>
    <row r="722">
      <c r="H722" s="11"/>
      <c r="M722" s="12"/>
    </row>
    <row r="723">
      <c r="H723" s="11"/>
      <c r="M723" s="12"/>
    </row>
    <row r="724">
      <c r="H724" s="11"/>
      <c r="M724" s="12"/>
    </row>
    <row r="725">
      <c r="H725" s="11"/>
      <c r="M725" s="12"/>
    </row>
    <row r="726">
      <c r="H726" s="11"/>
      <c r="M726" s="12"/>
    </row>
    <row r="727">
      <c r="H727" s="11"/>
      <c r="M727" s="12"/>
    </row>
    <row r="728">
      <c r="H728" s="11"/>
      <c r="M728" s="12"/>
    </row>
    <row r="729">
      <c r="H729" s="11"/>
      <c r="M729" s="12"/>
    </row>
    <row r="730">
      <c r="H730" s="11"/>
      <c r="M730" s="12"/>
    </row>
    <row r="731">
      <c r="H731" s="11"/>
      <c r="M731" s="12"/>
    </row>
    <row r="732">
      <c r="H732" s="11"/>
      <c r="M732" s="12"/>
    </row>
    <row r="733">
      <c r="H733" s="11"/>
      <c r="M733" s="12"/>
    </row>
    <row r="734">
      <c r="H734" s="11"/>
      <c r="M734" s="12"/>
    </row>
    <row r="735">
      <c r="H735" s="11"/>
      <c r="M735" s="12"/>
    </row>
    <row r="736">
      <c r="H736" s="11"/>
      <c r="M736" s="12"/>
    </row>
    <row r="737">
      <c r="H737" s="11"/>
      <c r="M737" s="12"/>
    </row>
    <row r="738">
      <c r="H738" s="11"/>
      <c r="M738" s="12"/>
    </row>
    <row r="739">
      <c r="H739" s="11"/>
      <c r="M739" s="12"/>
    </row>
    <row r="740">
      <c r="H740" s="11"/>
      <c r="M740" s="12"/>
    </row>
    <row r="741">
      <c r="H741" s="11"/>
      <c r="M741" s="12"/>
    </row>
    <row r="742">
      <c r="H742" s="11"/>
      <c r="M742" s="12"/>
    </row>
    <row r="743">
      <c r="H743" s="11"/>
      <c r="M743" s="12"/>
    </row>
    <row r="744">
      <c r="H744" s="11"/>
      <c r="M744" s="12"/>
    </row>
    <row r="745">
      <c r="H745" s="11"/>
      <c r="M745" s="12"/>
    </row>
    <row r="746">
      <c r="H746" s="11"/>
      <c r="M746" s="12"/>
    </row>
    <row r="747">
      <c r="H747" s="11"/>
      <c r="M747" s="12"/>
    </row>
    <row r="748">
      <c r="H748" s="11"/>
      <c r="M748" s="12"/>
    </row>
    <row r="749">
      <c r="H749" s="11"/>
      <c r="M749" s="12"/>
    </row>
    <row r="750">
      <c r="H750" s="11"/>
      <c r="M750" s="12"/>
    </row>
    <row r="751">
      <c r="H751" s="11"/>
      <c r="M751" s="12"/>
    </row>
    <row r="752">
      <c r="H752" s="11"/>
      <c r="M752" s="12"/>
    </row>
    <row r="753">
      <c r="H753" s="11"/>
      <c r="M753" s="12"/>
    </row>
    <row r="754">
      <c r="H754" s="11"/>
      <c r="M754" s="12"/>
    </row>
    <row r="755">
      <c r="H755" s="11"/>
      <c r="M755" s="12"/>
    </row>
    <row r="756">
      <c r="H756" s="11"/>
      <c r="M756" s="12"/>
    </row>
    <row r="757">
      <c r="H757" s="11"/>
      <c r="M757" s="12"/>
    </row>
    <row r="758">
      <c r="H758" s="11"/>
      <c r="M758" s="12"/>
    </row>
    <row r="759">
      <c r="H759" s="11"/>
      <c r="M759" s="12"/>
    </row>
    <row r="760">
      <c r="H760" s="11"/>
      <c r="M760" s="12"/>
    </row>
    <row r="761">
      <c r="H761" s="11"/>
      <c r="M761" s="12"/>
    </row>
    <row r="762">
      <c r="H762" s="11"/>
      <c r="M762" s="12"/>
    </row>
    <row r="763">
      <c r="H763" s="11"/>
      <c r="M763" s="12"/>
    </row>
    <row r="764">
      <c r="H764" s="11"/>
      <c r="M764" s="12"/>
    </row>
    <row r="765">
      <c r="H765" s="11"/>
      <c r="M765" s="12"/>
    </row>
    <row r="766">
      <c r="H766" s="11"/>
      <c r="M766" s="12"/>
    </row>
    <row r="767">
      <c r="H767" s="11"/>
      <c r="M767" s="12"/>
    </row>
    <row r="768">
      <c r="H768" s="11"/>
      <c r="M768" s="12"/>
    </row>
    <row r="769">
      <c r="H769" s="11"/>
      <c r="M769" s="12"/>
    </row>
    <row r="770">
      <c r="H770" s="11"/>
      <c r="M770" s="12"/>
    </row>
    <row r="771">
      <c r="H771" s="11"/>
      <c r="M771" s="12"/>
    </row>
    <row r="772">
      <c r="H772" s="11"/>
      <c r="M772" s="12"/>
    </row>
    <row r="773">
      <c r="H773" s="11"/>
      <c r="M773" s="12"/>
    </row>
    <row r="774">
      <c r="H774" s="11"/>
      <c r="M774" s="12"/>
    </row>
    <row r="775">
      <c r="H775" s="11"/>
      <c r="M775" s="12"/>
    </row>
    <row r="776">
      <c r="H776" s="11"/>
      <c r="M776" s="12"/>
    </row>
    <row r="777">
      <c r="H777" s="11"/>
      <c r="M777" s="12"/>
    </row>
    <row r="778">
      <c r="H778" s="11"/>
      <c r="M778" s="12"/>
    </row>
    <row r="779">
      <c r="H779" s="11"/>
      <c r="M779" s="12"/>
    </row>
    <row r="780">
      <c r="H780" s="11"/>
      <c r="M780" s="12"/>
    </row>
    <row r="781">
      <c r="H781" s="11"/>
      <c r="M781" s="12"/>
    </row>
    <row r="782">
      <c r="H782" s="11"/>
      <c r="M782" s="12"/>
    </row>
    <row r="783">
      <c r="H783" s="11"/>
      <c r="M783" s="12"/>
    </row>
    <row r="784">
      <c r="H784" s="11"/>
      <c r="M784" s="12"/>
    </row>
    <row r="785">
      <c r="H785" s="11"/>
      <c r="M785" s="12"/>
    </row>
    <row r="786">
      <c r="H786" s="11"/>
      <c r="M786" s="12"/>
    </row>
    <row r="787">
      <c r="H787" s="11"/>
      <c r="M787" s="12"/>
    </row>
    <row r="788">
      <c r="H788" s="11"/>
      <c r="M788" s="12"/>
    </row>
    <row r="789">
      <c r="H789" s="11"/>
      <c r="M789" s="12"/>
    </row>
    <row r="790">
      <c r="H790" s="11"/>
      <c r="M790" s="12"/>
    </row>
    <row r="791">
      <c r="H791" s="11"/>
      <c r="M791" s="12"/>
    </row>
    <row r="792">
      <c r="H792" s="11"/>
      <c r="M792" s="12"/>
    </row>
    <row r="793">
      <c r="H793" s="11"/>
      <c r="M793" s="12"/>
    </row>
    <row r="794">
      <c r="H794" s="11"/>
      <c r="M794" s="12"/>
    </row>
    <row r="795">
      <c r="H795" s="11"/>
      <c r="M795" s="12"/>
    </row>
    <row r="796">
      <c r="H796" s="11"/>
      <c r="M796" s="12"/>
    </row>
    <row r="797">
      <c r="H797" s="11"/>
      <c r="M797" s="12"/>
    </row>
    <row r="798">
      <c r="H798" s="11"/>
      <c r="M798" s="12"/>
    </row>
    <row r="799">
      <c r="H799" s="11"/>
      <c r="M799" s="12"/>
    </row>
    <row r="800">
      <c r="H800" s="11"/>
      <c r="M800" s="12"/>
    </row>
    <row r="801">
      <c r="H801" s="11"/>
      <c r="M801" s="12"/>
    </row>
    <row r="802">
      <c r="H802" s="11"/>
      <c r="M802" s="12"/>
    </row>
    <row r="803">
      <c r="H803" s="11"/>
      <c r="M803" s="12"/>
    </row>
    <row r="804">
      <c r="H804" s="11"/>
      <c r="M804" s="12"/>
    </row>
    <row r="805">
      <c r="H805" s="11"/>
      <c r="M805" s="12"/>
    </row>
    <row r="806">
      <c r="H806" s="11"/>
      <c r="M806" s="12"/>
    </row>
    <row r="807">
      <c r="H807" s="11"/>
      <c r="M807" s="12"/>
    </row>
    <row r="808">
      <c r="H808" s="11"/>
      <c r="M808" s="12"/>
    </row>
    <row r="809">
      <c r="H809" s="11"/>
      <c r="M809" s="12"/>
    </row>
    <row r="810">
      <c r="H810" s="11"/>
      <c r="M810" s="12"/>
    </row>
    <row r="811">
      <c r="H811" s="11"/>
      <c r="M811" s="12"/>
    </row>
    <row r="812">
      <c r="H812" s="11"/>
      <c r="M812" s="12"/>
    </row>
    <row r="813">
      <c r="H813" s="11"/>
      <c r="M813" s="12"/>
    </row>
    <row r="814">
      <c r="H814" s="11"/>
      <c r="M814" s="12"/>
    </row>
    <row r="815">
      <c r="H815" s="11"/>
      <c r="M815" s="12"/>
    </row>
    <row r="816">
      <c r="H816" s="11"/>
      <c r="M816" s="12"/>
    </row>
    <row r="817">
      <c r="H817" s="11"/>
      <c r="M817" s="12"/>
    </row>
    <row r="818">
      <c r="H818" s="11"/>
      <c r="M818" s="12"/>
    </row>
    <row r="819">
      <c r="H819" s="11"/>
      <c r="M819" s="12"/>
    </row>
    <row r="820">
      <c r="H820" s="11"/>
      <c r="M820" s="12"/>
    </row>
    <row r="821">
      <c r="H821" s="11"/>
      <c r="M821" s="12"/>
    </row>
    <row r="822">
      <c r="H822" s="11"/>
      <c r="M822" s="12"/>
    </row>
    <row r="823">
      <c r="H823" s="11"/>
      <c r="M823" s="12"/>
    </row>
    <row r="824">
      <c r="H824" s="11"/>
      <c r="M824" s="12"/>
    </row>
    <row r="825">
      <c r="H825" s="11"/>
      <c r="M825" s="12"/>
    </row>
    <row r="826">
      <c r="H826" s="11"/>
      <c r="M826" s="12"/>
    </row>
    <row r="827">
      <c r="H827" s="11"/>
      <c r="M827" s="12"/>
    </row>
    <row r="828">
      <c r="H828" s="11"/>
      <c r="M828" s="12"/>
    </row>
    <row r="829">
      <c r="H829" s="11"/>
      <c r="M829" s="12"/>
    </row>
    <row r="830">
      <c r="H830" s="11"/>
      <c r="M830" s="12"/>
    </row>
    <row r="831">
      <c r="H831" s="11"/>
      <c r="M831" s="12"/>
    </row>
    <row r="832">
      <c r="H832" s="11"/>
      <c r="M832" s="12"/>
    </row>
    <row r="833">
      <c r="H833" s="11"/>
      <c r="M833" s="12"/>
    </row>
    <row r="834">
      <c r="H834" s="11"/>
      <c r="M834" s="12"/>
    </row>
    <row r="835">
      <c r="H835" s="11"/>
      <c r="M835" s="12"/>
    </row>
    <row r="836">
      <c r="H836" s="11"/>
      <c r="M836" s="12"/>
    </row>
    <row r="837">
      <c r="H837" s="11"/>
      <c r="M837" s="12"/>
    </row>
    <row r="838">
      <c r="H838" s="11"/>
      <c r="M838" s="12"/>
    </row>
    <row r="839">
      <c r="H839" s="11"/>
      <c r="M839" s="12"/>
    </row>
    <row r="840">
      <c r="H840" s="11"/>
      <c r="M840" s="12"/>
    </row>
    <row r="841">
      <c r="H841" s="11"/>
      <c r="M841" s="12"/>
    </row>
    <row r="842">
      <c r="H842" s="11"/>
      <c r="M842" s="12"/>
    </row>
    <row r="843">
      <c r="H843" s="11"/>
      <c r="M843" s="12"/>
    </row>
    <row r="844">
      <c r="H844" s="11"/>
      <c r="M844" s="12"/>
    </row>
    <row r="845">
      <c r="H845" s="11"/>
      <c r="M845" s="12"/>
    </row>
    <row r="846">
      <c r="H846" s="11"/>
      <c r="M846" s="12"/>
    </row>
    <row r="847">
      <c r="H847" s="11"/>
      <c r="M847" s="12"/>
    </row>
    <row r="848">
      <c r="H848" s="11"/>
      <c r="M848" s="12"/>
    </row>
    <row r="849">
      <c r="H849" s="11"/>
      <c r="M849" s="12"/>
    </row>
    <row r="850">
      <c r="H850" s="11"/>
      <c r="M850" s="12"/>
    </row>
    <row r="851">
      <c r="H851" s="11"/>
      <c r="M851" s="12"/>
    </row>
    <row r="852">
      <c r="H852" s="11"/>
      <c r="M852" s="12"/>
    </row>
    <row r="853">
      <c r="H853" s="11"/>
      <c r="M853" s="12"/>
    </row>
    <row r="854">
      <c r="H854" s="11"/>
      <c r="M854" s="12"/>
    </row>
    <row r="855">
      <c r="H855" s="11"/>
      <c r="M855" s="12"/>
    </row>
    <row r="856">
      <c r="H856" s="11"/>
      <c r="M856" s="12"/>
    </row>
    <row r="857">
      <c r="H857" s="11"/>
      <c r="M857" s="12"/>
    </row>
    <row r="858">
      <c r="H858" s="11"/>
      <c r="M858" s="12"/>
    </row>
    <row r="859">
      <c r="H859" s="11"/>
      <c r="M859" s="12"/>
    </row>
    <row r="860">
      <c r="H860" s="11"/>
      <c r="M860" s="12"/>
    </row>
    <row r="861">
      <c r="H861" s="11"/>
      <c r="M861" s="12"/>
    </row>
    <row r="862">
      <c r="H862" s="11"/>
      <c r="M862" s="12"/>
    </row>
    <row r="863">
      <c r="H863" s="11"/>
      <c r="M863" s="12"/>
    </row>
    <row r="864">
      <c r="H864" s="11"/>
      <c r="M864" s="12"/>
    </row>
    <row r="865">
      <c r="H865" s="11"/>
      <c r="M865" s="12"/>
    </row>
    <row r="866">
      <c r="H866" s="11"/>
      <c r="M866" s="12"/>
    </row>
    <row r="867">
      <c r="H867" s="11"/>
      <c r="M867" s="12"/>
    </row>
    <row r="868">
      <c r="H868" s="11"/>
      <c r="M868" s="12"/>
    </row>
    <row r="869">
      <c r="H869" s="11"/>
      <c r="M869" s="12"/>
    </row>
    <row r="870">
      <c r="H870" s="11"/>
      <c r="M870" s="12"/>
    </row>
    <row r="871">
      <c r="H871" s="11"/>
      <c r="M871" s="12"/>
    </row>
    <row r="872">
      <c r="H872" s="11"/>
      <c r="M872" s="12"/>
    </row>
    <row r="873">
      <c r="H873" s="11"/>
      <c r="M873" s="12"/>
    </row>
    <row r="874">
      <c r="H874" s="11"/>
      <c r="M874" s="12"/>
    </row>
    <row r="875">
      <c r="H875" s="11"/>
      <c r="M875" s="12"/>
    </row>
    <row r="876">
      <c r="H876" s="11"/>
      <c r="M876" s="12"/>
    </row>
    <row r="877">
      <c r="H877" s="11"/>
      <c r="M877" s="12"/>
    </row>
    <row r="878">
      <c r="H878" s="11"/>
      <c r="M878" s="12"/>
    </row>
    <row r="879">
      <c r="H879" s="11"/>
      <c r="M879" s="12"/>
    </row>
    <row r="880">
      <c r="H880" s="11"/>
      <c r="M880" s="12"/>
    </row>
    <row r="881">
      <c r="H881" s="11"/>
      <c r="M881" s="12"/>
    </row>
    <row r="882">
      <c r="H882" s="11"/>
      <c r="M882" s="12"/>
    </row>
    <row r="883">
      <c r="H883" s="11"/>
      <c r="M883" s="12"/>
    </row>
    <row r="884">
      <c r="H884" s="11"/>
      <c r="M884" s="12"/>
    </row>
    <row r="885">
      <c r="H885" s="11"/>
      <c r="M885" s="12"/>
    </row>
    <row r="886">
      <c r="H886" s="11"/>
      <c r="M886" s="12"/>
    </row>
    <row r="887">
      <c r="H887" s="11"/>
      <c r="M887" s="12"/>
    </row>
    <row r="888">
      <c r="H888" s="11"/>
      <c r="M888" s="12"/>
    </row>
    <row r="889">
      <c r="H889" s="11"/>
      <c r="M889" s="12"/>
    </row>
    <row r="890">
      <c r="H890" s="11"/>
      <c r="M890" s="12"/>
    </row>
    <row r="891">
      <c r="H891" s="11"/>
      <c r="M891" s="12"/>
    </row>
    <row r="892">
      <c r="H892" s="11"/>
      <c r="M892" s="12"/>
    </row>
    <row r="893">
      <c r="H893" s="11"/>
      <c r="M893" s="12"/>
    </row>
    <row r="894">
      <c r="H894" s="11"/>
      <c r="M894" s="12"/>
    </row>
    <row r="895">
      <c r="H895" s="11"/>
      <c r="M895" s="12"/>
    </row>
    <row r="896">
      <c r="H896" s="11"/>
      <c r="M896" s="12"/>
    </row>
    <row r="897">
      <c r="H897" s="11"/>
      <c r="M897" s="12"/>
    </row>
    <row r="898">
      <c r="H898" s="11"/>
      <c r="M898" s="12"/>
    </row>
    <row r="899">
      <c r="H899" s="11"/>
      <c r="M899" s="12"/>
    </row>
    <row r="900">
      <c r="H900" s="11"/>
      <c r="M900" s="12"/>
    </row>
    <row r="901">
      <c r="H901" s="11"/>
      <c r="M901" s="12"/>
    </row>
    <row r="902">
      <c r="H902" s="11"/>
      <c r="M902" s="12"/>
    </row>
    <row r="903">
      <c r="H903" s="11"/>
      <c r="M903" s="12"/>
    </row>
    <row r="904">
      <c r="H904" s="11"/>
      <c r="M904" s="12"/>
    </row>
    <row r="905">
      <c r="H905" s="11"/>
      <c r="M905" s="12"/>
    </row>
    <row r="906">
      <c r="H906" s="11"/>
      <c r="M906" s="12"/>
    </row>
    <row r="907">
      <c r="H907" s="11"/>
      <c r="M907" s="12"/>
    </row>
    <row r="908">
      <c r="H908" s="11"/>
      <c r="M908" s="12"/>
    </row>
    <row r="909">
      <c r="H909" s="11"/>
      <c r="M909" s="12"/>
    </row>
    <row r="910">
      <c r="H910" s="11"/>
      <c r="M910" s="12"/>
    </row>
    <row r="911">
      <c r="H911" s="11"/>
      <c r="M911" s="12"/>
    </row>
    <row r="912">
      <c r="H912" s="11"/>
      <c r="M912" s="12"/>
    </row>
    <row r="913">
      <c r="H913" s="11"/>
      <c r="M913" s="12"/>
    </row>
    <row r="914">
      <c r="H914" s="11"/>
      <c r="M914" s="12"/>
    </row>
    <row r="915">
      <c r="H915" s="11"/>
      <c r="M915" s="12"/>
    </row>
    <row r="916">
      <c r="H916" s="11"/>
      <c r="M916" s="12"/>
    </row>
    <row r="917">
      <c r="H917" s="11"/>
      <c r="M917" s="12"/>
    </row>
    <row r="918">
      <c r="H918" s="11"/>
      <c r="M918" s="12"/>
    </row>
    <row r="919">
      <c r="H919" s="11"/>
      <c r="M919" s="12"/>
    </row>
    <row r="920">
      <c r="H920" s="11"/>
      <c r="M920" s="12"/>
    </row>
    <row r="921">
      <c r="H921" s="11"/>
      <c r="M921" s="12"/>
    </row>
    <row r="922">
      <c r="H922" s="11"/>
      <c r="M922" s="12"/>
    </row>
    <row r="923">
      <c r="H923" s="11"/>
      <c r="M923" s="12"/>
    </row>
    <row r="924">
      <c r="H924" s="11"/>
      <c r="M924" s="12"/>
    </row>
    <row r="925">
      <c r="H925" s="11"/>
      <c r="M925" s="12"/>
    </row>
    <row r="926">
      <c r="H926" s="11"/>
      <c r="M926" s="12"/>
    </row>
    <row r="927">
      <c r="H927" s="11"/>
      <c r="M927" s="12"/>
    </row>
    <row r="928">
      <c r="H928" s="11"/>
      <c r="M928" s="12"/>
    </row>
    <row r="929">
      <c r="H929" s="11"/>
      <c r="M929" s="12"/>
    </row>
    <row r="930">
      <c r="H930" s="11"/>
      <c r="M930" s="12"/>
    </row>
    <row r="931">
      <c r="H931" s="11"/>
      <c r="M931" s="12"/>
    </row>
    <row r="932">
      <c r="H932" s="11"/>
      <c r="M932" s="12"/>
    </row>
    <row r="933">
      <c r="H933" s="11"/>
      <c r="M933" s="12"/>
    </row>
    <row r="934">
      <c r="H934" s="11"/>
      <c r="M934" s="12"/>
    </row>
    <row r="935">
      <c r="H935" s="11"/>
      <c r="M935" s="12"/>
    </row>
    <row r="936">
      <c r="H936" s="11"/>
      <c r="M936" s="12"/>
    </row>
    <row r="937">
      <c r="H937" s="11"/>
      <c r="M937" s="12"/>
    </row>
    <row r="938">
      <c r="H938" s="11"/>
      <c r="M938" s="12"/>
    </row>
    <row r="939">
      <c r="H939" s="11"/>
      <c r="M939" s="12"/>
    </row>
    <row r="940">
      <c r="H940" s="11"/>
      <c r="M940" s="12"/>
    </row>
    <row r="941">
      <c r="H941" s="11"/>
      <c r="M941" s="12"/>
    </row>
    <row r="942">
      <c r="H942" s="11"/>
      <c r="M942" s="12"/>
    </row>
    <row r="943">
      <c r="H943" s="11"/>
      <c r="M943" s="12"/>
    </row>
    <row r="944">
      <c r="H944" s="11"/>
      <c r="M944" s="12"/>
    </row>
    <row r="945">
      <c r="H945" s="11"/>
      <c r="M945" s="12"/>
    </row>
    <row r="946">
      <c r="H946" s="11"/>
      <c r="M946" s="12"/>
    </row>
    <row r="947">
      <c r="H947" s="11"/>
      <c r="M947" s="12"/>
    </row>
    <row r="948">
      <c r="H948" s="11"/>
      <c r="M948" s="12"/>
    </row>
    <row r="949">
      <c r="H949" s="11"/>
      <c r="M949" s="12"/>
    </row>
    <row r="950">
      <c r="H950" s="11"/>
      <c r="M950" s="12"/>
    </row>
    <row r="951">
      <c r="H951" s="11"/>
      <c r="M951" s="12"/>
    </row>
    <row r="952">
      <c r="H952" s="11"/>
      <c r="M952" s="12"/>
    </row>
    <row r="953">
      <c r="H953" s="11"/>
      <c r="M953" s="12"/>
    </row>
    <row r="954">
      <c r="H954" s="11"/>
      <c r="M954" s="12"/>
    </row>
    <row r="955">
      <c r="H955" s="11"/>
      <c r="M955" s="12"/>
    </row>
    <row r="956">
      <c r="H956" s="11"/>
      <c r="M956" s="12"/>
    </row>
    <row r="957">
      <c r="H957" s="11"/>
      <c r="M957" s="12"/>
    </row>
    <row r="958">
      <c r="H958" s="11"/>
      <c r="M958" s="12"/>
    </row>
    <row r="959">
      <c r="H959" s="11"/>
      <c r="M959" s="12"/>
    </row>
    <row r="960">
      <c r="H960" s="11"/>
      <c r="M960" s="12"/>
    </row>
    <row r="961">
      <c r="H961" s="11"/>
      <c r="M961" s="12"/>
    </row>
    <row r="962">
      <c r="H962" s="11"/>
      <c r="M962" s="12"/>
    </row>
    <row r="963">
      <c r="H963" s="11"/>
      <c r="M963" s="12"/>
    </row>
    <row r="964">
      <c r="H964" s="11"/>
      <c r="M964" s="12"/>
    </row>
    <row r="965">
      <c r="H965" s="11"/>
      <c r="M965" s="12"/>
    </row>
    <row r="966">
      <c r="H966" s="11"/>
      <c r="M966" s="12"/>
    </row>
    <row r="967">
      <c r="H967" s="11"/>
      <c r="M967" s="12"/>
    </row>
    <row r="968">
      <c r="H968" s="11"/>
      <c r="M968" s="12"/>
    </row>
    <row r="969">
      <c r="H969" s="11"/>
      <c r="M969" s="12"/>
    </row>
    <row r="970">
      <c r="H970" s="11"/>
      <c r="M970" s="12"/>
    </row>
    <row r="971">
      <c r="H971" s="11"/>
      <c r="M971" s="12"/>
    </row>
    <row r="972">
      <c r="H972" s="11"/>
      <c r="M972" s="12"/>
    </row>
    <row r="973">
      <c r="H973" s="11"/>
      <c r="M973" s="12"/>
    </row>
    <row r="974">
      <c r="H974" s="11"/>
      <c r="M974" s="12"/>
    </row>
    <row r="975">
      <c r="H975" s="11"/>
      <c r="M975" s="12"/>
    </row>
    <row r="976">
      <c r="H976" s="11"/>
      <c r="M976" s="12"/>
    </row>
    <row r="977">
      <c r="H977" s="11"/>
      <c r="M977" s="12"/>
    </row>
    <row r="978">
      <c r="H978" s="11"/>
      <c r="M978" s="12"/>
    </row>
    <row r="979">
      <c r="H979" s="11"/>
      <c r="M979" s="12"/>
    </row>
    <row r="980">
      <c r="H980" s="11"/>
      <c r="M980" s="12"/>
    </row>
    <row r="981">
      <c r="H981" s="11"/>
      <c r="M981" s="12"/>
    </row>
    <row r="982">
      <c r="H982" s="11"/>
      <c r="M982" s="12"/>
    </row>
    <row r="983">
      <c r="H983" s="11"/>
      <c r="M983" s="12"/>
    </row>
    <row r="984">
      <c r="H984" s="11"/>
      <c r="M984" s="12"/>
    </row>
    <row r="985">
      <c r="H985" s="11"/>
      <c r="M985" s="12"/>
    </row>
    <row r="986">
      <c r="H986" s="11"/>
      <c r="M986" s="12"/>
    </row>
    <row r="987">
      <c r="H987" s="11"/>
      <c r="M987" s="12"/>
    </row>
    <row r="988">
      <c r="H988" s="11"/>
      <c r="M988" s="12"/>
    </row>
    <row r="989">
      <c r="H989" s="11"/>
      <c r="M989" s="12"/>
    </row>
    <row r="990">
      <c r="H990" s="11"/>
      <c r="M990" s="12"/>
    </row>
    <row r="991">
      <c r="H991" s="11"/>
      <c r="M991" s="12"/>
    </row>
    <row r="992">
      <c r="H992" s="11"/>
      <c r="M992" s="12"/>
    </row>
    <row r="993">
      <c r="H993" s="11"/>
      <c r="M993" s="12"/>
    </row>
    <row r="994">
      <c r="H994" s="11"/>
      <c r="M994" s="12"/>
    </row>
    <row r="995">
      <c r="H995" s="11"/>
      <c r="M995" s="12"/>
    </row>
    <row r="996">
      <c r="H996" s="11"/>
      <c r="M996" s="12"/>
    </row>
    <row r="997">
      <c r="H997" s="11"/>
      <c r="M997" s="12"/>
    </row>
    <row r="998">
      <c r="H998" s="11"/>
      <c r="M998" s="12"/>
    </row>
  </sheetData>
  <conditionalFormatting sqref="A1:A998">
    <cfRule type="expression" dxfId="0" priority="1">
      <formula>COUNTIF($A:A, A1)&gt;1</formula>
    </cfRule>
  </conditionalFormatting>
  <drawing r:id="rId1"/>
</worksheet>
</file>